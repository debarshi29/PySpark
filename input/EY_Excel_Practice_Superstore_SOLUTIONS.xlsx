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Solu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<sst xmlns="http://schemas.openxmlformats.org/spreadsheetml/2006/main" count="27079" uniqueCount="3829">
  <si>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</si>
  <si>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</si>
  <si>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</si>
  <si>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</si>
  <si>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</si>
  <si>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</si>
  <si>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</si>
  <si>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</si>
  <si>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</si>
  <si>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</si>
  <si>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</si>
  <si>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</si>
  <si>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</si>
  <si>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</si>
  <si>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</si>
  <si>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</si>
  <si>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</si>
  <si>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</si>
  <si>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</si>
  <si>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</si>
  <si>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Profit Flag</t>
  </si>
  <si>
    <t xml:space="preserve">Sales Tier</t>
  </si>
  <si>
    <t xml:space="preserve">Ship Lag (days)</t>
  </si>
  <si>
    <t xml:space="preserve">Order Month</t>
  </si>
  <si>
    <t xml:space="preserve">Customer Initials</t>
  </si>
  <si>
    <t xml:space="preserve">US-2023-101313</t>
  </si>
  <si>
    <t xml:space="preserve">2023-01-02</t>
  </si>
  <si>
    <t xml:space="preserve">2023-01-08</t>
  </si>
  <si>
    <t xml:space="preserve">Standard Class</t>
  </si>
  <si>
    <t xml:space="preserve">CU-07056</t>
  </si>
  <si>
    <t xml:space="preserve">Michael Khan</t>
  </si>
  <si>
    <t xml:space="preserve">Home Office</t>
  </si>
  <si>
    <t xml:space="preserve">United States</t>
  </si>
  <si>
    <t xml:space="preserve">Reno</t>
  </si>
  <si>
    <t xml:space="preserve">Nevada</t>
  </si>
  <si>
    <t xml:space="preserve">West</t>
  </si>
  <si>
    <t xml:space="preserve">TEC-PH-24197</t>
  </si>
  <si>
    <t xml:space="preserve">Technology</t>
  </si>
  <si>
    <t xml:space="preserve">Phones</t>
  </si>
  <si>
    <t xml:space="preserve">Cisco IP Phone</t>
  </si>
  <si>
    <t xml:space="preserve">US-2023-100745</t>
  </si>
  <si>
    <t xml:space="preserve">2023-01-03</t>
  </si>
  <si>
    <t xml:space="preserve">First Class</t>
  </si>
  <si>
    <t xml:space="preserve">CU-45751</t>
  </si>
  <si>
    <t xml:space="preserve">Patricia Miller</t>
  </si>
  <si>
    <t xml:space="preserve">Corporate</t>
  </si>
  <si>
    <t xml:space="preserve">Portland</t>
  </si>
  <si>
    <t xml:space="preserve">Oregon</t>
  </si>
  <si>
    <t xml:space="preserve">OFF-PA-48467</t>
  </si>
  <si>
    <t xml:space="preserve">Office Supplies</t>
  </si>
  <si>
    <t xml:space="preserve">Paper</t>
  </si>
  <si>
    <t xml:space="preserve">Xerox 1881 Paper</t>
  </si>
  <si>
    <t xml:space="preserve">US-2023-100780</t>
  </si>
  <si>
    <t xml:space="preserve">Same Day</t>
  </si>
  <si>
    <t xml:space="preserve">CU-00146</t>
  </si>
  <si>
    <t xml:space="preserve">Robert Nguyen</t>
  </si>
  <si>
    <t xml:space="preserve">Consumer</t>
  </si>
  <si>
    <t xml:space="preserve">Miami</t>
  </si>
  <si>
    <t xml:space="preserve">Florida</t>
  </si>
  <si>
    <t xml:space="preserve">South</t>
  </si>
  <si>
    <t xml:space="preserve">OFF-AR-34769</t>
  </si>
  <si>
    <t xml:space="preserve">Art</t>
  </si>
  <si>
    <t xml:space="preserve">Boston Pencil Sharpener</t>
  </si>
  <si>
    <t xml:space="preserve">US-2023-100166</t>
  </si>
  <si>
    <t xml:space="preserve">2023-01-09</t>
  </si>
  <si>
    <t xml:space="preserve">CU-01601</t>
  </si>
  <si>
    <t xml:space="preserve">Maria Murphy</t>
  </si>
  <si>
    <t xml:space="preserve">Worcester</t>
  </si>
  <si>
    <t xml:space="preserve">Massachusetts</t>
  </si>
  <si>
    <t xml:space="preserve">East</t>
  </si>
  <si>
    <t xml:space="preserve">TEC-MA-21434</t>
  </si>
  <si>
    <t xml:space="preserve">Machines</t>
  </si>
  <si>
    <t xml:space="preserve">Zebra Label Printer</t>
  </si>
  <si>
    <t xml:space="preserve">US-2023-101450</t>
  </si>
  <si>
    <t xml:space="preserve">2023-01-04</t>
  </si>
  <si>
    <t xml:space="preserve">CU-59164</t>
  </si>
  <si>
    <t xml:space="preserve">Linda Martinez</t>
  </si>
  <si>
    <t xml:space="preserve">Nashville</t>
  </si>
  <si>
    <t xml:space="preserve">Tennessee</t>
  </si>
  <si>
    <t xml:space="preserve">OFF-SU-10677</t>
  </si>
  <si>
    <t xml:space="preserve">Supplies</t>
  </si>
  <si>
    <t xml:space="preserve">Fiskars Scissors</t>
  </si>
  <si>
    <t xml:space="preserve">US-2023-100621</t>
  </si>
  <si>
    <t xml:space="preserve">2023-01-06</t>
  </si>
  <si>
    <t xml:space="preserve">Second Class</t>
  </si>
  <si>
    <t xml:space="preserve">CU-75963</t>
  </si>
  <si>
    <t xml:space="preserve">Wei Garcia</t>
  </si>
  <si>
    <t xml:space="preserve">Boston</t>
  </si>
  <si>
    <t xml:space="preserve">FUR-TA-43351</t>
  </si>
  <si>
    <t xml:space="preserve">Furniture</t>
  </si>
  <si>
    <t xml:space="preserve">Tables</t>
  </si>
  <si>
    <t xml:space="preserve">Bush Somerset Coffee Table</t>
  </si>
  <si>
    <t xml:space="preserve">US-2023-101179</t>
  </si>
  <si>
    <t xml:space="preserve">CU-31953</t>
  </si>
  <si>
    <t xml:space="preserve">Elizabeth Silva</t>
  </si>
  <si>
    <t xml:space="preserve">Raleigh</t>
  </si>
  <si>
    <t xml:space="preserve">North Carolina</t>
  </si>
  <si>
    <t xml:space="preserve">FUR-TA-80202</t>
  </si>
  <si>
    <t xml:space="preserve">Bretford Rectangular Conference Table</t>
  </si>
  <si>
    <t xml:space="preserve">US-2023-101115</t>
  </si>
  <si>
    <t xml:space="preserve">2023-01-07</t>
  </si>
  <si>
    <t xml:space="preserve">2023-01-13</t>
  </si>
  <si>
    <t xml:space="preserve">CU-10605</t>
  </si>
  <si>
    <t xml:space="preserve">Linda Ali</t>
  </si>
  <si>
    <t xml:space="preserve">Charlotte</t>
  </si>
  <si>
    <t xml:space="preserve">OFF-FA-42864</t>
  </si>
  <si>
    <t xml:space="preserve">Fasteners</t>
  </si>
  <si>
    <t xml:space="preserve">Staples Standard Staples</t>
  </si>
  <si>
    <t xml:space="preserve">US-2023-100539</t>
  </si>
  <si>
    <t xml:space="preserve">2023-01-12</t>
  </si>
  <si>
    <t xml:space="preserve">CU-88045</t>
  </si>
  <si>
    <t xml:space="preserve">Carlos Jones</t>
  </si>
  <si>
    <t xml:space="preserve">Pittsburgh</t>
  </si>
  <si>
    <t xml:space="preserve">Pennsylvania</t>
  </si>
  <si>
    <t xml:space="preserve">OFF-AR-03363</t>
  </si>
  <si>
    <t xml:space="preserve">Sharpie Marker Set</t>
  </si>
  <si>
    <t xml:space="preserve">US-2023-100587</t>
  </si>
  <si>
    <t xml:space="preserve">2023-01-14</t>
  </si>
  <si>
    <t xml:space="preserve">CU-08007</t>
  </si>
  <si>
    <t xml:space="preserve">Linda Nair</t>
  </si>
  <si>
    <t xml:space="preserve">Philadelphia</t>
  </si>
  <si>
    <t xml:space="preserve">OFF-PA-58734</t>
  </si>
  <si>
    <t xml:space="preserve">HP Multipurpose Paper</t>
  </si>
  <si>
    <t xml:space="preserve">US-2023-101265</t>
  </si>
  <si>
    <t xml:space="preserve">2023-01-11</t>
  </si>
  <si>
    <t xml:space="preserve">CU-49713</t>
  </si>
  <si>
    <t xml:space="preserve">Liam Miller</t>
  </si>
  <si>
    <t xml:space="preserve">OFF-AR-63674</t>
  </si>
  <si>
    <t xml:space="preserve">Newell Highlighters</t>
  </si>
  <si>
    <t xml:space="preserve">US-2023-100546</t>
  </si>
  <si>
    <t xml:space="preserve">2023-01-16</t>
  </si>
  <si>
    <t xml:space="preserve">CU-81577</t>
  </si>
  <si>
    <t xml:space="preserve">John Miller</t>
  </si>
  <si>
    <t xml:space="preserve">Jersey City</t>
  </si>
  <si>
    <t xml:space="preserve">New Jersey</t>
  </si>
  <si>
    <t xml:space="preserve">TEC-AC-04036</t>
  </si>
  <si>
    <t xml:space="preserve">Accessories</t>
  </si>
  <si>
    <t xml:space="preserve">Logitech Wireless Mouse</t>
  </si>
  <si>
    <t xml:space="preserve">US-2023-101219</t>
  </si>
  <si>
    <t xml:space="preserve">2023-01-18</t>
  </si>
  <si>
    <t xml:space="preserve">CU-94790</t>
  </si>
  <si>
    <t xml:space="preserve">Mary Williams</t>
  </si>
  <si>
    <t xml:space="preserve">OFF-BI-40306</t>
  </si>
  <si>
    <t xml:space="preserve">Binders</t>
  </si>
  <si>
    <t xml:space="preserve">GBC Binding Covers</t>
  </si>
  <si>
    <t xml:space="preserve">US-2023-100274</t>
  </si>
  <si>
    <t xml:space="preserve">CU-95875</t>
  </si>
  <si>
    <t xml:space="preserve">David Bennett</t>
  </si>
  <si>
    <t xml:space="preserve">Memphis</t>
  </si>
  <si>
    <t xml:space="preserve">OFF-LA-27337</t>
  </si>
  <si>
    <t xml:space="preserve">Labels</t>
  </si>
  <si>
    <t xml:space="preserve">Avery Round Labels</t>
  </si>
  <si>
    <t xml:space="preserve">US-2023-100204</t>
  </si>
  <si>
    <t xml:space="preserve">CU-93646</t>
  </si>
  <si>
    <t xml:space="preserve">Sunil Khan</t>
  </si>
  <si>
    <t xml:space="preserve">Austin</t>
  </si>
  <si>
    <t xml:space="preserve">Texas</t>
  </si>
  <si>
    <t xml:space="preserve">Central</t>
  </si>
  <si>
    <t xml:space="preserve">OFF-EN-53662</t>
  </si>
  <si>
    <t xml:space="preserve">Envelopes</t>
  </si>
  <si>
    <t xml:space="preserve">Poly String Envelope</t>
  </si>
  <si>
    <t xml:space="preserve">US-2023-100602</t>
  </si>
  <si>
    <t xml:space="preserve">2023-01-15</t>
  </si>
  <si>
    <t xml:space="preserve">CU-15425</t>
  </si>
  <si>
    <t xml:space="preserve">Priya Ali</t>
  </si>
  <si>
    <t xml:space="preserve">FUR-FU-66740</t>
  </si>
  <si>
    <t xml:space="preserve">Furnishings</t>
  </si>
  <si>
    <t xml:space="preserve">Deflecto Desk Organizer</t>
  </si>
  <si>
    <t xml:space="preserve">US-2023-100875</t>
  </si>
  <si>
    <t xml:space="preserve">CU-68645</t>
  </si>
  <si>
    <t xml:space="preserve">Patricia Kapoor</t>
  </si>
  <si>
    <t xml:space="preserve">Chicago</t>
  </si>
  <si>
    <t xml:space="preserve">Illinois</t>
  </si>
  <si>
    <t xml:space="preserve">FUR-CH-69140</t>
  </si>
  <si>
    <t xml:space="preserve">Chairs</t>
  </si>
  <si>
    <t xml:space="preserve">Global Deluxe Task Chair</t>
  </si>
  <si>
    <t xml:space="preserve">US-2023-101680</t>
  </si>
  <si>
    <t xml:space="preserve">CU-24598</t>
  </si>
  <si>
    <t xml:space="preserve">Robert Bennett</t>
  </si>
  <si>
    <t xml:space="preserve">Eugene</t>
  </si>
  <si>
    <t xml:space="preserve">US-2023-100625</t>
  </si>
  <si>
    <t xml:space="preserve">2023-01-22</t>
  </si>
  <si>
    <t xml:space="preserve">CU-09697</t>
  </si>
  <si>
    <t xml:space="preserve">Carlos Nair</t>
  </si>
  <si>
    <t xml:space="preserve">US-2023-101676</t>
  </si>
  <si>
    <t xml:space="preserve">2023-01-19</t>
  </si>
  <si>
    <t xml:space="preserve">CU-05136</t>
  </si>
  <si>
    <t xml:space="preserve">Priya Williams</t>
  </si>
  <si>
    <t xml:space="preserve">Atlanta</t>
  </si>
  <si>
    <t xml:space="preserve">Georgia</t>
  </si>
  <si>
    <t xml:space="preserve">OFF-LA-37905</t>
  </si>
  <si>
    <t xml:space="preserve">Self-Adhesive Address Labels</t>
  </si>
  <si>
    <t xml:space="preserve">US-2023-101322</t>
  </si>
  <si>
    <t xml:space="preserve">CU-20794</t>
  </si>
  <si>
    <t xml:space="preserve">Patricia Brown</t>
  </si>
  <si>
    <t xml:space="preserve">TEC-CO-44077</t>
  </si>
  <si>
    <t xml:space="preserve">Copiers</t>
  </si>
  <si>
    <t xml:space="preserve">HP LaserJet Copier</t>
  </si>
  <si>
    <t xml:space="preserve">US-2023-100801</t>
  </si>
  <si>
    <t xml:space="preserve">CU-32116</t>
  </si>
  <si>
    <t xml:space="preserve">Mary Kapoor</t>
  </si>
  <si>
    <t xml:space="preserve">San Francisco</t>
  </si>
  <si>
    <t xml:space="preserve">California</t>
  </si>
  <si>
    <t xml:space="preserve">US-2023-101745</t>
  </si>
  <si>
    <t xml:space="preserve">2023-01-17</t>
  </si>
  <si>
    <t xml:space="preserve">2023-01-20</t>
  </si>
  <si>
    <t xml:space="preserve">CU-79568</t>
  </si>
  <si>
    <t xml:space="preserve">David Jones</t>
  </si>
  <si>
    <t xml:space="preserve">Newark</t>
  </si>
  <si>
    <t xml:space="preserve">OFF-FA-64037</t>
  </si>
  <si>
    <t xml:space="preserve">Bostitch Stapler</t>
  </si>
  <si>
    <t xml:space="preserve">US-2023-100476</t>
  </si>
  <si>
    <t xml:space="preserve">2023-01-23</t>
  </si>
  <si>
    <t xml:space="preserve">CU-66837</t>
  </si>
  <si>
    <t xml:space="preserve">Patricia Rodriguez</t>
  </si>
  <si>
    <t xml:space="preserve">Las Vegas</t>
  </si>
  <si>
    <t xml:space="preserve">US-2023-101388</t>
  </si>
  <si>
    <t xml:space="preserve">CU-93111</t>
  </si>
  <si>
    <t xml:space="preserve">Sunil Martinez</t>
  </si>
  <si>
    <t xml:space="preserve">OFF-ST-79778</t>
  </si>
  <si>
    <t xml:space="preserve">Storage</t>
  </si>
  <si>
    <t xml:space="preserve">Fellowes File Cart</t>
  </si>
  <si>
    <t xml:space="preserve">US-2023-101436</t>
  </si>
  <si>
    <t xml:space="preserve">CU-80038</t>
  </si>
  <si>
    <t xml:space="preserve">Robert Kapoor</t>
  </si>
  <si>
    <t xml:space="preserve">TEC-CO-27910</t>
  </si>
  <si>
    <t xml:space="preserve">Canon Image Class Copier</t>
  </si>
  <si>
    <t xml:space="preserve">US-2023-100503</t>
  </si>
  <si>
    <t xml:space="preserve">CU-42836</t>
  </si>
  <si>
    <t xml:space="preserve">Sunil Tanaka</t>
  </si>
  <si>
    <t xml:space="preserve">US-2023-101814</t>
  </si>
  <si>
    <t xml:space="preserve">2023-01-24</t>
  </si>
  <si>
    <t xml:space="preserve">CU-35567</t>
  </si>
  <si>
    <t xml:space="preserve">Priya Nair</t>
  </si>
  <si>
    <t xml:space="preserve">US-2023-100486</t>
  </si>
  <si>
    <t xml:space="preserve">CU-34423</t>
  </si>
  <si>
    <t xml:space="preserve">Wei Rodriguez</t>
  </si>
  <si>
    <t xml:space="preserve">OFF-ST-26469</t>
  </si>
  <si>
    <t xml:space="preserve">Iris Storage Bin</t>
  </si>
  <si>
    <t xml:space="preserve">US-2023-100499</t>
  </si>
  <si>
    <t xml:space="preserve">2023-01-29</t>
  </si>
  <si>
    <t xml:space="preserve">CU-13787</t>
  </si>
  <si>
    <t xml:space="preserve">Ahmed Chen</t>
  </si>
  <si>
    <t xml:space="preserve">Detroit</t>
  </si>
  <si>
    <t xml:space="preserve">Michigan</t>
  </si>
  <si>
    <t xml:space="preserve">US-2023-101096</t>
  </si>
  <si>
    <t xml:space="preserve">CU-85833</t>
  </si>
  <si>
    <t xml:space="preserve">John Nguyen</t>
  </si>
  <si>
    <t xml:space="preserve">US-2023-100148</t>
  </si>
  <si>
    <t xml:space="preserve">2023-01-31</t>
  </si>
  <si>
    <t xml:space="preserve">CU-17792</t>
  </si>
  <si>
    <t xml:space="preserve">James Kapoor</t>
  </si>
  <si>
    <t xml:space="preserve">Springfield</t>
  </si>
  <si>
    <t xml:space="preserve">FUR-TA-56780</t>
  </si>
  <si>
    <t xml:space="preserve">Chromcraft Round Table</t>
  </si>
  <si>
    <t xml:space="preserve">US-2023-101475</t>
  </si>
  <si>
    <t xml:space="preserve">2023-01-26</t>
  </si>
  <si>
    <t xml:space="preserve">CU-84422</t>
  </si>
  <si>
    <t xml:space="preserve">Maria Johnson</t>
  </si>
  <si>
    <t xml:space="preserve">FUR-CH-14280</t>
  </si>
  <si>
    <t xml:space="preserve">Hon Executive Leather Chair</t>
  </si>
  <si>
    <t xml:space="preserve">US-2023-100441</t>
  </si>
  <si>
    <t xml:space="preserve">2023-01-27</t>
  </si>
  <si>
    <t xml:space="preserve">CU-68381</t>
  </si>
  <si>
    <t xml:space="preserve">Mary Brown</t>
  </si>
  <si>
    <t xml:space="preserve">US-2023-100335</t>
  </si>
  <si>
    <t xml:space="preserve">2023-02-02</t>
  </si>
  <si>
    <t xml:space="preserve">CU-84715</t>
  </si>
  <si>
    <t xml:space="preserve">Michael Ali</t>
  </si>
  <si>
    <t xml:space="preserve">FUR-CH-74037</t>
  </si>
  <si>
    <t xml:space="preserve">Novimex Swivel Chair</t>
  </si>
  <si>
    <t xml:space="preserve">US-2023-100593</t>
  </si>
  <si>
    <t xml:space="preserve">2023-01-28</t>
  </si>
  <si>
    <t xml:space="preserve">CU-12115</t>
  </si>
  <si>
    <t xml:space="preserve">Linda Johnson</t>
  </si>
  <si>
    <t xml:space="preserve">US-2023-101685</t>
  </si>
  <si>
    <t xml:space="preserve">2023-01-30</t>
  </si>
  <si>
    <t xml:space="preserve">2023-02-06</t>
  </si>
  <si>
    <t xml:space="preserve">CU-47589</t>
  </si>
  <si>
    <t xml:space="preserve">Fatima Chen</t>
  </si>
  <si>
    <t xml:space="preserve">FUR-FU-40417</t>
  </si>
  <si>
    <t xml:space="preserve">Tenex Chairmat</t>
  </si>
  <si>
    <t xml:space="preserve">US-2023-100665</t>
  </si>
  <si>
    <t xml:space="preserve">CU-93800</t>
  </si>
  <si>
    <t xml:space="preserve">Olivia Smith</t>
  </si>
  <si>
    <t xml:space="preserve">Sacramento</t>
  </si>
  <si>
    <t xml:space="preserve">US-2023-100705</t>
  </si>
  <si>
    <t xml:space="preserve">2023-02-04</t>
  </si>
  <si>
    <t xml:space="preserve">CU-32155</t>
  </si>
  <si>
    <t xml:space="preserve">Jennifer Johnson</t>
  </si>
  <si>
    <t xml:space="preserve">TEC-PH-09022</t>
  </si>
  <si>
    <t xml:space="preserve">Samsung Galaxy</t>
  </si>
  <si>
    <t xml:space="preserve">US-2023-101033</t>
  </si>
  <si>
    <t xml:space="preserve">CU-93089</t>
  </si>
  <si>
    <t xml:space="preserve">Liam Brown</t>
  </si>
  <si>
    <t xml:space="preserve">US-2023-101078</t>
  </si>
  <si>
    <t xml:space="preserve">2023-02-10</t>
  </si>
  <si>
    <t xml:space="preserve">CU-36267</t>
  </si>
  <si>
    <t xml:space="preserve">Priya Kapoor</t>
  </si>
  <si>
    <t xml:space="preserve">Savannah</t>
  </si>
  <si>
    <t xml:space="preserve">OFF-BI-35581</t>
  </si>
  <si>
    <t xml:space="preserve">Wilson Jones Binder</t>
  </si>
  <si>
    <t xml:space="preserve">US-2023-101101</t>
  </si>
  <si>
    <t xml:space="preserve">2023-02-07</t>
  </si>
  <si>
    <t xml:space="preserve">CU-34338</t>
  </si>
  <si>
    <t xml:space="preserve">David Williams</t>
  </si>
  <si>
    <t xml:space="preserve">New York City</t>
  </si>
  <si>
    <t xml:space="preserve">New York</t>
  </si>
  <si>
    <t xml:space="preserve">US-2023-100380</t>
  </si>
  <si>
    <t xml:space="preserve">2023-02-11</t>
  </si>
  <si>
    <t xml:space="preserve">CU-18452</t>
  </si>
  <si>
    <t xml:space="preserve">Fatima Davis</t>
  </si>
  <si>
    <t xml:space="preserve">US-2023-101555</t>
  </si>
  <si>
    <t xml:space="preserve">CU-62940</t>
  </si>
  <si>
    <t xml:space="preserve">Jennifer Kapoor</t>
  </si>
  <si>
    <t xml:space="preserve">Tampa</t>
  </si>
  <si>
    <t xml:space="preserve">OFF-BI-37913</t>
  </si>
  <si>
    <t xml:space="preserve">Avery Durable Binder</t>
  </si>
  <si>
    <t xml:space="preserve">US-2023-101490</t>
  </si>
  <si>
    <t xml:space="preserve">2023-02-08</t>
  </si>
  <si>
    <t xml:space="preserve">CU-09489</t>
  </si>
  <si>
    <t xml:space="preserve">Olivia Williams</t>
  </si>
  <si>
    <t xml:space="preserve">FUR-BO-34409</t>
  </si>
  <si>
    <t xml:space="preserve">Bookcases</t>
  </si>
  <si>
    <t xml:space="preserve">O'Sullivan Living Dimensions Bookcase</t>
  </si>
  <si>
    <t xml:space="preserve">US-2023-101809</t>
  </si>
  <si>
    <t xml:space="preserve">2023-02-15</t>
  </si>
  <si>
    <t xml:space="preserve">CU-74284</t>
  </si>
  <si>
    <t xml:space="preserve">Elizabeth Williams</t>
  </si>
  <si>
    <t xml:space="preserve">Houston</t>
  </si>
  <si>
    <t xml:space="preserve">US-2023-101758</t>
  </si>
  <si>
    <t xml:space="preserve">2023-02-12</t>
  </si>
  <si>
    <t xml:space="preserve">CU-72138</t>
  </si>
  <si>
    <t xml:space="preserve">Ahmed Miller</t>
  </si>
  <si>
    <t xml:space="preserve">TEC-AC-90194</t>
  </si>
  <si>
    <t xml:space="preserve">Belkin USB Hub</t>
  </si>
  <si>
    <t xml:space="preserve">US-2023-101581</t>
  </si>
  <si>
    <t xml:space="preserve">2023-02-09</t>
  </si>
  <si>
    <t xml:space="preserve">CU-00067</t>
  </si>
  <si>
    <t xml:space="preserve">David Silva</t>
  </si>
  <si>
    <t xml:space="preserve">US-2023-100876</t>
  </si>
  <si>
    <t xml:space="preserve">2023-02-17</t>
  </si>
  <si>
    <t xml:space="preserve">CU-13206</t>
  </si>
  <si>
    <t xml:space="preserve">Jennifer Nguyen</t>
  </si>
  <si>
    <t xml:space="preserve">2023-02-16</t>
  </si>
  <si>
    <t xml:space="preserve">CU-21137</t>
  </si>
  <si>
    <t xml:space="preserve">Olivia Silva</t>
  </si>
  <si>
    <t xml:space="preserve">OFF-ST-68561</t>
  </si>
  <si>
    <t xml:space="preserve">SAFCO Storage Box</t>
  </si>
  <si>
    <t xml:space="preserve">US-2023-100487</t>
  </si>
  <si>
    <t xml:space="preserve">CU-04718</t>
  </si>
  <si>
    <t xml:space="preserve">Patricia Ali</t>
  </si>
  <si>
    <t xml:space="preserve">US-2023-100953</t>
  </si>
  <si>
    <t xml:space="preserve">2023-02-18</t>
  </si>
  <si>
    <t xml:space="preserve">CU-77617</t>
  </si>
  <si>
    <t xml:space="preserve">James Williams</t>
  </si>
  <si>
    <t xml:space="preserve">US-2023-101650</t>
  </si>
  <si>
    <t xml:space="preserve">2023-02-13</t>
  </si>
  <si>
    <t xml:space="preserve">2023-02-20</t>
  </si>
  <si>
    <t xml:space="preserve">CU-12679</t>
  </si>
  <si>
    <t xml:space="preserve">Mary Murphy</t>
  </si>
  <si>
    <t xml:space="preserve">US-2023-100485</t>
  </si>
  <si>
    <t xml:space="preserve">CU-75225</t>
  </si>
  <si>
    <t xml:space="preserve">Wei Brown</t>
  </si>
  <si>
    <t xml:space="preserve">US-2023-101771</t>
  </si>
  <si>
    <t xml:space="preserve">Columbus</t>
  </si>
  <si>
    <t xml:space="preserve">Ohio</t>
  </si>
  <si>
    <t xml:space="preserve">US-2023-101480</t>
  </si>
  <si>
    <t xml:space="preserve">CU-26279</t>
  </si>
  <si>
    <t xml:space="preserve">Ahmed Silva</t>
  </si>
  <si>
    <t xml:space="preserve">US-2023-101369</t>
  </si>
  <si>
    <t xml:space="preserve">2023-02-14</t>
  </si>
  <si>
    <t xml:space="preserve">CU-84978</t>
  </si>
  <si>
    <t xml:space="preserve">Robert Nair</t>
  </si>
  <si>
    <t xml:space="preserve">US-2023-100620</t>
  </si>
  <si>
    <t xml:space="preserve">CU-22681</t>
  </si>
  <si>
    <t xml:space="preserve">Mary Nair</t>
  </si>
  <si>
    <t xml:space="preserve">US-2023-100628</t>
  </si>
  <si>
    <t xml:space="preserve">2023-02-23</t>
  </si>
  <si>
    <t xml:space="preserve">CU-31285</t>
  </si>
  <si>
    <t xml:space="preserve">Michael Garcia</t>
  </si>
  <si>
    <t xml:space="preserve">Orlando</t>
  </si>
  <si>
    <t xml:space="preserve">US-2023-101277</t>
  </si>
  <si>
    <t xml:space="preserve">2023-02-19</t>
  </si>
  <si>
    <t xml:space="preserve">CU-36686</t>
  </si>
  <si>
    <t xml:space="preserve">David Johnson</t>
  </si>
  <si>
    <t xml:space="preserve">Seattle</t>
  </si>
  <si>
    <t xml:space="preserve">Washington</t>
  </si>
  <si>
    <t xml:space="preserve">US-2023-100359</t>
  </si>
  <si>
    <t xml:space="preserve">US-2023-100617</t>
  </si>
  <si>
    <t xml:space="preserve">CU-82648</t>
  </si>
  <si>
    <t xml:space="preserve">Mary Ali</t>
  </si>
  <si>
    <t xml:space="preserve">US-2023-101529</t>
  </si>
  <si>
    <t xml:space="preserve">CU-10358</t>
  </si>
  <si>
    <t xml:space="preserve">Linda Davis</t>
  </si>
  <si>
    <t xml:space="preserve">US-2023-100871</t>
  </si>
  <si>
    <t xml:space="preserve">2023-02-26</t>
  </si>
  <si>
    <t xml:space="preserve">CU-55689</t>
  </si>
  <si>
    <t xml:space="preserve">David Nair</t>
  </si>
  <si>
    <t xml:space="preserve">US-2023-100490</t>
  </si>
  <si>
    <t xml:space="preserve">2023-02-24</t>
  </si>
  <si>
    <t xml:space="preserve">CU-08534</t>
  </si>
  <si>
    <t xml:space="preserve">Patricia Davis</t>
  </si>
  <si>
    <t xml:space="preserve">US-2023-101656</t>
  </si>
  <si>
    <t xml:space="preserve">FUR-FU-37419</t>
  </si>
  <si>
    <t xml:space="preserve">Eldon Wall Clock</t>
  </si>
  <si>
    <t xml:space="preserve">US-2023-100842</t>
  </si>
  <si>
    <t xml:space="preserve">2023-02-22</t>
  </si>
  <si>
    <t xml:space="preserve">2023-03-01</t>
  </si>
  <si>
    <t xml:space="preserve">CU-52168</t>
  </si>
  <si>
    <t xml:space="preserve">Carlos Tanaka</t>
  </si>
  <si>
    <t xml:space="preserve">US-2023-101462</t>
  </si>
  <si>
    <t xml:space="preserve">CU-91398</t>
  </si>
  <si>
    <t xml:space="preserve">Liam Silva</t>
  </si>
  <si>
    <t xml:space="preserve">2023-02-27</t>
  </si>
  <si>
    <t xml:space="preserve">Los Angeles</t>
  </si>
  <si>
    <t xml:space="preserve">US-2023-101593</t>
  </si>
  <si>
    <t xml:space="preserve">2023-02-28</t>
  </si>
  <si>
    <t xml:space="preserve">CU-82633</t>
  </si>
  <si>
    <t xml:space="preserve">Patricia Williams</t>
  </si>
  <si>
    <t xml:space="preserve">OFF-SU-21372</t>
  </si>
  <si>
    <t xml:space="preserve">Acme Scissors</t>
  </si>
  <si>
    <t xml:space="preserve">US-2023-100980</t>
  </si>
  <si>
    <t xml:space="preserve">CU-76497</t>
  </si>
  <si>
    <t xml:space="preserve">Michael Chen</t>
  </si>
  <si>
    <t xml:space="preserve">US-2023-100982</t>
  </si>
  <si>
    <t xml:space="preserve">CU-36928</t>
  </si>
  <si>
    <t xml:space="preserve">John Garcia</t>
  </si>
  <si>
    <t xml:space="preserve">US-2023-101573</t>
  </si>
  <si>
    <t xml:space="preserve">2023-03-02</t>
  </si>
  <si>
    <t xml:space="preserve">CU-07921</t>
  </si>
  <si>
    <t xml:space="preserve">Sunil Murphy</t>
  </si>
  <si>
    <t xml:space="preserve">US-2023-101243</t>
  </si>
  <si>
    <t xml:space="preserve">2023-02-25</t>
  </si>
  <si>
    <t xml:space="preserve">CU-96006</t>
  </si>
  <si>
    <t xml:space="preserve">John Chen</t>
  </si>
  <si>
    <t xml:space="preserve">US-2023-100295</t>
  </si>
  <si>
    <t xml:space="preserve">2023-03-04</t>
  </si>
  <si>
    <t xml:space="preserve">CU-12123</t>
  </si>
  <si>
    <t xml:space="preserve">James Brown</t>
  </si>
  <si>
    <t xml:space="preserve">US-2023-100831</t>
  </si>
  <si>
    <t xml:space="preserve">CU-60969</t>
  </si>
  <si>
    <t xml:space="preserve">Aiko Khan</t>
  </si>
  <si>
    <t xml:space="preserve">US-2023-101476</t>
  </si>
  <si>
    <t xml:space="preserve">US-2023-101254</t>
  </si>
  <si>
    <t xml:space="preserve">CU-13177</t>
  </si>
  <si>
    <t xml:space="preserve">Jennifer Nair</t>
  </si>
  <si>
    <t xml:space="preserve">FUR-BO-18995</t>
  </si>
  <si>
    <t xml:space="preserve">Bush Birmingham Bookcase</t>
  </si>
  <si>
    <t xml:space="preserve">US-2023-101642</t>
  </si>
  <si>
    <t xml:space="preserve">2023-03-05</t>
  </si>
  <si>
    <t xml:space="preserve">CU-34880</t>
  </si>
  <si>
    <t xml:space="preserve">Ahmed Rodriguez</t>
  </si>
  <si>
    <t xml:space="preserve">US-2023-100275</t>
  </si>
  <si>
    <t xml:space="preserve">CU-94461</t>
  </si>
  <si>
    <t xml:space="preserve">Olivia Davis</t>
  </si>
  <si>
    <t xml:space="preserve">US-2023-100669</t>
  </si>
  <si>
    <t xml:space="preserve">2023-03-03</t>
  </si>
  <si>
    <t xml:space="preserve">2023-03-08</t>
  </si>
  <si>
    <t xml:space="preserve">CU-17709</t>
  </si>
  <si>
    <t xml:space="preserve">Mary Jones</t>
  </si>
  <si>
    <t xml:space="preserve">TEC-MA-09138</t>
  </si>
  <si>
    <t xml:space="preserve">Cubify 3D Printer</t>
  </si>
  <si>
    <t xml:space="preserve">US-2023-101430</t>
  </si>
  <si>
    <t xml:space="preserve">2023-03-11</t>
  </si>
  <si>
    <t xml:space="preserve">CU-89210</t>
  </si>
  <si>
    <t xml:space="preserve">Patricia Jones</t>
  </si>
  <si>
    <t xml:space="preserve">US-2023-100753</t>
  </si>
  <si>
    <t xml:space="preserve">2023-03-06</t>
  </si>
  <si>
    <t xml:space="preserve">Wei Johnson</t>
  </si>
  <si>
    <t xml:space="preserve">OFF-EN-70609</t>
  </si>
  <si>
    <t xml:space="preserve">Kraft Envelope</t>
  </si>
  <si>
    <t xml:space="preserve">US-2023-100113</t>
  </si>
  <si>
    <t xml:space="preserve">2023-03-12</t>
  </si>
  <si>
    <t xml:space="preserve">CU-82752</t>
  </si>
  <si>
    <t xml:space="preserve">Fatima Jones</t>
  </si>
  <si>
    <t xml:space="preserve">Cleveland</t>
  </si>
  <si>
    <t xml:space="preserve">US-2023-101553</t>
  </si>
  <si>
    <t xml:space="preserve">2023-03-07</t>
  </si>
  <si>
    <t xml:space="preserve">CU-16239</t>
  </si>
  <si>
    <t xml:space="preserve">Maria Khan</t>
  </si>
  <si>
    <t xml:space="preserve">US-2023-100261</t>
  </si>
  <si>
    <t xml:space="preserve">2023-03-13</t>
  </si>
  <si>
    <t xml:space="preserve">CU-21468</t>
  </si>
  <si>
    <t xml:space="preserve">Michael Silva</t>
  </si>
  <si>
    <t xml:space="preserve">US-2023-101721</t>
  </si>
  <si>
    <t xml:space="preserve">CU-85188</t>
  </si>
  <si>
    <t xml:space="preserve">Jennifer Bennett</t>
  </si>
  <si>
    <t xml:space="preserve">US-2023-100527</t>
  </si>
  <si>
    <t xml:space="preserve">2023-03-15</t>
  </si>
  <si>
    <t xml:space="preserve">CU-81542</t>
  </si>
  <si>
    <t xml:space="preserve">Wei Miller</t>
  </si>
  <si>
    <t xml:space="preserve">US-2023-100209</t>
  </si>
  <si>
    <t xml:space="preserve">CU-32068</t>
  </si>
  <si>
    <t xml:space="preserve">Wei Tanaka</t>
  </si>
  <si>
    <t xml:space="preserve">US-2023-100087</t>
  </si>
  <si>
    <t xml:space="preserve">CU-46450</t>
  </si>
  <si>
    <t xml:space="preserve">David Davis</t>
  </si>
  <si>
    <t xml:space="preserve">US-2023-101174</t>
  </si>
  <si>
    <t xml:space="preserve">2023-03-09</t>
  </si>
  <si>
    <t xml:space="preserve">2023-03-16</t>
  </si>
  <si>
    <t xml:space="preserve">CU-28274</t>
  </si>
  <si>
    <t xml:space="preserve">David Rodriguez</t>
  </si>
  <si>
    <t xml:space="preserve">US-2023-101411</t>
  </si>
  <si>
    <t xml:space="preserve">2023-03-10</t>
  </si>
  <si>
    <t xml:space="preserve">US-2023-101084</t>
  </si>
  <si>
    <t xml:space="preserve">2023-03-19</t>
  </si>
  <si>
    <t xml:space="preserve">CU-87649</t>
  </si>
  <si>
    <t xml:space="preserve">Liam Smith</t>
  </si>
  <si>
    <t xml:space="preserve">US-2023-101591</t>
  </si>
  <si>
    <t xml:space="preserve">2023-03-14</t>
  </si>
  <si>
    <t xml:space="preserve">CU-47708</t>
  </si>
  <si>
    <t xml:space="preserve">James Nair</t>
  </si>
  <si>
    <t xml:space="preserve">US-2023-100595</t>
  </si>
  <si>
    <t xml:space="preserve">CU-80854</t>
  </si>
  <si>
    <t xml:space="preserve">Maria Martinez</t>
  </si>
  <si>
    <t xml:space="preserve">US-2023-100236</t>
  </si>
  <si>
    <t xml:space="preserve">2023-03-18</t>
  </si>
  <si>
    <t xml:space="preserve">CU-27127</t>
  </si>
  <si>
    <t xml:space="preserve">Robert Williams</t>
  </si>
  <si>
    <t xml:space="preserve">US-2023-101820</t>
  </si>
  <si>
    <t xml:space="preserve">2023-03-21</t>
  </si>
  <si>
    <t xml:space="preserve">CU-51652</t>
  </si>
  <si>
    <t xml:space="preserve">John Smith</t>
  </si>
  <si>
    <t xml:space="preserve">US-2023-100320</t>
  </si>
  <si>
    <t xml:space="preserve">US-2023-100576</t>
  </si>
  <si>
    <t xml:space="preserve">US-2023-100083</t>
  </si>
  <si>
    <t xml:space="preserve">CU-66469</t>
  </si>
  <si>
    <t xml:space="preserve">Carlos Chen</t>
  </si>
  <si>
    <t xml:space="preserve">US-2023-100043</t>
  </si>
  <si>
    <t xml:space="preserve">2023-03-17</t>
  </si>
  <si>
    <t xml:space="preserve">2023-03-22</t>
  </si>
  <si>
    <t xml:space="preserve">CU-25441</t>
  </si>
  <si>
    <t xml:space="preserve">Ahmed Nair</t>
  </si>
  <si>
    <t xml:space="preserve">US-2023-100287</t>
  </si>
  <si>
    <t xml:space="preserve">2023-03-24</t>
  </si>
  <si>
    <t xml:space="preserve">CU-16100</t>
  </si>
  <si>
    <t xml:space="preserve">Elizabeth Bennett</t>
  </si>
  <si>
    <t xml:space="preserve">US-2023-100106</t>
  </si>
  <si>
    <t xml:space="preserve">2023-03-23</t>
  </si>
  <si>
    <t xml:space="preserve">US-2023-100281</t>
  </si>
  <si>
    <t xml:space="preserve">2023-03-20</t>
  </si>
  <si>
    <t xml:space="preserve">CU-10276</t>
  </si>
  <si>
    <t xml:space="preserve">Wei Martinez</t>
  </si>
  <si>
    <t xml:space="preserve">US-2023-101742</t>
  </si>
  <si>
    <t xml:space="preserve">2023-03-25</t>
  </si>
  <si>
    <t xml:space="preserve">CU-63152</t>
  </si>
  <si>
    <t xml:space="preserve">David Brown</t>
  </si>
  <si>
    <t xml:space="preserve">Grand Rapids</t>
  </si>
  <si>
    <t xml:space="preserve">US-2023-100180</t>
  </si>
  <si>
    <t xml:space="preserve">CU-29212</t>
  </si>
  <si>
    <t xml:space="preserve">Elizabeth Martinez</t>
  </si>
  <si>
    <t xml:space="preserve">2023-03-29</t>
  </si>
  <si>
    <t xml:space="preserve">CU-66507</t>
  </si>
  <si>
    <t xml:space="preserve">Liam Chen</t>
  </si>
  <si>
    <t xml:space="preserve">US-2023-101658</t>
  </si>
  <si>
    <t xml:space="preserve">CU-51807</t>
  </si>
  <si>
    <t xml:space="preserve">Maria Nair</t>
  </si>
  <si>
    <t xml:space="preserve">US-2023-100197</t>
  </si>
  <si>
    <t xml:space="preserve">TEC-PH-54972</t>
  </si>
  <si>
    <t xml:space="preserve">Apple iPhone</t>
  </si>
  <si>
    <t xml:space="preserve">US-2023-101193</t>
  </si>
  <si>
    <t xml:space="preserve">2023-03-30</t>
  </si>
  <si>
    <t xml:space="preserve">US-2023-100214</t>
  </si>
  <si>
    <t xml:space="preserve">2023-03-26</t>
  </si>
  <si>
    <t xml:space="preserve">CU-29823</t>
  </si>
  <si>
    <t xml:space="preserve">Carlos Silva</t>
  </si>
  <si>
    <t xml:space="preserve">US-2023-100018</t>
  </si>
  <si>
    <t xml:space="preserve">CU-53774</t>
  </si>
  <si>
    <t xml:space="preserve">Jennifer Tanaka</t>
  </si>
  <si>
    <t xml:space="preserve">US-2023-101032</t>
  </si>
  <si>
    <t xml:space="preserve">2023-03-28</t>
  </si>
  <si>
    <t xml:space="preserve">CU-65585</t>
  </si>
  <si>
    <t xml:space="preserve">Priya Martinez</t>
  </si>
  <si>
    <t xml:space="preserve">US-2023-100854</t>
  </si>
  <si>
    <t xml:space="preserve">CU-12593</t>
  </si>
  <si>
    <t xml:space="preserve">Patricia Chen</t>
  </si>
  <si>
    <t xml:space="preserve">US-2023-100681</t>
  </si>
  <si>
    <t xml:space="preserve">2023-03-31</t>
  </si>
  <si>
    <t xml:space="preserve">CU-40860</t>
  </si>
  <si>
    <t xml:space="preserve">Olivia Bennett</t>
  </si>
  <si>
    <t xml:space="preserve">US-2023-101422</t>
  </si>
  <si>
    <t xml:space="preserve">CU-09522</t>
  </si>
  <si>
    <t xml:space="preserve">Patricia Bennett</t>
  </si>
  <si>
    <t xml:space="preserve">US-2023-100142</t>
  </si>
  <si>
    <t xml:space="preserve">2023-03-27</t>
  </si>
  <si>
    <t xml:space="preserve">CU-31556</t>
  </si>
  <si>
    <t xml:space="preserve">Mary Nguyen</t>
  </si>
  <si>
    <t xml:space="preserve">US-2023-101229</t>
  </si>
  <si>
    <t xml:space="preserve">2023-04-03</t>
  </si>
  <si>
    <t xml:space="preserve">US-2023-101012</t>
  </si>
  <si>
    <t xml:space="preserve">2023-04-04</t>
  </si>
  <si>
    <t xml:space="preserve">CU-78698</t>
  </si>
  <si>
    <t xml:space="preserve">Priya Brown</t>
  </si>
  <si>
    <t xml:space="preserve">US-2023-100562</t>
  </si>
  <si>
    <t xml:space="preserve">US-2023-100446</t>
  </si>
  <si>
    <t xml:space="preserve">2023-04-05</t>
  </si>
  <si>
    <t xml:space="preserve">CU-03657</t>
  </si>
  <si>
    <t xml:space="preserve">Olivia Kapoor</t>
  </si>
  <si>
    <t xml:space="preserve">US-2023-100570</t>
  </si>
  <si>
    <t xml:space="preserve">2023-04-01</t>
  </si>
  <si>
    <t xml:space="preserve">2023-04-07</t>
  </si>
  <si>
    <t xml:space="preserve">CU-98679</t>
  </si>
  <si>
    <t xml:space="preserve">Sunil Rodriguez</t>
  </si>
  <si>
    <t xml:space="preserve">US-2023-100017</t>
  </si>
  <si>
    <t xml:space="preserve">2023-04-06</t>
  </si>
  <si>
    <t xml:space="preserve">CU-74889</t>
  </si>
  <si>
    <t xml:space="preserve">John Ali</t>
  </si>
  <si>
    <t xml:space="preserve">US-2023-100824</t>
  </si>
  <si>
    <t xml:space="preserve">CU-94898</t>
  </si>
  <si>
    <t xml:space="preserve">David Khan</t>
  </si>
  <si>
    <t xml:space="preserve">US-2023-101734</t>
  </si>
  <si>
    <t xml:space="preserve">2023-04-02</t>
  </si>
  <si>
    <t xml:space="preserve">2023-04-09</t>
  </si>
  <si>
    <t xml:space="preserve">CU-40736</t>
  </si>
  <si>
    <t xml:space="preserve">Maria Miller</t>
  </si>
  <si>
    <t xml:space="preserve">San Antonio</t>
  </si>
  <si>
    <t xml:space="preserve">US-2023-101520</t>
  </si>
  <si>
    <t xml:space="preserve">CU-34646</t>
  </si>
  <si>
    <t xml:space="preserve">Ahmed Johnson</t>
  </si>
  <si>
    <t xml:space="preserve">US-2023-101375</t>
  </si>
  <si>
    <t xml:space="preserve">2023-04-08</t>
  </si>
  <si>
    <t xml:space="preserve">CU-46784</t>
  </si>
  <si>
    <t xml:space="preserve">Linda Rodriguez</t>
  </si>
  <si>
    <t xml:space="preserve">US-2023-100962</t>
  </si>
  <si>
    <t xml:space="preserve">2023-04-13</t>
  </si>
  <si>
    <t xml:space="preserve">CU-28896</t>
  </si>
  <si>
    <t xml:space="preserve">Carlos Davis</t>
  </si>
  <si>
    <t xml:space="preserve">US-2023-101163</t>
  </si>
  <si>
    <t xml:space="preserve">2023-04-12</t>
  </si>
  <si>
    <t xml:space="preserve">CU-55700</t>
  </si>
  <si>
    <t xml:space="preserve">Sunil Kapoor</t>
  </si>
  <si>
    <t xml:space="preserve">US-2023-101195</t>
  </si>
  <si>
    <t xml:space="preserve">2023-04-11</t>
  </si>
  <si>
    <t xml:space="preserve">CU-94390</t>
  </si>
  <si>
    <t xml:space="preserve">Jennifer Jones</t>
  </si>
  <si>
    <t xml:space="preserve">US-2023-101053</t>
  </si>
  <si>
    <t xml:space="preserve">CU-45364</t>
  </si>
  <si>
    <t xml:space="preserve">John Martinez</t>
  </si>
  <si>
    <t xml:space="preserve">US-2023-101537</t>
  </si>
  <si>
    <t xml:space="preserve">2023-04-10</t>
  </si>
  <si>
    <t xml:space="preserve">CU-08359</t>
  </si>
  <si>
    <t xml:space="preserve">Priya Chen</t>
  </si>
  <si>
    <t xml:space="preserve">US-2023-100391</t>
  </si>
  <si>
    <t xml:space="preserve">CU-06182</t>
  </si>
  <si>
    <t xml:space="preserve">Liam Jones</t>
  </si>
  <si>
    <t xml:space="preserve">US-2023-100935</t>
  </si>
  <si>
    <t xml:space="preserve">CU-48380</t>
  </si>
  <si>
    <t xml:space="preserve">Michael Smith</t>
  </si>
  <si>
    <t xml:space="preserve">US-2023-101570</t>
  </si>
  <si>
    <t xml:space="preserve">2023-04-15</t>
  </si>
  <si>
    <t xml:space="preserve">US-2023-100584</t>
  </si>
  <si>
    <t xml:space="preserve">2023-04-14</t>
  </si>
  <si>
    <t xml:space="preserve">CU-14147</t>
  </si>
  <si>
    <t xml:space="preserve">Michael Tanaka</t>
  </si>
  <si>
    <t xml:space="preserve">US-2023-100188</t>
  </si>
  <si>
    <t xml:space="preserve">CU-72294</t>
  </si>
  <si>
    <t xml:space="preserve">Maria Jones</t>
  </si>
  <si>
    <t xml:space="preserve">US-2023-101296</t>
  </si>
  <si>
    <t xml:space="preserve">FUR-BO-11891</t>
  </si>
  <si>
    <t xml:space="preserve">Sauder Heritage Hill Bookcase</t>
  </si>
  <si>
    <t xml:space="preserve">US-2023-100902</t>
  </si>
  <si>
    <t xml:space="preserve">US-2023-101784</t>
  </si>
  <si>
    <t xml:space="preserve">Buffalo</t>
  </si>
  <si>
    <t xml:space="preserve">US-2023-100065</t>
  </si>
  <si>
    <t xml:space="preserve">CU-81329</t>
  </si>
  <si>
    <t xml:space="preserve">Elizabeth Murphy</t>
  </si>
  <si>
    <t xml:space="preserve">US-2023-101141</t>
  </si>
  <si>
    <t xml:space="preserve">2023-04-19</t>
  </si>
  <si>
    <t xml:space="preserve">US-2023-101224</t>
  </si>
  <si>
    <t xml:space="preserve">US-2023-101158</t>
  </si>
  <si>
    <t xml:space="preserve">2023-04-22</t>
  </si>
  <si>
    <t xml:space="preserve">CU-54188</t>
  </si>
  <si>
    <t xml:space="preserve">Wei Davis</t>
  </si>
  <si>
    <t xml:space="preserve">US-2023-100489</t>
  </si>
  <si>
    <t xml:space="preserve">2023-04-16</t>
  </si>
  <si>
    <t xml:space="preserve">2023-04-18</t>
  </si>
  <si>
    <t xml:space="preserve">CU-15341</t>
  </si>
  <si>
    <t xml:space="preserve">Fatima Rodriguez</t>
  </si>
  <si>
    <t xml:space="preserve">San Diego</t>
  </si>
  <si>
    <t xml:space="preserve">US-2023-101406</t>
  </si>
  <si>
    <t xml:space="preserve">CU-03616</t>
  </si>
  <si>
    <t xml:space="preserve">Carlos Brown</t>
  </si>
  <si>
    <t xml:space="preserve">TEC-AC-50367</t>
  </si>
  <si>
    <t xml:space="preserve">SanDisk Flash Drive</t>
  </si>
  <si>
    <t xml:space="preserve">US-2023-100774</t>
  </si>
  <si>
    <t xml:space="preserve">CU-50418</t>
  </si>
  <si>
    <t xml:space="preserve">Elizabeth Nair</t>
  </si>
  <si>
    <t xml:space="preserve">US-2023-101170</t>
  </si>
  <si>
    <t xml:space="preserve">2023-04-17</t>
  </si>
  <si>
    <t xml:space="preserve">2023-04-21</t>
  </si>
  <si>
    <t xml:space="preserve">CU-94745</t>
  </si>
  <si>
    <t xml:space="preserve">Mary Bennett</t>
  </si>
  <si>
    <t xml:space="preserve">US-2023-100409</t>
  </si>
  <si>
    <t xml:space="preserve">CU-43207</t>
  </si>
  <si>
    <t xml:space="preserve">Aiko Ali</t>
  </si>
  <si>
    <t xml:space="preserve">US-2023-101148</t>
  </si>
  <si>
    <t xml:space="preserve">US-2023-101513</t>
  </si>
  <si>
    <t xml:space="preserve">2023-04-23</t>
  </si>
  <si>
    <t xml:space="preserve">CU-18100</t>
  </si>
  <si>
    <t xml:space="preserve">Robert Jones</t>
  </si>
  <si>
    <t xml:space="preserve">US-2023-100472</t>
  </si>
  <si>
    <t xml:space="preserve">CU-26950</t>
  </si>
  <si>
    <t xml:space="preserve">David Tanaka</t>
  </si>
  <si>
    <t xml:space="preserve">US-2023-100540</t>
  </si>
  <si>
    <t xml:space="preserve">US-2023-100345</t>
  </si>
  <si>
    <t xml:space="preserve">US-2023-101216</t>
  </si>
  <si>
    <t xml:space="preserve">2023-04-20</t>
  </si>
  <si>
    <t xml:space="preserve">CU-92386</t>
  </si>
  <si>
    <t xml:space="preserve">Priya Murphy</t>
  </si>
  <si>
    <t xml:space="preserve">US-2023-100969</t>
  </si>
  <si>
    <t xml:space="preserve">2023-04-26</t>
  </si>
  <si>
    <t xml:space="preserve">CU-83089</t>
  </si>
  <si>
    <t xml:space="preserve">Patricia Johnson</t>
  </si>
  <si>
    <t xml:space="preserve">US-2023-100300</t>
  </si>
  <si>
    <t xml:space="preserve">2023-04-24</t>
  </si>
  <si>
    <t xml:space="preserve">CU-35549</t>
  </si>
  <si>
    <t xml:space="preserve">Wei Silva</t>
  </si>
  <si>
    <t xml:space="preserve">US-2023-100760</t>
  </si>
  <si>
    <t xml:space="preserve">2023-04-25</t>
  </si>
  <si>
    <t xml:space="preserve">CU-98869</t>
  </si>
  <si>
    <t xml:space="preserve">Liam Johnson</t>
  </si>
  <si>
    <t xml:space="preserve">US-2023-100413</t>
  </si>
  <si>
    <t xml:space="preserve">CU-04213</t>
  </si>
  <si>
    <t xml:space="preserve">Aiko Davis</t>
  </si>
  <si>
    <t xml:space="preserve">US-2023-101599</t>
  </si>
  <si>
    <t xml:space="preserve">2023-04-28</t>
  </si>
  <si>
    <t xml:space="preserve">US-2023-100643</t>
  </si>
  <si>
    <t xml:space="preserve">2023-04-30</t>
  </si>
  <si>
    <t xml:space="preserve">CU-40576</t>
  </si>
  <si>
    <t xml:space="preserve">Olivia Rodriguez</t>
  </si>
  <si>
    <t xml:space="preserve">US-2023-101398</t>
  </si>
  <si>
    <t xml:space="preserve">CU-82193</t>
  </si>
  <si>
    <t xml:space="preserve">Liam Murphy</t>
  </si>
  <si>
    <t xml:space="preserve">US-2023-101701</t>
  </si>
  <si>
    <t xml:space="preserve">2023-05-01</t>
  </si>
  <si>
    <t xml:space="preserve">US-2023-101206</t>
  </si>
  <si>
    <t xml:space="preserve">Albany</t>
  </si>
  <si>
    <t xml:space="preserve">US-2023-100832</t>
  </si>
  <si>
    <t xml:space="preserve">US-2023-101469</t>
  </si>
  <si>
    <t xml:space="preserve">2023-04-29</t>
  </si>
  <si>
    <t xml:space="preserve">2023-05-06</t>
  </si>
  <si>
    <t xml:space="preserve">US-2023-101239</t>
  </si>
  <si>
    <t xml:space="preserve">CU-08348</t>
  </si>
  <si>
    <t xml:space="preserve">Ahmed Nguyen</t>
  </si>
  <si>
    <t xml:space="preserve">US-2023-100277</t>
  </si>
  <si>
    <t xml:space="preserve">2023-05-07</t>
  </si>
  <si>
    <t xml:space="preserve">US-2023-101340</t>
  </si>
  <si>
    <t xml:space="preserve">2023-05-03</t>
  </si>
  <si>
    <t xml:space="preserve">CU-21519</t>
  </si>
  <si>
    <t xml:space="preserve">Elizabeth Ali</t>
  </si>
  <si>
    <t xml:space="preserve">US-2023-100633</t>
  </si>
  <si>
    <t xml:space="preserve">CU-11914</t>
  </si>
  <si>
    <t xml:space="preserve">David Murphy</t>
  </si>
  <si>
    <t xml:space="preserve">US-2023-101253</t>
  </si>
  <si>
    <t xml:space="preserve">CU-06043</t>
  </si>
  <si>
    <t xml:space="preserve">Maria Ali</t>
  </si>
  <si>
    <t xml:space="preserve">US-2023-100892</t>
  </si>
  <si>
    <t xml:space="preserve">2023-05-05</t>
  </si>
  <si>
    <t xml:space="preserve">2023-05-08</t>
  </si>
  <si>
    <t xml:space="preserve">CU-72833</t>
  </si>
  <si>
    <t xml:space="preserve">Mary Martinez</t>
  </si>
  <si>
    <t xml:space="preserve">US-2023-100804</t>
  </si>
  <si>
    <t xml:space="preserve">2023-05-10</t>
  </si>
  <si>
    <t xml:space="preserve">US-2023-101055</t>
  </si>
  <si>
    <t xml:space="preserve">2023-05-09</t>
  </si>
  <si>
    <t xml:space="preserve">2023-05-14</t>
  </si>
  <si>
    <t xml:space="preserve">US-2023-100314</t>
  </si>
  <si>
    <t xml:space="preserve">CU-21408</t>
  </si>
  <si>
    <t xml:space="preserve">Olivia Chen</t>
  </si>
  <si>
    <t xml:space="preserve">US-2023-101034</t>
  </si>
  <si>
    <t xml:space="preserve">2023-05-13</t>
  </si>
  <si>
    <t xml:space="preserve">US-2023-101681</t>
  </si>
  <si>
    <t xml:space="preserve">US-2023-100060</t>
  </si>
  <si>
    <t xml:space="preserve">2023-05-11</t>
  </si>
  <si>
    <t xml:space="preserve">2023-05-18</t>
  </si>
  <si>
    <t xml:space="preserve">CU-25246</t>
  </si>
  <si>
    <t xml:space="preserve">Ahmed Martinez</t>
  </si>
  <si>
    <t xml:space="preserve">US-2023-101336</t>
  </si>
  <si>
    <t xml:space="preserve">2023-05-16</t>
  </si>
  <si>
    <t xml:space="preserve">CU-24387</t>
  </si>
  <si>
    <t xml:space="preserve">Linda Tanaka</t>
  </si>
  <si>
    <t xml:space="preserve">US-2023-101354</t>
  </si>
  <si>
    <t xml:space="preserve">US-2023-100910</t>
  </si>
  <si>
    <t xml:space="preserve">CU-56037</t>
  </si>
  <si>
    <t xml:space="preserve">Carlos Rodriguez</t>
  </si>
  <si>
    <t xml:space="preserve">US-2023-101841</t>
  </si>
  <si>
    <t xml:space="preserve">2023-05-15</t>
  </si>
  <si>
    <t xml:space="preserve">2023-05-22</t>
  </si>
  <si>
    <t xml:space="preserve">CU-28940</t>
  </si>
  <si>
    <t xml:space="preserve">Linda Brown</t>
  </si>
  <si>
    <t xml:space="preserve">US-2023-100090</t>
  </si>
  <si>
    <t xml:space="preserve">2023-05-21</t>
  </si>
  <si>
    <t xml:space="preserve">US-2023-100943</t>
  </si>
  <si>
    <t xml:space="preserve">US-2023-100777</t>
  </si>
  <si>
    <t xml:space="preserve">2023-05-19</t>
  </si>
  <si>
    <t xml:space="preserve">CU-68521</t>
  </si>
  <si>
    <t xml:space="preserve">Patricia Martinez</t>
  </si>
  <si>
    <t xml:space="preserve">US-2023-101825</t>
  </si>
  <si>
    <t xml:space="preserve">2023-05-17</t>
  </si>
  <si>
    <t xml:space="preserve">US-2023-101248</t>
  </si>
  <si>
    <t xml:space="preserve">2023-05-23</t>
  </si>
  <si>
    <t xml:space="preserve">US-2023-100114</t>
  </si>
  <si>
    <t xml:space="preserve">2023-05-25</t>
  </si>
  <si>
    <t xml:space="preserve">US-2023-101578</t>
  </si>
  <si>
    <t xml:space="preserve">CU-78891</t>
  </si>
  <si>
    <t xml:space="preserve">Maria Garcia</t>
  </si>
  <si>
    <t xml:space="preserve">US-2023-100740</t>
  </si>
  <si>
    <t xml:space="preserve">CU-89876</t>
  </si>
  <si>
    <t xml:space="preserve">Elizabeth Tanaka</t>
  </si>
  <si>
    <t xml:space="preserve">US-2023-101696</t>
  </si>
  <si>
    <t xml:space="preserve">2023-05-20</t>
  </si>
  <si>
    <t xml:space="preserve">CU-84507</t>
  </si>
  <si>
    <t xml:space="preserve">Ahmed Garcia</t>
  </si>
  <si>
    <t xml:space="preserve">Dallas</t>
  </si>
  <si>
    <t xml:space="preserve">2023-05-26</t>
  </si>
  <si>
    <t xml:space="preserve">US-2023-101415</t>
  </si>
  <si>
    <t xml:space="preserve">CU-64360</t>
  </si>
  <si>
    <t xml:space="preserve">Elizabeth Smith</t>
  </si>
  <si>
    <t xml:space="preserve">US-2023-101317</t>
  </si>
  <si>
    <t xml:space="preserve">2023-05-24</t>
  </si>
  <si>
    <t xml:space="preserve">CU-55157</t>
  </si>
  <si>
    <t xml:space="preserve">Sunil Miller</t>
  </si>
  <si>
    <t xml:space="preserve">CU-74321</t>
  </si>
  <si>
    <t xml:space="preserve">Jennifer Silva</t>
  </si>
  <si>
    <t xml:space="preserve">US-2023-100253</t>
  </si>
  <si>
    <t xml:space="preserve">2023-05-27</t>
  </si>
  <si>
    <t xml:space="preserve">CU-58132</t>
  </si>
  <si>
    <t xml:space="preserve">Olivia Nair</t>
  </si>
  <si>
    <t xml:space="preserve">US-2023-101066</t>
  </si>
  <si>
    <t xml:space="preserve">CU-07667</t>
  </si>
  <si>
    <t xml:space="preserve">Wei Murphy</t>
  </si>
  <si>
    <t xml:space="preserve">US-2023-101625</t>
  </si>
  <si>
    <t xml:space="preserve">2023-05-29</t>
  </si>
  <si>
    <t xml:space="preserve">US-2023-100442</t>
  </si>
  <si>
    <t xml:space="preserve">CU-98857</t>
  </si>
  <si>
    <t xml:space="preserve">Aiko Nguyen</t>
  </si>
  <si>
    <t xml:space="preserve">US-2023-100211</t>
  </si>
  <si>
    <t xml:space="preserve">2023-05-31</t>
  </si>
  <si>
    <t xml:space="preserve">CU-64253</t>
  </si>
  <si>
    <t xml:space="preserve">Fatima Smith</t>
  </si>
  <si>
    <t xml:space="preserve">US-2023-101273</t>
  </si>
  <si>
    <t xml:space="preserve">2023-05-28</t>
  </si>
  <si>
    <t xml:space="preserve">US-2023-101585</t>
  </si>
  <si>
    <t xml:space="preserve">CU-61623</t>
  </si>
  <si>
    <t xml:space="preserve">Aiko Johnson</t>
  </si>
  <si>
    <t xml:space="preserve">US-2023-100818</t>
  </si>
  <si>
    <t xml:space="preserve">2023-06-01</t>
  </si>
  <si>
    <t xml:space="preserve">CU-79151</t>
  </si>
  <si>
    <t xml:space="preserve">James Smith</t>
  </si>
  <si>
    <t xml:space="preserve">US-2023-101256</t>
  </si>
  <si>
    <t xml:space="preserve">CU-87164</t>
  </si>
  <si>
    <t xml:space="preserve">Ahmed Tanaka</t>
  </si>
  <si>
    <t xml:space="preserve">US-2023-100461</t>
  </si>
  <si>
    <t xml:space="preserve">CU-38429</t>
  </si>
  <si>
    <t xml:space="preserve">Jennifer Murphy</t>
  </si>
  <si>
    <t xml:space="preserve">US-2023-100015</t>
  </si>
  <si>
    <t xml:space="preserve">2023-06-05</t>
  </si>
  <si>
    <t xml:space="preserve">US-2023-100368</t>
  </si>
  <si>
    <t xml:space="preserve">2023-05-30</t>
  </si>
  <si>
    <t xml:space="preserve">2023-06-04</t>
  </si>
  <si>
    <t xml:space="preserve">US-2023-100025</t>
  </si>
  <si>
    <t xml:space="preserve">CU-66006</t>
  </si>
  <si>
    <t xml:space="preserve">Linda Garcia</t>
  </si>
  <si>
    <t xml:space="preserve">US-2023-100924</t>
  </si>
  <si>
    <t xml:space="preserve">CU-90172</t>
  </si>
  <si>
    <t xml:space="preserve">Michael Johnson</t>
  </si>
  <si>
    <t xml:space="preserve">2023-06-06</t>
  </si>
  <si>
    <t xml:space="preserve">CU-63687</t>
  </si>
  <si>
    <t xml:space="preserve">Jennifer Garcia</t>
  </si>
  <si>
    <t xml:space="preserve">US-2023-100957</t>
  </si>
  <si>
    <t xml:space="preserve">CU-59362</t>
  </si>
  <si>
    <t xml:space="preserve">Michael Miller</t>
  </si>
  <si>
    <t xml:space="preserve">Spokane</t>
  </si>
  <si>
    <t xml:space="preserve">US-2023-100825</t>
  </si>
  <si>
    <t xml:space="preserve">2023-06-08</t>
  </si>
  <si>
    <t xml:space="preserve">US-2023-100717</t>
  </si>
  <si>
    <t xml:space="preserve">2023-06-02</t>
  </si>
  <si>
    <t xml:space="preserve">2023-06-09</t>
  </si>
  <si>
    <t xml:space="preserve">US-2023-100949</t>
  </si>
  <si>
    <t xml:space="preserve">CU-24781</t>
  </si>
  <si>
    <t xml:space="preserve">Maria Kapoor</t>
  </si>
  <si>
    <t xml:space="preserve">US-2023-100860</t>
  </si>
  <si>
    <t xml:space="preserve">CU-21978</t>
  </si>
  <si>
    <t xml:space="preserve">Patricia Tanaka</t>
  </si>
  <si>
    <t xml:space="preserve">US-2023-100120</t>
  </si>
  <si>
    <t xml:space="preserve">2023-06-03</t>
  </si>
  <si>
    <t xml:space="preserve">CU-33152</t>
  </si>
  <si>
    <t xml:space="preserve">Priya Johnson</t>
  </si>
  <si>
    <t xml:space="preserve">US-2023-100536</t>
  </si>
  <si>
    <t xml:space="preserve">US-2023-101088</t>
  </si>
  <si>
    <t xml:space="preserve">CU-89387</t>
  </si>
  <si>
    <t xml:space="preserve">Maria Brown</t>
  </si>
  <si>
    <t xml:space="preserve">US-2023-100796</t>
  </si>
  <si>
    <t xml:space="preserve">2023-06-07</t>
  </si>
  <si>
    <t xml:space="preserve">2023-06-10</t>
  </si>
  <si>
    <t xml:space="preserve">CU-39726</t>
  </si>
  <si>
    <t xml:space="preserve">Aiko Rodriguez</t>
  </si>
  <si>
    <t xml:space="preserve">US-2023-100841</t>
  </si>
  <si>
    <t xml:space="preserve">2023-06-13</t>
  </si>
  <si>
    <t xml:space="preserve">CU-78750</t>
  </si>
  <si>
    <t xml:space="preserve">James Murphy</t>
  </si>
  <si>
    <t xml:space="preserve">US-2023-101787</t>
  </si>
  <si>
    <t xml:space="preserve">2023-06-11</t>
  </si>
  <si>
    <t xml:space="preserve">US-2023-100223</t>
  </si>
  <si>
    <t xml:space="preserve">CU-68163</t>
  </si>
  <si>
    <t xml:space="preserve">Sunil Brown</t>
  </si>
  <si>
    <t xml:space="preserve">US-2023-100505</t>
  </si>
  <si>
    <t xml:space="preserve">CU-15417</t>
  </si>
  <si>
    <t xml:space="preserve">James Martinez</t>
  </si>
  <si>
    <t xml:space="preserve">US-2023-101514</t>
  </si>
  <si>
    <t xml:space="preserve">2023-06-14</t>
  </si>
  <si>
    <t xml:space="preserve">CU-55438</t>
  </si>
  <si>
    <t xml:space="preserve">Aiko Brown</t>
  </si>
  <si>
    <t xml:space="preserve">US-2023-100946</t>
  </si>
  <si>
    <t xml:space="preserve">2023-06-15</t>
  </si>
  <si>
    <t xml:space="preserve">CU-35161</t>
  </si>
  <si>
    <t xml:space="preserve">Priya Nguyen</t>
  </si>
  <si>
    <t xml:space="preserve">US-2023-101761</t>
  </si>
  <si>
    <t xml:space="preserve">US-2023-100869</t>
  </si>
  <si>
    <t xml:space="preserve">CU-75500</t>
  </si>
  <si>
    <t xml:space="preserve">John Jones</t>
  </si>
  <si>
    <t xml:space="preserve">US-2023-100123</t>
  </si>
  <si>
    <t xml:space="preserve">2023-06-18</t>
  </si>
  <si>
    <t xml:space="preserve">US-2023-101010</t>
  </si>
  <si>
    <t xml:space="preserve">CU-75950</t>
  </si>
  <si>
    <t xml:space="preserve">James Garcia</t>
  </si>
  <si>
    <t xml:space="preserve">2023-06-12</t>
  </si>
  <si>
    <t xml:space="preserve">CU-50135</t>
  </si>
  <si>
    <t xml:space="preserve">Robert Ali</t>
  </si>
  <si>
    <t xml:space="preserve">US-2023-100806</t>
  </si>
  <si>
    <t xml:space="preserve">2023-06-20</t>
  </si>
  <si>
    <t xml:space="preserve">CU-31721</t>
  </si>
  <si>
    <t xml:space="preserve">Liam Martinez</t>
  </si>
  <si>
    <t xml:space="preserve">CU-02747</t>
  </si>
  <si>
    <t xml:space="preserve">Patricia Nair</t>
  </si>
  <si>
    <t xml:space="preserve">US-2023-101362</t>
  </si>
  <si>
    <t xml:space="preserve">2023-06-21</t>
  </si>
  <si>
    <t xml:space="preserve">US-2023-100736</t>
  </si>
  <si>
    <t xml:space="preserve">2023-06-19</t>
  </si>
  <si>
    <t xml:space="preserve">US-2023-101278</t>
  </si>
  <si>
    <t xml:space="preserve">2023-06-16</t>
  </si>
  <si>
    <t xml:space="preserve">US-2023-100073</t>
  </si>
  <si>
    <t xml:space="preserve">CU-61645</t>
  </si>
  <si>
    <t xml:space="preserve">Ahmed Williams</t>
  </si>
  <si>
    <t xml:space="preserve">2023-06-17</t>
  </si>
  <si>
    <t xml:space="preserve">CU-41483</t>
  </si>
  <si>
    <t xml:space="preserve">Michael Williams</t>
  </si>
  <si>
    <t xml:space="preserve">2023-06-23</t>
  </si>
  <si>
    <t xml:space="preserve">CU-25048</t>
  </si>
  <si>
    <t xml:space="preserve">Fatima Kapoor</t>
  </si>
  <si>
    <t xml:space="preserve">US-2023-100084</t>
  </si>
  <si>
    <t xml:space="preserve">2023-06-22</t>
  </si>
  <si>
    <t xml:space="preserve">CU-98148</t>
  </si>
  <si>
    <t xml:space="preserve">Carlos Bennett</t>
  </si>
  <si>
    <t xml:space="preserve">US-2023-100435</t>
  </si>
  <si>
    <t xml:space="preserve">2023-06-25</t>
  </si>
  <si>
    <t xml:space="preserve">CU-06771</t>
  </si>
  <si>
    <t xml:space="preserve">Jennifer Martinez</t>
  </si>
  <si>
    <t xml:space="preserve">US-2023-101765</t>
  </si>
  <si>
    <t xml:space="preserve">CU-65115</t>
  </si>
  <si>
    <t xml:space="preserve">Jennifer Davis</t>
  </si>
  <si>
    <t xml:space="preserve">2023-06-24</t>
  </si>
  <si>
    <t xml:space="preserve">CU-50997</t>
  </si>
  <si>
    <t xml:space="preserve">Fatima Bennett</t>
  </si>
  <si>
    <t xml:space="preserve">US-2023-100518</t>
  </si>
  <si>
    <t xml:space="preserve">CU-18141</t>
  </si>
  <si>
    <t xml:space="preserve">Robert Tanaka</t>
  </si>
  <si>
    <t xml:space="preserve">US-2023-101798</t>
  </si>
  <si>
    <t xml:space="preserve">2023-06-28</t>
  </si>
  <si>
    <t xml:space="preserve">CU-80411</t>
  </si>
  <si>
    <t xml:space="preserve">Patricia Garcia</t>
  </si>
  <si>
    <t xml:space="preserve">US-2023-100497</t>
  </si>
  <si>
    <t xml:space="preserve">US-2023-100061</t>
  </si>
  <si>
    <t xml:space="preserve">2023-06-29</t>
  </si>
  <si>
    <t xml:space="preserve">US-2023-101347</t>
  </si>
  <si>
    <t xml:space="preserve">2023-06-27</t>
  </si>
  <si>
    <t xml:space="preserve">US-2023-100135</t>
  </si>
  <si>
    <t xml:space="preserve">2023-06-30</t>
  </si>
  <si>
    <t xml:space="preserve">CU-81026</t>
  </si>
  <si>
    <t xml:space="preserve">Carlos Kapoor</t>
  </si>
  <si>
    <t xml:space="preserve">US-2023-100878</t>
  </si>
  <si>
    <t xml:space="preserve">2023-07-04</t>
  </si>
  <si>
    <t xml:space="preserve">CU-14004</t>
  </si>
  <si>
    <t xml:space="preserve">John Silva</t>
  </si>
  <si>
    <t xml:space="preserve">US-2023-100502</t>
  </si>
  <si>
    <t xml:space="preserve">2023-07-01</t>
  </si>
  <si>
    <t xml:space="preserve">US-2023-101164</t>
  </si>
  <si>
    <t xml:space="preserve">2023-07-02</t>
  </si>
  <si>
    <t xml:space="preserve">CU-75528</t>
  </si>
  <si>
    <t xml:space="preserve">Elizabeth Kapoor</t>
  </si>
  <si>
    <t xml:space="preserve">2023-07-05</t>
  </si>
  <si>
    <t xml:space="preserve">CU-11713</t>
  </si>
  <si>
    <t xml:space="preserve">Liam Bennett</t>
  </si>
  <si>
    <t xml:space="preserve">US-2023-100189</t>
  </si>
  <si>
    <t xml:space="preserve">2023-07-06</t>
  </si>
  <si>
    <t xml:space="preserve">US-2023-101284</t>
  </si>
  <si>
    <t xml:space="preserve">2023-07-07</t>
  </si>
  <si>
    <t xml:space="preserve">CU-31722</t>
  </si>
  <si>
    <t xml:space="preserve">Olivia Miller</t>
  </si>
  <si>
    <t xml:space="preserve">US-2023-101780</t>
  </si>
  <si>
    <t xml:space="preserve">US-2023-101440</t>
  </si>
  <si>
    <t xml:space="preserve">CU-62780</t>
  </si>
  <si>
    <t xml:space="preserve">James Nguyen</t>
  </si>
  <si>
    <t xml:space="preserve">US-2023-100128</t>
  </si>
  <si>
    <t xml:space="preserve">2023-07-03</t>
  </si>
  <si>
    <t xml:space="preserve">2023-07-10</t>
  </si>
  <si>
    <t xml:space="preserve">US-2023-101008</t>
  </si>
  <si>
    <t xml:space="preserve">CU-65280</t>
  </si>
  <si>
    <t xml:space="preserve">Sunil Johnson</t>
  </si>
  <si>
    <t xml:space="preserve">US-2023-101226</t>
  </si>
  <si>
    <t xml:space="preserve">2023-07-08</t>
  </si>
  <si>
    <t xml:space="preserve">CU-57913</t>
  </si>
  <si>
    <t xml:space="preserve">John Davis</t>
  </si>
  <si>
    <t xml:space="preserve">US-2023-101081</t>
  </si>
  <si>
    <t xml:space="preserve">2023-07-12</t>
  </si>
  <si>
    <t xml:space="preserve">US-2023-100079</t>
  </si>
  <si>
    <t xml:space="preserve">US-2023-101743</t>
  </si>
  <si>
    <t xml:space="preserve">US-2023-101260</t>
  </si>
  <si>
    <t xml:space="preserve">2023-07-14</t>
  </si>
  <si>
    <t xml:space="preserve">CU-53830</t>
  </si>
  <si>
    <t xml:space="preserve">Linda Khan</t>
  </si>
  <si>
    <t xml:space="preserve">US-2023-100799</t>
  </si>
  <si>
    <t xml:space="preserve">2023-07-11</t>
  </si>
  <si>
    <t xml:space="preserve">CU-02945</t>
  </si>
  <si>
    <t xml:space="preserve">Liam Williams</t>
  </si>
  <si>
    <t xml:space="preserve">US-2023-100523</t>
  </si>
  <si>
    <t xml:space="preserve">2023-07-17</t>
  </si>
  <si>
    <t xml:space="preserve">US-2023-100036</t>
  </si>
  <si>
    <t xml:space="preserve">US-2023-101628</t>
  </si>
  <si>
    <t xml:space="preserve">2023-07-13</t>
  </si>
  <si>
    <t xml:space="preserve">CU-02289</t>
  </si>
  <si>
    <t xml:space="preserve">Carlos Smith</t>
  </si>
  <si>
    <t xml:space="preserve">US-2023-100013</t>
  </si>
  <si>
    <t xml:space="preserve">US-2023-101235</t>
  </si>
  <si>
    <t xml:space="preserve">2023-07-16</t>
  </si>
  <si>
    <t xml:space="preserve">US-2023-100544</t>
  </si>
  <si>
    <t xml:space="preserve">2023-07-18</t>
  </si>
  <si>
    <t xml:space="preserve">2023-07-19</t>
  </si>
  <si>
    <t xml:space="preserve">CU-54577</t>
  </si>
  <si>
    <t xml:space="preserve">Patricia Smith</t>
  </si>
  <si>
    <t xml:space="preserve">CU-02669</t>
  </si>
  <si>
    <t xml:space="preserve">Jennifer Chen</t>
  </si>
  <si>
    <t xml:space="preserve">US-2023-101769</t>
  </si>
  <si>
    <t xml:space="preserve">2023-07-20</t>
  </si>
  <si>
    <t xml:space="preserve">US-2023-101704</t>
  </si>
  <si>
    <t xml:space="preserve">US-2023-100147</t>
  </si>
  <si>
    <t xml:space="preserve">CU-16959</t>
  </si>
  <si>
    <t xml:space="preserve">Aiko Jones</t>
  </si>
  <si>
    <t xml:space="preserve">US-2023-101447</t>
  </si>
  <si>
    <t xml:space="preserve">2023-07-15</t>
  </si>
  <si>
    <t xml:space="preserve">US-2023-101139</t>
  </si>
  <si>
    <t xml:space="preserve">US-2023-101183</t>
  </si>
  <si>
    <t xml:space="preserve">CU-44478</t>
  </si>
  <si>
    <t xml:space="preserve">Maria Silva</t>
  </si>
  <si>
    <t xml:space="preserve">US-2023-100507</t>
  </si>
  <si>
    <t xml:space="preserve">US-2023-100202</t>
  </si>
  <si>
    <t xml:space="preserve">2023-07-21</t>
  </si>
  <si>
    <t xml:space="preserve">US-2023-101427</t>
  </si>
  <si>
    <t xml:space="preserve">2023-07-24</t>
  </si>
  <si>
    <t xml:space="preserve">CU-89264</t>
  </si>
  <si>
    <t xml:space="preserve">Robert Murphy</t>
  </si>
  <si>
    <t xml:space="preserve">2023-07-26</t>
  </si>
  <si>
    <t xml:space="preserve">CU-83105</t>
  </si>
  <si>
    <t xml:space="preserve">Ahmed Brown</t>
  </si>
  <si>
    <t xml:space="preserve">US-2023-100011</t>
  </si>
  <si>
    <t xml:space="preserve">2023-07-25</t>
  </si>
  <si>
    <t xml:space="preserve">2023-07-23</t>
  </si>
  <si>
    <t xml:space="preserve">US-2023-101807</t>
  </si>
  <si>
    <t xml:space="preserve">2023-07-28</t>
  </si>
  <si>
    <t xml:space="preserve">CU-74732</t>
  </si>
  <si>
    <t xml:space="preserve">Priya Bennett</t>
  </si>
  <si>
    <t xml:space="preserve">2023-07-30</t>
  </si>
  <si>
    <t xml:space="preserve">US-2023-101149</t>
  </si>
  <si>
    <t xml:space="preserve">2023-07-27</t>
  </si>
  <si>
    <t xml:space="preserve">US-2023-100454</t>
  </si>
  <si>
    <t xml:space="preserve">2023-07-29</t>
  </si>
  <si>
    <t xml:space="preserve">CU-05307</t>
  </si>
  <si>
    <t xml:space="preserve">Fatima Nguyen</t>
  </si>
  <si>
    <t xml:space="preserve">2023-08-01</t>
  </si>
  <si>
    <t xml:space="preserve">US-2023-101775</t>
  </si>
  <si>
    <t xml:space="preserve">CU-90762</t>
  </si>
  <si>
    <t xml:space="preserve">Sunil Bennett</t>
  </si>
  <si>
    <t xml:space="preserve">US-2023-100173</t>
  </si>
  <si>
    <t xml:space="preserve">2023-08-03</t>
  </si>
  <si>
    <t xml:space="preserve">US-2023-100418</t>
  </si>
  <si>
    <t xml:space="preserve">CU-61019</t>
  </si>
  <si>
    <t xml:space="preserve">Ahmed Bennett</t>
  </si>
  <si>
    <t xml:space="preserve">US-2023-101545</t>
  </si>
  <si>
    <t xml:space="preserve">2023-08-04</t>
  </si>
  <si>
    <t xml:space="preserve">US-2023-101370</t>
  </si>
  <si>
    <t xml:space="preserve">2023-08-02</t>
  </si>
  <si>
    <t xml:space="preserve">CU-62609</t>
  </si>
  <si>
    <t xml:space="preserve">David Chen</t>
  </si>
  <si>
    <t xml:space="preserve">2023-07-31</t>
  </si>
  <si>
    <t xml:space="preserve">CU-20012</t>
  </si>
  <si>
    <t xml:space="preserve">Jennifer Smith</t>
  </si>
  <si>
    <t xml:space="preserve">US-2023-100928</t>
  </si>
  <si>
    <t xml:space="preserve">2023-08-07</t>
  </si>
  <si>
    <t xml:space="preserve">CU-26059</t>
  </si>
  <si>
    <t xml:space="preserve">Jennifer Khan</t>
  </si>
  <si>
    <t xml:space="preserve">US-2023-100678</t>
  </si>
  <si>
    <t xml:space="preserve">CU-25047</t>
  </si>
  <si>
    <t xml:space="preserve">David Smith</t>
  </si>
  <si>
    <t xml:space="preserve">US-2023-100715</t>
  </si>
  <si>
    <t xml:space="preserve">2023-08-05</t>
  </si>
  <si>
    <t xml:space="preserve">2023-08-09</t>
  </si>
  <si>
    <t xml:space="preserve">CU-52138</t>
  </si>
  <si>
    <t xml:space="preserve">Linda Miller</t>
  </si>
  <si>
    <t xml:space="preserve">US-2023-100958</t>
  </si>
  <si>
    <t xml:space="preserve">2023-08-12</t>
  </si>
  <si>
    <t xml:space="preserve">US-2023-101567</t>
  </si>
  <si>
    <t xml:space="preserve">CU-47265</t>
  </si>
  <si>
    <t xml:space="preserve">Mary Davis</t>
  </si>
  <si>
    <t xml:space="preserve">US-2023-100378</t>
  </si>
  <si>
    <t xml:space="preserve">2023-08-06</t>
  </si>
  <si>
    <t xml:space="preserve">US-2023-101045</t>
  </si>
  <si>
    <t xml:space="preserve">US-2023-101561</t>
  </si>
  <si>
    <t xml:space="preserve">US-2023-100289</t>
  </si>
  <si>
    <t xml:space="preserve">2023-08-08</t>
  </si>
  <si>
    <t xml:space="preserve">2023-08-15</t>
  </si>
  <si>
    <t xml:space="preserve">CU-24485</t>
  </si>
  <si>
    <t xml:space="preserve">Maria Chen</t>
  </si>
  <si>
    <t xml:space="preserve">US-2023-100549</t>
  </si>
  <si>
    <t xml:space="preserve">US-2023-101756</t>
  </si>
  <si>
    <t xml:space="preserve">US-2023-101359</t>
  </si>
  <si>
    <t xml:space="preserve">US-2023-101013</t>
  </si>
  <si>
    <t xml:space="preserve">US-2023-101577</t>
  </si>
  <si>
    <t xml:space="preserve">2023-08-16</t>
  </si>
  <si>
    <t xml:space="preserve">US-2023-101079</t>
  </si>
  <si>
    <t xml:space="preserve">2023-08-13</t>
  </si>
  <si>
    <t xml:space="preserve">CU-31624</t>
  </si>
  <si>
    <t xml:space="preserve">James Jones</t>
  </si>
  <si>
    <t xml:space="preserve">US-2023-101009</t>
  </si>
  <si>
    <t xml:space="preserve">CU-39482</t>
  </si>
  <si>
    <t xml:space="preserve">John Murphy</t>
  </si>
  <si>
    <t xml:space="preserve">2023-08-10</t>
  </si>
  <si>
    <t xml:space="preserve">US-2023-101515</t>
  </si>
  <si>
    <t xml:space="preserve">US-2023-101495</t>
  </si>
  <si>
    <t xml:space="preserve">2023-08-11</t>
  </si>
  <si>
    <t xml:space="preserve">CU-88441</t>
  </si>
  <si>
    <t xml:space="preserve">Maria Smith</t>
  </si>
  <si>
    <t xml:space="preserve">US-2023-101021</t>
  </si>
  <si>
    <t xml:space="preserve">2023-08-17</t>
  </si>
  <si>
    <t xml:space="preserve">US-2023-100967</t>
  </si>
  <si>
    <t xml:space="preserve">2023-08-20</t>
  </si>
  <si>
    <t xml:space="preserve">US-2023-100771</t>
  </si>
  <si>
    <t xml:space="preserve">2023-08-14</t>
  </si>
  <si>
    <t xml:space="preserve">2023-08-18</t>
  </si>
  <si>
    <t xml:space="preserve">US-2023-100561</t>
  </si>
  <si>
    <t xml:space="preserve">2023-08-19</t>
  </si>
  <si>
    <t xml:space="preserve">US-2023-100322</t>
  </si>
  <si>
    <t xml:space="preserve">CU-69780</t>
  </si>
  <si>
    <t xml:space="preserve">Michael Jones</t>
  </si>
  <si>
    <t xml:space="preserve">US-2023-101540</t>
  </si>
  <si>
    <t xml:space="preserve">US-2023-100001</t>
  </si>
  <si>
    <t xml:space="preserve">2023-08-21</t>
  </si>
  <si>
    <t xml:space="preserve">US-2023-101639</t>
  </si>
  <si>
    <t xml:space="preserve">2023-08-23</t>
  </si>
  <si>
    <t xml:space="preserve">CU-62901</t>
  </si>
  <si>
    <t xml:space="preserve">James Miller</t>
  </si>
  <si>
    <t xml:space="preserve">US-2023-101816</t>
  </si>
  <si>
    <t xml:space="preserve">2023-08-28</t>
  </si>
  <si>
    <t xml:space="preserve">US-2023-100598</t>
  </si>
  <si>
    <t xml:space="preserve">2023-08-25</t>
  </si>
  <si>
    <t xml:space="preserve">CU-64870</t>
  </si>
  <si>
    <t xml:space="preserve">Elizabeth Rodriguez</t>
  </si>
  <si>
    <t xml:space="preserve">US-2023-100338</t>
  </si>
  <si>
    <t xml:space="preserve">2023-08-22</t>
  </si>
  <si>
    <t xml:space="preserve">2023-08-26</t>
  </si>
  <si>
    <t xml:space="preserve">CU-84459</t>
  </si>
  <si>
    <t xml:space="preserve">Olivia Khan</t>
  </si>
  <si>
    <t xml:space="preserve">US-2023-100895</t>
  </si>
  <si>
    <t xml:space="preserve">2023-08-24</t>
  </si>
  <si>
    <t xml:space="preserve">CU-60371</t>
  </si>
  <si>
    <t xml:space="preserve">Aiko Bennett</t>
  </si>
  <si>
    <t xml:space="preserve">US-2023-100696</t>
  </si>
  <si>
    <t xml:space="preserve">2023-08-29</t>
  </si>
  <si>
    <t xml:space="preserve">US-2023-100022</t>
  </si>
  <si>
    <t xml:space="preserve">US-2023-101098</t>
  </si>
  <si>
    <t xml:space="preserve">2023-08-30</t>
  </si>
  <si>
    <t xml:space="preserve">US-2023-100283</t>
  </si>
  <si>
    <t xml:space="preserve">2023-09-02</t>
  </si>
  <si>
    <t xml:space="preserve">US-2023-100693</t>
  </si>
  <si>
    <t xml:space="preserve">2023-08-27</t>
  </si>
  <si>
    <t xml:space="preserve">US-2023-101626</t>
  </si>
  <si>
    <t xml:space="preserve">CU-37869</t>
  </si>
  <si>
    <t xml:space="preserve">Fatima Johnson</t>
  </si>
  <si>
    <t xml:space="preserve">US-2023-101471</t>
  </si>
  <si>
    <t xml:space="preserve">2023-08-31</t>
  </si>
  <si>
    <t xml:space="preserve">US-2023-100462</t>
  </si>
  <si>
    <t xml:space="preserve">2023-09-03</t>
  </si>
  <si>
    <t xml:space="preserve">CU-91558</t>
  </si>
  <si>
    <t xml:space="preserve">Patricia Murphy</t>
  </si>
  <si>
    <t xml:space="preserve">CU-34830</t>
  </si>
  <si>
    <t xml:space="preserve">James Khan</t>
  </si>
  <si>
    <t xml:space="preserve">US-2023-101434</t>
  </si>
  <si>
    <t xml:space="preserve">CU-70339</t>
  </si>
  <si>
    <t xml:space="preserve">Priya Tanaka</t>
  </si>
  <si>
    <t xml:space="preserve">US-2023-101298</t>
  </si>
  <si>
    <t xml:space="preserve">US-2023-100397</t>
  </si>
  <si>
    <t xml:space="preserve">2023-09-01</t>
  </si>
  <si>
    <t xml:space="preserve">US-2023-100985</t>
  </si>
  <si>
    <t xml:space="preserve">2023-09-06</t>
  </si>
  <si>
    <t xml:space="preserve">US-2023-100610</t>
  </si>
  <si>
    <t xml:space="preserve">2023-09-05</t>
  </si>
  <si>
    <t xml:space="preserve">CU-15452</t>
  </si>
  <si>
    <t xml:space="preserve">Liam Nair</t>
  </si>
  <si>
    <t xml:space="preserve">US-2023-100035</t>
  </si>
  <si>
    <t xml:space="preserve">2023-09-04</t>
  </si>
  <si>
    <t xml:space="preserve">US-2023-100671</t>
  </si>
  <si>
    <t xml:space="preserve">2023-09-09</t>
  </si>
  <si>
    <t xml:space="preserve">US-2023-101162</t>
  </si>
  <si>
    <t xml:space="preserve">2023-09-08</t>
  </si>
  <si>
    <t xml:space="preserve">US-2023-100404</t>
  </si>
  <si>
    <t xml:space="preserve">2023-09-12</t>
  </si>
  <si>
    <t xml:space="preserve">CU-85486</t>
  </si>
  <si>
    <t xml:space="preserve">Fatima Tanaka</t>
  </si>
  <si>
    <t xml:space="preserve">US-2023-100937</t>
  </si>
  <si>
    <t xml:space="preserve">2023-09-10</t>
  </si>
  <si>
    <t xml:space="preserve">US-2023-100811</t>
  </si>
  <si>
    <t xml:space="preserve">CU-10926</t>
  </si>
  <si>
    <t xml:space="preserve">Michael Davis</t>
  </si>
  <si>
    <t xml:space="preserve">US-2023-101813</t>
  </si>
  <si>
    <t xml:space="preserve">2023-09-13</t>
  </si>
  <si>
    <t xml:space="preserve">2023-09-16</t>
  </si>
  <si>
    <t xml:space="preserve">US-2023-101522</t>
  </si>
  <si>
    <t xml:space="preserve">2023-09-14</t>
  </si>
  <si>
    <t xml:space="preserve">2023-09-18</t>
  </si>
  <si>
    <t xml:space="preserve">US-2023-100296</t>
  </si>
  <si>
    <t xml:space="preserve">2023-09-15</t>
  </si>
  <si>
    <t xml:space="preserve">US-2023-101103</t>
  </si>
  <si>
    <t xml:space="preserve">2023-09-17</t>
  </si>
  <si>
    <t xml:space="preserve">CU-86557</t>
  </si>
  <si>
    <t xml:space="preserve">Wei Jones</t>
  </si>
  <si>
    <t xml:space="preserve">US-2023-100037</t>
  </si>
  <si>
    <t xml:space="preserve">US-2023-100864</t>
  </si>
  <si>
    <t xml:space="preserve">US-2023-100460</t>
  </si>
  <si>
    <t xml:space="preserve">2023-09-20</t>
  </si>
  <si>
    <t xml:space="preserve">CU-72117</t>
  </si>
  <si>
    <t xml:space="preserve">John Khan</t>
  </si>
  <si>
    <t xml:space="preserve">US-2023-100727</t>
  </si>
  <si>
    <t xml:space="preserve">2023-09-23</t>
  </si>
  <si>
    <t xml:space="preserve">CU-56518</t>
  </si>
  <si>
    <t xml:space="preserve">Sunil Silva</t>
  </si>
  <si>
    <t xml:space="preserve">US-2023-100469</t>
  </si>
  <si>
    <t xml:space="preserve">2023-09-21</t>
  </si>
  <si>
    <t xml:space="preserve">2023-09-28</t>
  </si>
  <si>
    <t xml:space="preserve">US-2023-100341</t>
  </si>
  <si>
    <t xml:space="preserve">2023-09-22</t>
  </si>
  <si>
    <t xml:space="preserve">2023-09-26</t>
  </si>
  <si>
    <t xml:space="preserve">US-2023-100365</t>
  </si>
  <si>
    <t xml:space="preserve">2023-09-24</t>
  </si>
  <si>
    <t xml:space="preserve">CU-64321</t>
  </si>
  <si>
    <t xml:space="preserve">Aiko Nair</t>
  </si>
  <si>
    <t xml:space="preserve">US-2023-100710</t>
  </si>
  <si>
    <t xml:space="preserve">2023-09-25</t>
  </si>
  <si>
    <t xml:space="preserve">US-2023-100923</t>
  </si>
  <si>
    <t xml:space="preserve">CU-19098</t>
  </si>
  <si>
    <t xml:space="preserve">Mary Smith</t>
  </si>
  <si>
    <t xml:space="preserve">US-2023-100164</t>
  </si>
  <si>
    <t xml:space="preserve">US-2023-100754</t>
  </si>
  <si>
    <t xml:space="preserve">2023-10-01</t>
  </si>
  <si>
    <t xml:space="preserve">CU-32985</t>
  </si>
  <si>
    <t xml:space="preserve">Mary Rodriguez</t>
  </si>
  <si>
    <t xml:space="preserve">US-2023-100222</t>
  </si>
  <si>
    <t xml:space="preserve">2023-10-05</t>
  </si>
  <si>
    <t xml:space="preserve">US-2023-100646</t>
  </si>
  <si>
    <t xml:space="preserve">2023-09-29</t>
  </si>
  <si>
    <t xml:space="preserve">2023-10-03</t>
  </si>
  <si>
    <t xml:space="preserve">CU-98023</t>
  </si>
  <si>
    <t xml:space="preserve">Robert Miller</t>
  </si>
  <si>
    <t xml:space="preserve">2023-10-02</t>
  </si>
  <si>
    <t xml:space="preserve">US-2023-101182</t>
  </si>
  <si>
    <t xml:space="preserve">2023-10-04</t>
  </si>
  <si>
    <t xml:space="preserve">US-2023-101805</t>
  </si>
  <si>
    <t xml:space="preserve">2023-09-30</t>
  </si>
  <si>
    <t xml:space="preserve">US-2023-101716</t>
  </si>
  <si>
    <t xml:space="preserve">CU-19067</t>
  </si>
  <si>
    <t xml:space="preserve">Mary Chen</t>
  </si>
  <si>
    <t xml:space="preserve">US-2023-100108</t>
  </si>
  <si>
    <t xml:space="preserve">2023-10-08</t>
  </si>
  <si>
    <t xml:space="preserve">2023-10-06</t>
  </si>
  <si>
    <t xml:space="preserve">CU-49610</t>
  </si>
  <si>
    <t xml:space="preserve">Liam Kapoor</t>
  </si>
  <si>
    <t xml:space="preserve">US-2023-101250</t>
  </si>
  <si>
    <t xml:space="preserve">US-2023-101500</t>
  </si>
  <si>
    <t xml:space="preserve">2023-10-10</t>
  </si>
  <si>
    <t xml:space="preserve">CU-39346</t>
  </si>
  <si>
    <t xml:space="preserve">Liam Tanaka</t>
  </si>
  <si>
    <t xml:space="preserve">US-2023-101072</t>
  </si>
  <si>
    <t xml:space="preserve">US-2023-100920</t>
  </si>
  <si>
    <t xml:space="preserve">CU-27961</t>
  </si>
  <si>
    <t xml:space="preserve">Maria Williams</t>
  </si>
  <si>
    <t xml:space="preserve">2023-10-07</t>
  </si>
  <si>
    <t xml:space="preserve">2023-10-13</t>
  </si>
  <si>
    <t xml:space="preserve">CU-57107</t>
  </si>
  <si>
    <t xml:space="preserve">Jennifer Williams</t>
  </si>
  <si>
    <t xml:space="preserve">US-2023-101764</t>
  </si>
  <si>
    <t xml:space="preserve">2023-10-11</t>
  </si>
  <si>
    <t xml:space="preserve">US-2023-100245</t>
  </si>
  <si>
    <t xml:space="preserve">CU-92928</t>
  </si>
  <si>
    <t xml:space="preserve">James Ali</t>
  </si>
  <si>
    <t xml:space="preserve">2023-10-14</t>
  </si>
  <si>
    <t xml:space="preserve">US-2023-101346</t>
  </si>
  <si>
    <t xml:space="preserve">2023-10-12</t>
  </si>
  <si>
    <t xml:space="preserve">CU-96064</t>
  </si>
  <si>
    <t xml:space="preserve">Priya Davis</t>
  </si>
  <si>
    <t xml:space="preserve">US-2023-101151</t>
  </si>
  <si>
    <t xml:space="preserve">2023-10-09</t>
  </si>
  <si>
    <t xml:space="preserve">CU-11748</t>
  </si>
  <si>
    <t xml:space="preserve">David Miller</t>
  </si>
  <si>
    <t xml:space="preserve">US-2023-100429</t>
  </si>
  <si>
    <t xml:space="preserve">2023-10-15</t>
  </si>
  <si>
    <t xml:space="preserve">CU-60300</t>
  </si>
  <si>
    <t xml:space="preserve">Maria Rodriguez</t>
  </si>
  <si>
    <t xml:space="preserve">US-2023-100400</t>
  </si>
  <si>
    <t xml:space="preserve">2023-10-17</t>
  </si>
  <si>
    <t xml:space="preserve">CU-45133</t>
  </si>
  <si>
    <t xml:space="preserve">Wei Kapoor</t>
  </si>
  <si>
    <t xml:space="preserve">US-2023-101319</t>
  </si>
  <si>
    <t xml:space="preserve">CU-76579</t>
  </si>
  <si>
    <t xml:space="preserve">Carlos Ali</t>
  </si>
  <si>
    <t xml:space="preserve">US-2023-100530</t>
  </si>
  <si>
    <t xml:space="preserve">2023-10-16</t>
  </si>
  <si>
    <t xml:space="preserve">CU-80225</t>
  </si>
  <si>
    <t xml:space="preserve">Maria Tanaka</t>
  </si>
  <si>
    <t xml:space="preserve">US-2023-101419</t>
  </si>
  <si>
    <t xml:space="preserve">US-2023-100907</t>
  </si>
  <si>
    <t xml:space="preserve">2023-10-20</t>
  </si>
  <si>
    <t xml:space="preserve">CU-22312</t>
  </si>
  <si>
    <t xml:space="preserve">James Rodriguez</t>
  </si>
  <si>
    <t xml:space="preserve">2023-10-18</t>
  </si>
  <si>
    <t xml:space="preserve">CU-23996</t>
  </si>
  <si>
    <t xml:space="preserve">Maria Nguyen</t>
  </si>
  <si>
    <t xml:space="preserve">CU-45525</t>
  </si>
  <si>
    <t xml:space="preserve">Ahmed Khan</t>
  </si>
  <si>
    <t xml:space="preserve">US-2023-100555</t>
  </si>
  <si>
    <t xml:space="preserve">US-2023-100944</t>
  </si>
  <si>
    <t xml:space="preserve">2023-10-22</t>
  </si>
  <si>
    <t xml:space="preserve">CU-13575</t>
  </si>
  <si>
    <t xml:space="preserve">Maria Bennett</t>
  </si>
  <si>
    <t xml:space="preserve">US-2023-101733</t>
  </si>
  <si>
    <t xml:space="preserve">2023-10-23</t>
  </si>
  <si>
    <t xml:space="preserve">US-2023-100970</t>
  </si>
  <si>
    <t xml:space="preserve">2023-10-21</t>
  </si>
  <si>
    <t xml:space="preserve">US-2023-101124</t>
  </si>
  <si>
    <t xml:space="preserve">US-2023-100726</t>
  </si>
  <si>
    <t xml:space="preserve">CU-43784</t>
  </si>
  <si>
    <t xml:space="preserve">Aiko Garcia</t>
  </si>
  <si>
    <t xml:space="preserve">CU-35982</t>
  </si>
  <si>
    <t xml:space="preserve">John Bennett</t>
  </si>
  <si>
    <t xml:space="preserve">US-2023-101819</t>
  </si>
  <si>
    <t xml:space="preserve">2023-10-19</t>
  </si>
  <si>
    <t xml:space="preserve">2023-10-25</t>
  </si>
  <si>
    <t xml:space="preserve">CU-74948</t>
  </si>
  <si>
    <t xml:space="preserve">Fatima Brown</t>
  </si>
  <si>
    <t xml:space="preserve">US-2023-100158</t>
  </si>
  <si>
    <t xml:space="preserve">US-2023-101575</t>
  </si>
  <si>
    <t xml:space="preserve">US-2023-100064</t>
  </si>
  <si>
    <t xml:space="preserve">US-2023-101300</t>
  </si>
  <si>
    <t xml:space="preserve">2023-10-28</t>
  </si>
  <si>
    <t xml:space="preserve">US-2023-101850</t>
  </si>
  <si>
    <t xml:space="preserve">2023-10-26</t>
  </si>
  <si>
    <t xml:space="preserve">US-2023-100676</t>
  </si>
  <si>
    <t xml:space="preserve">US-2023-100708</t>
  </si>
  <si>
    <t xml:space="preserve">US-2023-100463</t>
  </si>
  <si>
    <t xml:space="preserve">2023-10-24</t>
  </si>
  <si>
    <t xml:space="preserve">US-2023-100933</t>
  </si>
  <si>
    <t xml:space="preserve">CU-18011</t>
  </si>
  <si>
    <t xml:space="preserve">Wei Nguyen</t>
  </si>
  <si>
    <t xml:space="preserve">2023-10-31</t>
  </si>
  <si>
    <t xml:space="preserve">US-2023-101579</t>
  </si>
  <si>
    <t xml:space="preserve">2023-10-29</t>
  </si>
  <si>
    <t xml:space="preserve">2023-11-02</t>
  </si>
  <si>
    <t xml:space="preserve">CU-65687</t>
  </si>
  <si>
    <t xml:space="preserve">John Kapoor</t>
  </si>
  <si>
    <t xml:space="preserve">US-2023-100272</t>
  </si>
  <si>
    <t xml:space="preserve">CU-27010</t>
  </si>
  <si>
    <t xml:space="preserve">James Bennett</t>
  </si>
  <si>
    <t xml:space="preserve">US-2023-100129</t>
  </si>
  <si>
    <t xml:space="preserve">2023-11-01</t>
  </si>
  <si>
    <t xml:space="preserve">US-2023-100265</t>
  </si>
  <si>
    <t xml:space="preserve">US-2023-101438</t>
  </si>
  <si>
    <t xml:space="preserve">2023-10-27</t>
  </si>
  <si>
    <t xml:space="preserve">CU-90608</t>
  </si>
  <si>
    <t xml:space="preserve">Priya Silva</t>
  </si>
  <si>
    <t xml:space="preserve">2023-11-03</t>
  </si>
  <si>
    <t xml:space="preserve">CU-07544</t>
  </si>
  <si>
    <t xml:space="preserve">Wei Khan</t>
  </si>
  <si>
    <t xml:space="preserve">US-2023-101114</t>
  </si>
  <si>
    <t xml:space="preserve">US-2023-100991</t>
  </si>
  <si>
    <t xml:space="preserve">2023-10-30</t>
  </si>
  <si>
    <t xml:space="preserve">2023-11-05</t>
  </si>
  <si>
    <t xml:space="preserve">US-2023-100057</t>
  </si>
  <si>
    <t xml:space="preserve">CU-43914</t>
  </si>
  <si>
    <t xml:space="preserve">Linda Murphy</t>
  </si>
  <si>
    <t xml:space="preserve">US-2023-101700</t>
  </si>
  <si>
    <t xml:space="preserve">US-2023-100383</t>
  </si>
  <si>
    <t xml:space="preserve">2023-11-04</t>
  </si>
  <si>
    <t xml:space="preserve">US-2023-101097</t>
  </si>
  <si>
    <t xml:space="preserve">CU-84109</t>
  </si>
  <si>
    <t xml:space="preserve">Sunil Smith</t>
  </si>
  <si>
    <t xml:space="preserve">US-2023-101303</t>
  </si>
  <si>
    <t xml:space="preserve">US-2023-100096</t>
  </si>
  <si>
    <t xml:space="preserve">CU-45210</t>
  </si>
  <si>
    <t xml:space="preserve">Ahmed Ali</t>
  </si>
  <si>
    <t xml:space="preserve">2023-11-07</t>
  </si>
  <si>
    <t xml:space="preserve">US-2023-101609</t>
  </si>
  <si>
    <t xml:space="preserve">2023-11-10</t>
  </si>
  <si>
    <t xml:space="preserve">US-2023-101646</t>
  </si>
  <si>
    <t xml:space="preserve">US-2023-100175</t>
  </si>
  <si>
    <t xml:space="preserve">US-2023-100856</t>
  </si>
  <si>
    <t xml:space="preserve">2023-11-06</t>
  </si>
  <si>
    <t xml:space="preserve">US-2023-100276</t>
  </si>
  <si>
    <t xml:space="preserve">US-2023-100356</t>
  </si>
  <si>
    <t xml:space="preserve">US-2023-101404</t>
  </si>
  <si>
    <t xml:space="preserve">2023-11-11</t>
  </si>
  <si>
    <t xml:space="preserve">US-2023-101075</t>
  </si>
  <si>
    <t xml:space="preserve">US-2023-101089</t>
  </si>
  <si>
    <t xml:space="preserve">2023-11-08</t>
  </si>
  <si>
    <t xml:space="preserve">2023-11-09</t>
  </si>
  <si>
    <t xml:space="preserve">US-2023-100779</t>
  </si>
  <si>
    <t xml:space="preserve">CU-61685</t>
  </si>
  <si>
    <t xml:space="preserve">Robert Johnson</t>
  </si>
  <si>
    <t xml:space="preserve">US-2023-100981</t>
  </si>
  <si>
    <t xml:space="preserve">US-2023-101424</t>
  </si>
  <si>
    <t xml:space="preserve">2023-11-12</t>
  </si>
  <si>
    <t xml:space="preserve">CU-19468</t>
  </si>
  <si>
    <t xml:space="preserve">Robert Smith</t>
  </si>
  <si>
    <t xml:space="preserve">US-2023-100988</t>
  </si>
  <si>
    <t xml:space="preserve">2023-11-16</t>
  </si>
  <si>
    <t xml:space="preserve">US-2023-100006</t>
  </si>
  <si>
    <t xml:space="preserve">2023-11-14</t>
  </si>
  <si>
    <t xml:space="preserve">CU-13032</t>
  </si>
  <si>
    <t xml:space="preserve">Carlos Johnson</t>
  </si>
  <si>
    <t xml:space="preserve">US-2023-101023</t>
  </si>
  <si>
    <t xml:space="preserve">US-2023-101318</t>
  </si>
  <si>
    <t xml:space="preserve">2023-11-13</t>
  </si>
  <si>
    <t xml:space="preserve">US-2023-101208</t>
  </si>
  <si>
    <t xml:space="preserve">2023-11-17</t>
  </si>
  <si>
    <t xml:space="preserve">US-2023-101414</t>
  </si>
  <si>
    <t xml:space="preserve">2023-11-15</t>
  </si>
  <si>
    <t xml:space="preserve">2023-11-18</t>
  </si>
  <si>
    <t xml:space="preserve">US-2023-100241</t>
  </si>
  <si>
    <t xml:space="preserve">2023-11-19</t>
  </si>
  <si>
    <t xml:space="preserve">CU-02867</t>
  </si>
  <si>
    <t xml:space="preserve">James Johnson</t>
  </si>
  <si>
    <t xml:space="preserve">US-2023-100149</t>
  </si>
  <si>
    <t xml:space="preserve">2023-11-20</t>
  </si>
  <si>
    <t xml:space="preserve">US-2023-100702</t>
  </si>
  <si>
    <t xml:space="preserve">US-2023-101605</t>
  </si>
  <si>
    <t xml:space="preserve">CU-56928</t>
  </si>
  <si>
    <t xml:space="preserve">Olivia Ali</t>
  </si>
  <si>
    <t xml:space="preserve">US-2023-100812</t>
  </si>
  <si>
    <t xml:space="preserve">2023-11-22</t>
  </si>
  <si>
    <t xml:space="preserve">CU-70524</t>
  </si>
  <si>
    <t xml:space="preserve">Linda Bennett</t>
  </si>
  <si>
    <t xml:space="preserve">US-2023-101651</t>
  </si>
  <si>
    <t xml:space="preserve">CU-49684</t>
  </si>
  <si>
    <t xml:space="preserve">Aiko Smith</t>
  </si>
  <si>
    <t xml:space="preserve">US-2023-100250</t>
  </si>
  <si>
    <t xml:space="preserve">CU-55916</t>
  </si>
  <si>
    <t xml:space="preserve">Sunil Ali</t>
  </si>
  <si>
    <t xml:space="preserve">US-2023-100644</t>
  </si>
  <si>
    <t xml:space="preserve">2023-11-23</t>
  </si>
  <si>
    <t xml:space="preserve">US-2023-100820</t>
  </si>
  <si>
    <t xml:space="preserve">2023-11-30</t>
  </si>
  <si>
    <t xml:space="preserve">CU-43875</t>
  </si>
  <si>
    <t xml:space="preserve">Elizabeth Khan</t>
  </si>
  <si>
    <t xml:space="preserve">US-2023-101607</t>
  </si>
  <si>
    <t xml:space="preserve">2023-11-24</t>
  </si>
  <si>
    <t xml:space="preserve">US-2023-101426</t>
  </si>
  <si>
    <t xml:space="preserve">2023-11-28</t>
  </si>
  <si>
    <t xml:space="preserve">US-2023-100906</t>
  </si>
  <si>
    <t xml:space="preserve">CU-48220</t>
  </si>
  <si>
    <t xml:space="preserve">Fatima Khan</t>
  </si>
  <si>
    <t xml:space="preserve">2023-11-26</t>
  </si>
  <si>
    <t xml:space="preserve">2023-11-29</t>
  </si>
  <si>
    <t xml:space="preserve">US-2023-101272</t>
  </si>
  <si>
    <t xml:space="preserve">2023-11-27</t>
  </si>
  <si>
    <t xml:space="preserve">CU-00003</t>
  </si>
  <si>
    <t xml:space="preserve">Olivia Johnson</t>
  </si>
  <si>
    <t xml:space="preserve">US-2023-100416</t>
  </si>
  <si>
    <t xml:space="preserve">2023-12-03</t>
  </si>
  <si>
    <t xml:space="preserve">CU-62867</t>
  </si>
  <si>
    <t xml:space="preserve">Sunil Chen</t>
  </si>
  <si>
    <t xml:space="preserve">US-2023-101146</t>
  </si>
  <si>
    <t xml:space="preserve">2023-12-04</t>
  </si>
  <si>
    <t xml:space="preserve">US-2023-101037</t>
  </si>
  <si>
    <t xml:space="preserve">US-2023-100792</t>
  </si>
  <si>
    <t xml:space="preserve">2023-12-02</t>
  </si>
  <si>
    <t xml:space="preserve">2023-12-09</t>
  </si>
  <si>
    <t xml:space="preserve">CU-18922</t>
  </si>
  <si>
    <t xml:space="preserve">David Garcia</t>
  </si>
  <si>
    <t xml:space="preserve">US-2023-100132</t>
  </si>
  <si>
    <t xml:space="preserve">US-2023-100852</t>
  </si>
  <si>
    <t xml:space="preserve">2023-12-07</t>
  </si>
  <si>
    <t xml:space="preserve">CU-00533</t>
  </si>
  <si>
    <t xml:space="preserve">Sunil Jones</t>
  </si>
  <si>
    <t xml:space="preserve">US-2023-101108</t>
  </si>
  <si>
    <t xml:space="preserve">2023-12-06</t>
  </si>
  <si>
    <t xml:space="preserve">CU-70092</t>
  </si>
  <si>
    <t xml:space="preserve">Linda Nguyen</t>
  </si>
  <si>
    <t xml:space="preserve">US-2023-100396</t>
  </si>
  <si>
    <t xml:space="preserve">2023-12-10</t>
  </si>
  <si>
    <t xml:space="preserve">US-2023-100074</t>
  </si>
  <si>
    <t xml:space="preserve">US-2023-101458</t>
  </si>
  <si>
    <t xml:space="preserve">2023-12-11</t>
  </si>
  <si>
    <t xml:space="preserve">CU-89520</t>
  </si>
  <si>
    <t xml:space="preserve">Elizabeth Chen</t>
  </si>
  <si>
    <t xml:space="preserve">US-2023-100816</t>
  </si>
  <si>
    <t xml:space="preserve">2023-12-08</t>
  </si>
  <si>
    <t xml:space="preserve">US-2023-101379</t>
  </si>
  <si>
    <t xml:space="preserve">CU-28378</t>
  </si>
  <si>
    <t xml:space="preserve">Jennifer Brown</t>
  </si>
  <si>
    <t xml:space="preserve">US-2023-100240</t>
  </si>
  <si>
    <t xml:space="preserve">2023-12-13</t>
  </si>
  <si>
    <t xml:space="preserve">2023-12-14</t>
  </si>
  <si>
    <t xml:space="preserve">US-2023-101030</t>
  </si>
  <si>
    <t xml:space="preserve">US-2023-101547</t>
  </si>
  <si>
    <t xml:space="preserve">2023-12-17</t>
  </si>
  <si>
    <t xml:space="preserve">US-2023-101342</t>
  </si>
  <si>
    <t xml:space="preserve">2023-12-12</t>
  </si>
  <si>
    <t xml:space="preserve">CU-22730</t>
  </si>
  <si>
    <t xml:space="preserve">Liam Nguyen</t>
  </si>
  <si>
    <t xml:space="preserve">US-2023-100675</t>
  </si>
  <si>
    <t xml:space="preserve">2023-12-19</t>
  </si>
  <si>
    <t xml:space="preserve">US-2023-101223</t>
  </si>
  <si>
    <t xml:space="preserve">2023-12-15</t>
  </si>
  <si>
    <t xml:space="preserve">US-2023-100685</t>
  </si>
  <si>
    <t xml:space="preserve">CU-72424</t>
  </si>
  <si>
    <t xml:space="preserve">Michael Bennett</t>
  </si>
  <si>
    <t xml:space="preserve">US-2023-101048</t>
  </si>
  <si>
    <t xml:space="preserve">2023-12-16</t>
  </si>
  <si>
    <t xml:space="preserve">2023-12-20</t>
  </si>
  <si>
    <t xml:space="preserve">CU-04190</t>
  </si>
  <si>
    <t xml:space="preserve">Priya Miller</t>
  </si>
  <si>
    <t xml:space="preserve">2023-12-18</t>
  </si>
  <si>
    <t xml:space="preserve">US-2023-101418</t>
  </si>
  <si>
    <t xml:space="preserve">US-2023-101631</t>
  </si>
  <si>
    <t xml:space="preserve">US-2023-101131</t>
  </si>
  <si>
    <t xml:space="preserve">2023-12-23</t>
  </si>
  <si>
    <t xml:space="preserve">2023-12-24</t>
  </si>
  <si>
    <t xml:space="preserve">CU-17902</t>
  </si>
  <si>
    <t xml:space="preserve">Patricia Khan</t>
  </si>
  <si>
    <t xml:space="preserve">US-2023-100136</t>
  </si>
  <si>
    <t xml:space="preserve">2023-12-21</t>
  </si>
  <si>
    <t xml:space="preserve">2023-12-25</t>
  </si>
  <si>
    <t xml:space="preserve">US-2023-100870</t>
  </si>
  <si>
    <t xml:space="preserve">2023-12-22</t>
  </si>
  <si>
    <t xml:space="preserve">2023-12-28</t>
  </si>
  <si>
    <t xml:space="preserve">US-2023-100159</t>
  </si>
  <si>
    <t xml:space="preserve">2023-12-30</t>
  </si>
  <si>
    <t xml:space="preserve">CU-12117</t>
  </si>
  <si>
    <t xml:space="preserve">Linda Jones</t>
  </si>
  <si>
    <t xml:space="preserve">US-2023-100735</t>
  </si>
  <si>
    <t xml:space="preserve">US-2023-100407</t>
  </si>
  <si>
    <t xml:space="preserve">2023-12-26</t>
  </si>
  <si>
    <t xml:space="preserve">2023-12-29</t>
  </si>
  <si>
    <t xml:space="preserve">US-2023-101293</t>
  </si>
  <si>
    <t xml:space="preserve">2023-12-27</t>
  </si>
  <si>
    <t xml:space="preserve">CU-56421</t>
  </si>
  <si>
    <t xml:space="preserve">Michael Brown</t>
  </si>
  <si>
    <t xml:space="preserve">US-2023-101602</t>
  </si>
  <si>
    <t xml:space="preserve">CU-80611</t>
  </si>
  <si>
    <t xml:space="preserve">Robert Brown</t>
  </si>
  <si>
    <t xml:space="preserve">US-2023-100315</t>
  </si>
  <si>
    <t xml:space="preserve">2024-01-02</t>
  </si>
  <si>
    <t xml:space="preserve">US-2023-100826</t>
  </si>
  <si>
    <t xml:space="preserve">2024-01-03</t>
  </si>
  <si>
    <t xml:space="preserve">CU-69823</t>
  </si>
  <si>
    <t xml:space="preserve">John Williams</t>
  </si>
  <si>
    <t xml:space="preserve">2024-01-04</t>
  </si>
  <si>
    <t xml:space="preserve">US-2024-101152</t>
  </si>
  <si>
    <t xml:space="preserve">2024-01-01</t>
  </si>
  <si>
    <t xml:space="preserve">2024-01-06</t>
  </si>
  <si>
    <t xml:space="preserve">US-2024-101043</t>
  </si>
  <si>
    <t xml:space="preserve">2024-01-09</t>
  </si>
  <si>
    <t xml:space="preserve">US-2024-101709</t>
  </si>
  <si>
    <t xml:space="preserve">US-2024-100376</t>
  </si>
  <si>
    <t xml:space="preserve">2024-01-05</t>
  </si>
  <si>
    <t xml:space="preserve">CU-13699</t>
  </si>
  <si>
    <t xml:space="preserve">David Kapoor</t>
  </si>
  <si>
    <t xml:space="preserve">US-2024-100366</t>
  </si>
  <si>
    <t xml:space="preserve">US-2024-100685</t>
  </si>
  <si>
    <t xml:space="preserve">US-2024-101599</t>
  </si>
  <si>
    <t xml:space="preserve">2024-01-11</t>
  </si>
  <si>
    <t xml:space="preserve">CU-73137</t>
  </si>
  <si>
    <t xml:space="preserve">Olivia Garcia</t>
  </si>
  <si>
    <t xml:space="preserve">US-2024-100965</t>
  </si>
  <si>
    <t xml:space="preserve">2024-01-13</t>
  </si>
  <si>
    <t xml:space="preserve">US-2024-101562</t>
  </si>
  <si>
    <t xml:space="preserve">2024-01-12</t>
  </si>
  <si>
    <t xml:space="preserve">CU-56909</t>
  </si>
  <si>
    <t xml:space="preserve">Carlos Murphy</t>
  </si>
  <si>
    <t xml:space="preserve">US-2024-101049</t>
  </si>
  <si>
    <t xml:space="preserve">2024-01-10</t>
  </si>
  <si>
    <t xml:space="preserve">US-2024-101121</t>
  </si>
  <si>
    <t xml:space="preserve">CU-84982</t>
  </si>
  <si>
    <t xml:space="preserve">Jennifer Ali</t>
  </si>
  <si>
    <t xml:space="preserve">US-2024-100921</t>
  </si>
  <si>
    <t xml:space="preserve">US-2024-101215</t>
  </si>
  <si>
    <t xml:space="preserve">US-2024-101328</t>
  </si>
  <si>
    <t xml:space="preserve">US-2024-100810</t>
  </si>
  <si>
    <t xml:space="preserve">US-2024-100288</t>
  </si>
  <si>
    <t xml:space="preserve">2024-01-14</t>
  </si>
  <si>
    <t xml:space="preserve">US-2024-101345</t>
  </si>
  <si>
    <t xml:space="preserve">2024-01-18</t>
  </si>
  <si>
    <t xml:space="preserve">US-2024-101295</t>
  </si>
  <si>
    <t xml:space="preserve">US-2024-101386</t>
  </si>
  <si>
    <t xml:space="preserve">US-2024-100843</t>
  </si>
  <si>
    <t xml:space="preserve">2024-01-15</t>
  </si>
  <si>
    <t xml:space="preserve">CU-02314</t>
  </si>
  <si>
    <t xml:space="preserve">Patricia Nguyen</t>
  </si>
  <si>
    <t xml:space="preserve">US-2024-100413</t>
  </si>
  <si>
    <t xml:space="preserve">2024-01-16</t>
  </si>
  <si>
    <t xml:space="preserve">2024-01-20</t>
  </si>
  <si>
    <t xml:space="preserve">US-2024-101730</t>
  </si>
  <si>
    <t xml:space="preserve">2024-01-17</t>
  </si>
  <si>
    <t xml:space="preserve">US-2024-100769</t>
  </si>
  <si>
    <t xml:space="preserve">2024-01-22</t>
  </si>
  <si>
    <t xml:space="preserve">US-2024-100243</t>
  </si>
  <si>
    <t xml:space="preserve">2024-01-27</t>
  </si>
  <si>
    <t xml:space="preserve">CU-10660</t>
  </si>
  <si>
    <t xml:space="preserve">James Davis</t>
  </si>
  <si>
    <t xml:space="preserve">US-2024-101592</t>
  </si>
  <si>
    <t xml:space="preserve">2024-01-26</t>
  </si>
  <si>
    <t xml:space="preserve">US-2024-101765</t>
  </si>
  <si>
    <t xml:space="preserve">2024-01-21</t>
  </si>
  <si>
    <t xml:space="preserve">2024-01-28</t>
  </si>
  <si>
    <t xml:space="preserve">CU-64083</t>
  </si>
  <si>
    <t xml:space="preserve">Ahmed Kapoor</t>
  </si>
  <si>
    <t xml:space="preserve">US-2024-101343</t>
  </si>
  <si>
    <t xml:space="preserve">US-2024-100437</t>
  </si>
  <si>
    <t xml:space="preserve">2024-01-24</t>
  </si>
  <si>
    <t xml:space="preserve">US-2024-100251</t>
  </si>
  <si>
    <t xml:space="preserve">US-2024-100114</t>
  </si>
  <si>
    <t xml:space="preserve">2024-01-25</t>
  </si>
  <si>
    <t xml:space="preserve">CU-63991</t>
  </si>
  <si>
    <t xml:space="preserve">Fatima Nair</t>
  </si>
  <si>
    <t xml:space="preserve">US-2024-100876</t>
  </si>
  <si>
    <t xml:space="preserve">US-2024-100653</t>
  </si>
  <si>
    <t xml:space="preserve">2024-01-29</t>
  </si>
  <si>
    <t xml:space="preserve">US-2024-100735</t>
  </si>
  <si>
    <t xml:space="preserve">CU-77048</t>
  </si>
  <si>
    <t xml:space="preserve">Carlos Miller</t>
  </si>
  <si>
    <t xml:space="preserve">US-2024-100197</t>
  </si>
  <si>
    <t xml:space="preserve">US-2024-101237</t>
  </si>
  <si>
    <t xml:space="preserve">2024-02-02</t>
  </si>
  <si>
    <t xml:space="preserve">US-2024-100610</t>
  </si>
  <si>
    <t xml:space="preserve">2024-01-30</t>
  </si>
  <si>
    <t xml:space="preserve">CU-61568</t>
  </si>
  <si>
    <t xml:space="preserve">Michael Rodriguez</t>
  </si>
  <si>
    <t xml:space="preserve">US-2024-100419</t>
  </si>
  <si>
    <t xml:space="preserve">2024-02-04</t>
  </si>
  <si>
    <t xml:space="preserve">US-2024-101791</t>
  </si>
  <si>
    <t xml:space="preserve">2024-02-03</t>
  </si>
  <si>
    <t xml:space="preserve">US-2024-100886</t>
  </si>
  <si>
    <t xml:space="preserve">2024-02-06</t>
  </si>
  <si>
    <t xml:space="preserve">US-2024-100469</t>
  </si>
  <si>
    <t xml:space="preserve">US-2024-100607</t>
  </si>
  <si>
    <t xml:space="preserve">2024-01-31</t>
  </si>
  <si>
    <t xml:space="preserve">2024-02-01</t>
  </si>
  <si>
    <t xml:space="preserve">US-2024-100282</t>
  </si>
  <si>
    <t xml:space="preserve">US-2024-100565</t>
  </si>
  <si>
    <t xml:space="preserve">2024-02-05</t>
  </si>
  <si>
    <t xml:space="preserve">US-2024-101844</t>
  </si>
  <si>
    <t xml:space="preserve">US-2024-101712</t>
  </si>
  <si>
    <t xml:space="preserve">US-2024-101750</t>
  </si>
  <si>
    <t xml:space="preserve">CU-43199</t>
  </si>
  <si>
    <t xml:space="preserve">Fatima Silva</t>
  </si>
  <si>
    <t xml:space="preserve">US-2024-101678</t>
  </si>
  <si>
    <t xml:space="preserve">2024-02-07</t>
  </si>
  <si>
    <t xml:space="preserve">CU-67586</t>
  </si>
  <si>
    <t xml:space="preserve">Robert Silva</t>
  </si>
  <si>
    <t xml:space="preserve">US-2024-100586</t>
  </si>
  <si>
    <t xml:space="preserve">2024-02-08</t>
  </si>
  <si>
    <t xml:space="preserve">US-2024-100855</t>
  </si>
  <si>
    <t xml:space="preserve">US-2024-100519</t>
  </si>
  <si>
    <t xml:space="preserve">CU-03332</t>
  </si>
  <si>
    <t xml:space="preserve">David Martinez</t>
  </si>
  <si>
    <t xml:space="preserve">US-2024-100461</t>
  </si>
  <si>
    <t xml:space="preserve">US-2024-101532</t>
  </si>
  <si>
    <t xml:space="preserve">2024-02-10</t>
  </si>
  <si>
    <t xml:space="preserve">US-2024-100780</t>
  </si>
  <si>
    <t xml:space="preserve">2024-02-13</t>
  </si>
  <si>
    <t xml:space="preserve">US-2024-101782</t>
  </si>
  <si>
    <t xml:space="preserve">2024-02-14</t>
  </si>
  <si>
    <t xml:space="preserve">CU-59228</t>
  </si>
  <si>
    <t xml:space="preserve">Carlos Khan</t>
  </si>
  <si>
    <t xml:space="preserve">US-2024-101828</t>
  </si>
  <si>
    <t xml:space="preserve">CU-93284</t>
  </si>
  <si>
    <t xml:space="preserve">Sunil Williams</t>
  </si>
  <si>
    <t xml:space="preserve">US-2024-100580</t>
  </si>
  <si>
    <t xml:space="preserve">2024-02-12</t>
  </si>
  <si>
    <t xml:space="preserve">CU-23637</t>
  </si>
  <si>
    <t xml:space="preserve">Mary Tanaka</t>
  </si>
  <si>
    <t xml:space="preserve">US-2024-101667</t>
  </si>
  <si>
    <t xml:space="preserve">2024-02-15</t>
  </si>
  <si>
    <t xml:space="preserve">CU-37635</t>
  </si>
  <si>
    <t xml:space="preserve">Aiko Tanaka</t>
  </si>
  <si>
    <t xml:space="preserve">US-2024-100775</t>
  </si>
  <si>
    <t xml:space="preserve">2024-02-11</t>
  </si>
  <si>
    <t xml:space="preserve">US-2024-100750</t>
  </si>
  <si>
    <t xml:space="preserve">2024-02-18</t>
  </si>
  <si>
    <t xml:space="preserve">US-2024-100171</t>
  </si>
  <si>
    <t xml:space="preserve">US-2024-100103</t>
  </si>
  <si>
    <t xml:space="preserve">2024-02-16</t>
  </si>
  <si>
    <t xml:space="preserve">US-2024-101126</t>
  </si>
  <si>
    <t xml:space="preserve">2024-02-21</t>
  </si>
  <si>
    <t xml:space="preserve">US-2024-100187</t>
  </si>
  <si>
    <t xml:space="preserve">2024-02-20</t>
  </si>
  <si>
    <t xml:space="preserve">US-2024-100901</t>
  </si>
  <si>
    <t xml:space="preserve">CU-95176</t>
  </si>
  <si>
    <t xml:space="preserve">Ahmed Davis</t>
  </si>
  <si>
    <t xml:space="preserve">US-2024-100009</t>
  </si>
  <si>
    <t xml:space="preserve">US-2024-101247</t>
  </si>
  <si>
    <t xml:space="preserve">2024-02-17</t>
  </si>
  <si>
    <t xml:space="preserve">2024-02-19</t>
  </si>
  <si>
    <t xml:space="preserve">US-2024-101089</t>
  </si>
  <si>
    <t xml:space="preserve">2024-02-22</t>
  </si>
  <si>
    <t xml:space="preserve">CU-46899</t>
  </si>
  <si>
    <t xml:space="preserve">Mary Khan</t>
  </si>
  <si>
    <t xml:space="preserve">US-2024-100672</t>
  </si>
  <si>
    <t xml:space="preserve">2024-02-25</t>
  </si>
  <si>
    <t xml:space="preserve">CU-84222</t>
  </si>
  <si>
    <t xml:space="preserve">Fatima Martinez</t>
  </si>
  <si>
    <t xml:space="preserve">US-2024-100793</t>
  </si>
  <si>
    <t xml:space="preserve">US-2024-100272</t>
  </si>
  <si>
    <t xml:space="preserve">US-2024-101047</t>
  </si>
  <si>
    <t xml:space="preserve">2024-02-26</t>
  </si>
  <si>
    <t xml:space="preserve">US-2024-100620</t>
  </si>
  <si>
    <t xml:space="preserve">2024-02-28</t>
  </si>
  <si>
    <t xml:space="preserve">US-2024-100490</t>
  </si>
  <si>
    <t xml:space="preserve">CU-22249</t>
  </si>
  <si>
    <t xml:space="preserve">Carlos Garcia</t>
  </si>
  <si>
    <t xml:space="preserve">US-2024-100602</t>
  </si>
  <si>
    <t xml:space="preserve">2024-02-23</t>
  </si>
  <si>
    <t xml:space="preserve">US-2024-100066</t>
  </si>
  <si>
    <t xml:space="preserve">US-2024-101655</t>
  </si>
  <si>
    <t xml:space="preserve">CU-87004</t>
  </si>
  <si>
    <t xml:space="preserve">Wei Williams</t>
  </si>
  <si>
    <t xml:space="preserve">US-2024-101734</t>
  </si>
  <si>
    <t xml:space="preserve">US-2024-101664</t>
  </si>
  <si>
    <t xml:space="preserve">2024-03-01</t>
  </si>
  <si>
    <t xml:space="preserve">US-2024-101615</t>
  </si>
  <si>
    <t xml:space="preserve">2024-02-29</t>
  </si>
  <si>
    <t xml:space="preserve">CU-87062</t>
  </si>
  <si>
    <t xml:space="preserve">Michael Nair</t>
  </si>
  <si>
    <t xml:space="preserve">US-2024-101746</t>
  </si>
  <si>
    <t xml:space="preserve">2024-02-24</t>
  </si>
  <si>
    <t xml:space="preserve">US-2024-101811</t>
  </si>
  <si>
    <t xml:space="preserve">2024-03-04</t>
  </si>
  <si>
    <t xml:space="preserve">CU-51229</t>
  </si>
  <si>
    <t xml:space="preserve">Liam Rodriguez</t>
  </si>
  <si>
    <t xml:space="preserve">US-2024-100429</t>
  </si>
  <si>
    <t xml:space="preserve">2024-02-27</t>
  </si>
  <si>
    <t xml:space="preserve">US-2024-101035</t>
  </si>
  <si>
    <t xml:space="preserve">US-2024-100181</t>
  </si>
  <si>
    <t xml:space="preserve">2024-03-02</t>
  </si>
  <si>
    <t xml:space="preserve">US-2024-101622</t>
  </si>
  <si>
    <t xml:space="preserve">2024-03-05</t>
  </si>
  <si>
    <t xml:space="preserve">US-2024-101191</t>
  </si>
  <si>
    <t xml:space="preserve">US-2024-101802</t>
  </si>
  <si>
    <t xml:space="preserve">CU-43635</t>
  </si>
  <si>
    <t xml:space="preserve">Ahmed Murphy</t>
  </si>
  <si>
    <t xml:space="preserve">US-2024-100528</t>
  </si>
  <si>
    <t xml:space="preserve">2024-03-07</t>
  </si>
  <si>
    <t xml:space="preserve">US-2024-100158</t>
  </si>
  <si>
    <t xml:space="preserve">US-2024-101244</t>
  </si>
  <si>
    <t xml:space="preserve">2024-03-06</t>
  </si>
  <si>
    <t xml:space="preserve">CU-86671</t>
  </si>
  <si>
    <t xml:space="preserve">Robert Chen</t>
  </si>
  <si>
    <t xml:space="preserve">US-2024-101509</t>
  </si>
  <si>
    <t xml:space="preserve">CU-46924</t>
  </si>
  <si>
    <t xml:space="preserve">Liam Ali</t>
  </si>
  <si>
    <t xml:space="preserve">US-2024-101251</t>
  </si>
  <si>
    <t xml:space="preserve">2024-03-03</t>
  </si>
  <si>
    <t xml:space="preserve">US-2024-101401</t>
  </si>
  <si>
    <t xml:space="preserve">2024-03-11</t>
  </si>
  <si>
    <t xml:space="preserve">US-2024-100328</t>
  </si>
  <si>
    <t xml:space="preserve">2024-03-08</t>
  </si>
  <si>
    <t xml:space="preserve">US-2024-101452</t>
  </si>
  <si>
    <t xml:space="preserve">US-2024-100618</t>
  </si>
  <si>
    <t xml:space="preserve">2024-03-10</t>
  </si>
  <si>
    <t xml:space="preserve">US-2024-100038</t>
  </si>
  <si>
    <t xml:space="preserve">2024-03-12</t>
  </si>
  <si>
    <t xml:space="preserve">CU-24427</t>
  </si>
  <si>
    <t xml:space="preserve">Elizabeth Johnson</t>
  </si>
  <si>
    <t xml:space="preserve">US-2024-101342</t>
  </si>
  <si>
    <t xml:space="preserve">US-2024-100375</t>
  </si>
  <si>
    <t xml:space="preserve">2024-03-17</t>
  </si>
  <si>
    <t xml:space="preserve">US-2024-101725</t>
  </si>
  <si>
    <t xml:space="preserve">US-2024-101318</t>
  </si>
  <si>
    <t xml:space="preserve">2024-03-18</t>
  </si>
  <si>
    <t xml:space="preserve">US-2024-101608</t>
  </si>
  <si>
    <t xml:space="preserve">US-2024-100479</t>
  </si>
  <si>
    <t xml:space="preserve">US-2024-101297</t>
  </si>
  <si>
    <t xml:space="preserve">US-2024-100756</t>
  </si>
  <si>
    <t xml:space="preserve">2024-03-13</t>
  </si>
  <si>
    <t xml:space="preserve">2024-03-19</t>
  </si>
  <si>
    <t xml:space="preserve">CU-79424</t>
  </si>
  <si>
    <t xml:space="preserve">Ahmed Jones</t>
  </si>
  <si>
    <t xml:space="preserve">2024-03-16</t>
  </si>
  <si>
    <t xml:space="preserve">US-2024-100134</t>
  </si>
  <si>
    <t xml:space="preserve">2024-03-15</t>
  </si>
  <si>
    <t xml:space="preserve">2024-03-20</t>
  </si>
  <si>
    <t xml:space="preserve">US-2024-101078</t>
  </si>
  <si>
    <t xml:space="preserve">2024-03-23</t>
  </si>
  <si>
    <t xml:space="preserve">2024-03-21</t>
  </si>
  <si>
    <t xml:space="preserve">US-2024-100820</t>
  </si>
  <si>
    <t xml:space="preserve">CU-24293</t>
  </si>
  <si>
    <t xml:space="preserve">Fatima Garcia</t>
  </si>
  <si>
    <t xml:space="preserve">US-2024-101459</t>
  </si>
  <si>
    <t xml:space="preserve">2024-03-25</t>
  </si>
  <si>
    <t xml:space="preserve">US-2024-101216</t>
  </si>
  <si>
    <t xml:space="preserve">2024-03-24</t>
  </si>
  <si>
    <t xml:space="preserve">US-2024-100262</t>
  </si>
  <si>
    <t xml:space="preserve">2024-03-22</t>
  </si>
  <si>
    <t xml:space="preserve">US-2024-100491</t>
  </si>
  <si>
    <t xml:space="preserve">2024-03-28</t>
  </si>
  <si>
    <t xml:space="preserve">US-2024-100310</t>
  </si>
  <si>
    <t xml:space="preserve">2024-03-26</t>
  </si>
  <si>
    <t xml:space="preserve">US-2024-101808</t>
  </si>
  <si>
    <t xml:space="preserve">US-2024-101558</t>
  </si>
  <si>
    <t xml:space="preserve">CU-73825</t>
  </si>
  <si>
    <t xml:space="preserve">Elizabeth Garcia</t>
  </si>
  <si>
    <t xml:space="preserve">US-2024-101668</t>
  </si>
  <si>
    <t xml:space="preserve">2024-03-27</t>
  </si>
  <si>
    <t xml:space="preserve">US-2024-101619</t>
  </si>
  <si>
    <t xml:space="preserve">2024-03-29</t>
  </si>
  <si>
    <t xml:space="preserve">US-2024-101310</t>
  </si>
  <si>
    <t xml:space="preserve">CU-74395</t>
  </si>
  <si>
    <t xml:space="preserve">Linda Silva</t>
  </si>
  <si>
    <t xml:space="preserve">US-2024-100766</t>
  </si>
  <si>
    <t xml:space="preserve">2024-03-31</t>
  </si>
  <si>
    <t xml:space="preserve">US-2024-101435</t>
  </si>
  <si>
    <t xml:space="preserve">2024-04-03</t>
  </si>
  <si>
    <t xml:space="preserve">US-2024-100411</t>
  </si>
  <si>
    <t xml:space="preserve">CU-12967</t>
  </si>
  <si>
    <t xml:space="preserve">Liam Khan</t>
  </si>
  <si>
    <t xml:space="preserve">US-2024-100055</t>
  </si>
  <si>
    <t xml:space="preserve">2024-04-02</t>
  </si>
  <si>
    <t xml:space="preserve">US-2024-100216</t>
  </si>
  <si>
    <t xml:space="preserve">2024-04-01</t>
  </si>
  <si>
    <t xml:space="preserve">US-2024-100897</t>
  </si>
  <si>
    <t xml:space="preserve">2024-03-30</t>
  </si>
  <si>
    <t xml:space="preserve">US-2024-101539</t>
  </si>
  <si>
    <t xml:space="preserve">US-2024-100236</t>
  </si>
  <si>
    <t xml:space="preserve">US-2024-101132</t>
  </si>
  <si>
    <t xml:space="preserve">US-2024-101670</t>
  </si>
  <si>
    <t xml:space="preserve">2024-04-05</t>
  </si>
  <si>
    <t xml:space="preserve">CU-21970</t>
  </si>
  <si>
    <t xml:space="preserve">Olivia Tanaka</t>
  </si>
  <si>
    <t xml:space="preserve">US-2024-100993</t>
  </si>
  <si>
    <t xml:space="preserve">CU-24177</t>
  </si>
  <si>
    <t xml:space="preserve">Sunil Nguyen</t>
  </si>
  <si>
    <t xml:space="preserve">US-2024-101175</t>
  </si>
  <si>
    <t xml:space="preserve">US-2024-100184</t>
  </si>
  <si>
    <t xml:space="preserve">2024-04-04</t>
  </si>
  <si>
    <t xml:space="preserve">US-2024-101151</t>
  </si>
  <si>
    <t xml:space="preserve">US-2024-101614</t>
  </si>
  <si>
    <t xml:space="preserve">CU-45819</t>
  </si>
  <si>
    <t xml:space="preserve">Aiko Martinez</t>
  </si>
  <si>
    <t xml:space="preserve">US-2024-100112</t>
  </si>
  <si>
    <t xml:space="preserve">US-2024-100783</t>
  </si>
  <si>
    <t xml:space="preserve">2024-04-06</t>
  </si>
  <si>
    <t xml:space="preserve">US-2024-100455</t>
  </si>
  <si>
    <t xml:space="preserve">US-2024-101520</t>
  </si>
  <si>
    <t xml:space="preserve">CU-30324</t>
  </si>
  <si>
    <t xml:space="preserve">Priya Khan</t>
  </si>
  <si>
    <t xml:space="preserve">US-2024-100063</t>
  </si>
  <si>
    <t xml:space="preserve">US-2024-100500</t>
  </si>
  <si>
    <t xml:space="preserve">2024-04-08</t>
  </si>
  <si>
    <t xml:space="preserve">US-2024-100809</t>
  </si>
  <si>
    <t xml:space="preserve">2024-04-10</t>
  </si>
  <si>
    <t xml:space="preserve">US-2024-100937</t>
  </si>
  <si>
    <t xml:space="preserve">US-2024-101457</t>
  </si>
  <si>
    <t xml:space="preserve">US-2024-100474</t>
  </si>
  <si>
    <t xml:space="preserve">2024-04-12</t>
  </si>
  <si>
    <t xml:space="preserve">CU-01269</t>
  </si>
  <si>
    <t xml:space="preserve">Sunil Davis</t>
  </si>
  <si>
    <t xml:space="preserve">US-2024-101134</t>
  </si>
  <si>
    <t xml:space="preserve">US-2024-101618</t>
  </si>
  <si>
    <t xml:space="preserve">2024-04-07</t>
  </si>
  <si>
    <t xml:space="preserve">US-2024-101660</t>
  </si>
  <si>
    <t xml:space="preserve">2024-04-13</t>
  </si>
  <si>
    <t xml:space="preserve">US-2024-100409</t>
  </si>
  <si>
    <t xml:space="preserve">US-2024-101240</t>
  </si>
  <si>
    <t xml:space="preserve">2024-04-09</t>
  </si>
  <si>
    <t xml:space="preserve">US-2024-101301</t>
  </si>
  <si>
    <t xml:space="preserve">CU-34722</t>
  </si>
  <si>
    <t xml:space="preserve">Fatima Williams</t>
  </si>
  <si>
    <t xml:space="preserve">US-2024-100796</t>
  </si>
  <si>
    <t xml:space="preserve">2024-04-11</t>
  </si>
  <si>
    <t xml:space="preserve">US-2024-101708</t>
  </si>
  <si>
    <t xml:space="preserve">2024-04-16</t>
  </si>
  <si>
    <t xml:space="preserve">CU-73961</t>
  </si>
  <si>
    <t xml:space="preserve">Mary Miller</t>
  </si>
  <si>
    <t xml:space="preserve">US-2024-101550</t>
  </si>
  <si>
    <t xml:space="preserve">2024-04-14</t>
  </si>
  <si>
    <t xml:space="preserve">US-2024-101840</t>
  </si>
  <si>
    <t xml:space="preserve">2024-04-15</t>
  </si>
  <si>
    <t xml:space="preserve">US-2024-100826</t>
  </si>
  <si>
    <t xml:space="preserve">CU-26669</t>
  </si>
  <si>
    <t xml:space="preserve">Mary Silva</t>
  </si>
  <si>
    <t xml:space="preserve">US-2024-101208</t>
  </si>
  <si>
    <t xml:space="preserve">US-2024-101830</t>
  </si>
  <si>
    <t xml:space="preserve">2024-04-17</t>
  </si>
  <si>
    <t xml:space="preserve">US-2024-100564</t>
  </si>
  <si>
    <t xml:space="preserve">US-2024-101115</t>
  </si>
  <si>
    <t xml:space="preserve">US-2024-100907</t>
  </si>
  <si>
    <t xml:space="preserve">US-2024-101848</t>
  </si>
  <si>
    <t xml:space="preserve">US-2024-100994</t>
  </si>
  <si>
    <t xml:space="preserve">2024-04-19</t>
  </si>
  <si>
    <t xml:space="preserve">US-2024-101085</t>
  </si>
  <si>
    <t xml:space="preserve">2024-04-20</t>
  </si>
  <si>
    <t xml:space="preserve">CU-07063</t>
  </si>
  <si>
    <t xml:space="preserve">Mary Johnson</t>
  </si>
  <si>
    <t xml:space="preserve">2024-04-21</t>
  </si>
  <si>
    <t xml:space="preserve">US-2024-101394</t>
  </si>
  <si>
    <t xml:space="preserve">US-2024-100805</t>
  </si>
  <si>
    <t xml:space="preserve">US-2024-100482</t>
  </si>
  <si>
    <t xml:space="preserve">2024-04-18</t>
  </si>
  <si>
    <t xml:space="preserve">US-2024-101581</t>
  </si>
  <si>
    <t xml:space="preserve">2024-04-25</t>
  </si>
  <si>
    <t xml:space="preserve">CU-60947</t>
  </si>
  <si>
    <t xml:space="preserve">Robert Garcia</t>
  </si>
  <si>
    <t xml:space="preserve">US-2024-100729</t>
  </si>
  <si>
    <t xml:space="preserve">2024-04-22</t>
  </si>
  <si>
    <t xml:space="preserve">US-2024-100344</t>
  </si>
  <si>
    <t xml:space="preserve">2024-04-23</t>
  </si>
  <si>
    <t xml:space="preserve">US-2024-100574</t>
  </si>
  <si>
    <t xml:space="preserve">2024-04-28</t>
  </si>
  <si>
    <t xml:space="preserve">US-2024-101677</t>
  </si>
  <si>
    <t xml:space="preserve">US-2024-101648</t>
  </si>
  <si>
    <t xml:space="preserve">2024-04-24</t>
  </si>
  <si>
    <t xml:space="preserve">US-2024-101716</t>
  </si>
  <si>
    <t xml:space="preserve">2024-04-26</t>
  </si>
  <si>
    <t xml:space="preserve">2024-04-29</t>
  </si>
  <si>
    <t xml:space="preserve">US-2024-100014</t>
  </si>
  <si>
    <t xml:space="preserve">2024-05-03</t>
  </si>
  <si>
    <t xml:space="preserve">US-2024-101681</t>
  </si>
  <si>
    <t xml:space="preserve">US-2024-100360</t>
  </si>
  <si>
    <t xml:space="preserve">2024-04-27</t>
  </si>
  <si>
    <t xml:space="preserve">2024-05-02</t>
  </si>
  <si>
    <t xml:space="preserve">US-2024-101638</t>
  </si>
  <si>
    <t xml:space="preserve">2024-05-04</t>
  </si>
  <si>
    <t xml:space="preserve">US-2024-100070</t>
  </si>
  <si>
    <t xml:space="preserve">US-2024-101160</t>
  </si>
  <si>
    <t xml:space="preserve">US-2024-101268</t>
  </si>
  <si>
    <t xml:space="preserve">US-2024-100141</t>
  </si>
  <si>
    <t xml:space="preserve">2024-04-30</t>
  </si>
  <si>
    <t xml:space="preserve">2024-05-07</t>
  </si>
  <si>
    <t xml:space="preserve">US-2024-100668</t>
  </si>
  <si>
    <t xml:space="preserve">2024-05-09</t>
  </si>
  <si>
    <t xml:space="preserve">US-2024-100487</t>
  </si>
  <si>
    <t xml:space="preserve">2024-05-06</t>
  </si>
  <si>
    <t xml:space="preserve">US-2024-100081</t>
  </si>
  <si>
    <t xml:space="preserve">2024-05-05</t>
  </si>
  <si>
    <t xml:space="preserve">US-2024-100438</t>
  </si>
  <si>
    <t xml:space="preserve">US-2024-100027</t>
  </si>
  <si>
    <t xml:space="preserve">US-2024-100150</t>
  </si>
  <si>
    <t xml:space="preserve">2024-05-11</t>
  </si>
  <si>
    <t xml:space="preserve">US-2024-101610</t>
  </si>
  <si>
    <t xml:space="preserve">2024-05-08</t>
  </si>
  <si>
    <t xml:space="preserve">US-2024-101443</t>
  </si>
  <si>
    <t xml:space="preserve">US-2024-100051</t>
  </si>
  <si>
    <t xml:space="preserve">2024-05-14</t>
  </si>
  <si>
    <t xml:space="preserve">US-2024-101441</t>
  </si>
  <si>
    <t xml:space="preserve">2024-05-12</t>
  </si>
  <si>
    <t xml:space="preserve">US-2024-101376</t>
  </si>
  <si>
    <t xml:space="preserve">2024-05-10</t>
  </si>
  <si>
    <t xml:space="preserve">2024-05-17</t>
  </si>
  <si>
    <t xml:space="preserve">US-2024-101683</t>
  </si>
  <si>
    <t xml:space="preserve">2024-05-18</t>
  </si>
  <si>
    <t xml:space="preserve">US-2024-101133</t>
  </si>
  <si>
    <t xml:space="preserve">James Chen</t>
  </si>
  <si>
    <t xml:space="preserve">US-2024-100639</t>
  </si>
  <si>
    <t xml:space="preserve">2024-05-15</t>
  </si>
  <si>
    <t xml:space="preserve">US-2024-101305</t>
  </si>
  <si>
    <t xml:space="preserve">US-2024-100955</t>
  </si>
  <si>
    <t xml:space="preserve">2024-05-13</t>
  </si>
  <si>
    <t xml:space="preserve">US-2024-100223</t>
  </si>
  <si>
    <t xml:space="preserve">2024-05-21</t>
  </si>
  <si>
    <t xml:space="preserve">CU-15272</t>
  </si>
  <si>
    <t xml:space="preserve">Olivia Murphy</t>
  </si>
  <si>
    <t xml:space="preserve">US-2024-100569</t>
  </si>
  <si>
    <t xml:space="preserve">US-2024-101360</t>
  </si>
  <si>
    <t xml:space="preserve">2024-05-22</t>
  </si>
  <si>
    <t xml:space="preserve">US-2024-100120</t>
  </si>
  <si>
    <t xml:space="preserve">2024-05-24</t>
  </si>
  <si>
    <t xml:space="preserve">US-2024-100266</t>
  </si>
  <si>
    <t xml:space="preserve">2024-05-19</t>
  </si>
  <si>
    <t xml:space="preserve">US-2024-101064</t>
  </si>
  <si>
    <t xml:space="preserve">2024-05-23</t>
  </si>
  <si>
    <t xml:space="preserve">CU-22862</t>
  </si>
  <si>
    <t xml:space="preserve">Aiko Chen</t>
  </si>
  <si>
    <t xml:space="preserve">US-2024-101788</t>
  </si>
  <si>
    <t xml:space="preserve">2024-05-20</t>
  </si>
  <si>
    <t xml:space="preserve">US-2024-100271</t>
  </si>
  <si>
    <t xml:space="preserve">2024-05-27</t>
  </si>
  <si>
    <t xml:space="preserve">US-2024-100450</t>
  </si>
  <si>
    <t xml:space="preserve">US-2024-101714</t>
  </si>
  <si>
    <t xml:space="preserve">2024-05-26</t>
  </si>
  <si>
    <t xml:space="preserve">US-2024-100019</t>
  </si>
  <si>
    <t xml:space="preserve">US-2024-100235</t>
  </si>
  <si>
    <t xml:space="preserve">2024-05-28</t>
  </si>
  <si>
    <t xml:space="preserve">US-2024-100711</t>
  </si>
  <si>
    <t xml:space="preserve">2024-05-25</t>
  </si>
  <si>
    <t xml:space="preserve">US-2024-100237</t>
  </si>
  <si>
    <t xml:space="preserve">US-2024-100560</t>
  </si>
  <si>
    <t xml:space="preserve">2024-06-01</t>
  </si>
  <si>
    <t xml:space="preserve">2024-06-04</t>
  </si>
  <si>
    <t xml:space="preserve">US-2024-100135</t>
  </si>
  <si>
    <t xml:space="preserve">US-2024-100923</t>
  </si>
  <si>
    <t xml:space="preserve">2024-06-02</t>
  </si>
  <si>
    <t xml:space="preserve">2024-06-05</t>
  </si>
  <si>
    <t xml:space="preserve">US-2024-101722</t>
  </si>
  <si>
    <t xml:space="preserve">2024-06-08</t>
  </si>
  <si>
    <t xml:space="preserve">US-2024-101475</t>
  </si>
  <si>
    <t xml:space="preserve">2024-06-09</t>
  </si>
  <si>
    <t xml:space="preserve">US-2024-100997</t>
  </si>
  <si>
    <t xml:space="preserve">2024-06-03</t>
  </si>
  <si>
    <t xml:space="preserve">2024-06-06</t>
  </si>
  <si>
    <t xml:space="preserve">CU-93523</t>
  </si>
  <si>
    <t xml:space="preserve">Michael Murphy</t>
  </si>
  <si>
    <t xml:space="preserve">US-2024-101021</t>
  </si>
  <si>
    <t xml:space="preserve">US-2024-100973</t>
  </si>
  <si>
    <t xml:space="preserve">2024-06-11</t>
  </si>
  <si>
    <t xml:space="preserve">US-2024-101596</t>
  </si>
  <si>
    <t xml:space="preserve">US-2024-101181</t>
  </si>
  <si>
    <t xml:space="preserve">2024-06-10</t>
  </si>
  <si>
    <t xml:space="preserve">US-2024-101072</t>
  </si>
  <si>
    <t xml:space="preserve">US-2024-100405</t>
  </si>
  <si>
    <t xml:space="preserve">2024-06-07</t>
  </si>
  <si>
    <t xml:space="preserve">US-2024-100513</t>
  </si>
  <si>
    <t xml:space="preserve">2024-06-12</t>
  </si>
  <si>
    <t xml:space="preserve">CU-45344</t>
  </si>
  <si>
    <t xml:space="preserve">Olivia Jones</t>
  </si>
  <si>
    <t xml:space="preserve">US-2024-101559</t>
  </si>
  <si>
    <t xml:space="preserve">CU-74035</t>
  </si>
  <si>
    <t xml:space="preserve">Linda Kapoor</t>
  </si>
  <si>
    <t xml:space="preserve">US-2024-100032</t>
  </si>
  <si>
    <t xml:space="preserve">CU-34252</t>
  </si>
  <si>
    <t xml:space="preserve">Wei Chen</t>
  </si>
  <si>
    <t xml:space="preserve">US-2024-101087</t>
  </si>
  <si>
    <t xml:space="preserve">2024-06-13</t>
  </si>
  <si>
    <t xml:space="preserve">US-2024-101436</t>
  </si>
  <si>
    <t xml:space="preserve">US-2024-101398</t>
  </si>
  <si>
    <t xml:space="preserve">2024-06-18</t>
  </si>
  <si>
    <t xml:space="preserve">US-2024-100781</t>
  </si>
  <si>
    <t xml:space="preserve">2024-06-15</t>
  </si>
  <si>
    <t xml:space="preserve">US-2024-101006</t>
  </si>
  <si>
    <t xml:space="preserve">CU-47373</t>
  </si>
  <si>
    <t xml:space="preserve">Elizabeth Davis</t>
  </si>
  <si>
    <t xml:space="preserve">US-2024-100779</t>
  </si>
  <si>
    <t xml:space="preserve">2024-06-17</t>
  </si>
  <si>
    <t xml:space="preserve">US-2024-101388</t>
  </si>
  <si>
    <t xml:space="preserve">2024-06-19</t>
  </si>
  <si>
    <t xml:space="preserve">US-2024-101363</t>
  </si>
  <si>
    <t xml:space="preserve">US-2024-100165</t>
  </si>
  <si>
    <t xml:space="preserve">2024-06-14</t>
  </si>
  <si>
    <t xml:space="preserve">US-2024-101792</t>
  </si>
  <si>
    <t xml:space="preserve">US-2024-101236</t>
  </si>
  <si>
    <t xml:space="preserve">2024-06-21</t>
  </si>
  <si>
    <t xml:space="preserve">US-2024-100090</t>
  </si>
  <si>
    <t xml:space="preserve">CU-72435</t>
  </si>
  <si>
    <t xml:space="preserve">Carlos Williams</t>
  </si>
  <si>
    <t xml:space="preserve">US-2024-100306</t>
  </si>
  <si>
    <t xml:space="preserve">2024-06-22</t>
  </si>
  <si>
    <t xml:space="preserve">US-2024-101079</t>
  </si>
  <si>
    <t xml:space="preserve">2024-06-20</t>
  </si>
  <si>
    <t xml:space="preserve">2024-06-23</t>
  </si>
  <si>
    <t xml:space="preserve">US-2024-100374</t>
  </si>
  <si>
    <t xml:space="preserve">2024-06-27</t>
  </si>
  <si>
    <t xml:space="preserve">US-2024-100178</t>
  </si>
  <si>
    <t xml:space="preserve">2024-06-28</t>
  </si>
  <si>
    <t xml:space="preserve">CU-06781</t>
  </si>
  <si>
    <t xml:space="preserve">Liam Davis</t>
  </si>
  <si>
    <t xml:space="preserve">US-2024-100222</t>
  </si>
  <si>
    <t xml:space="preserve">CU-58181</t>
  </si>
  <si>
    <t xml:space="preserve">Fatima Ali</t>
  </si>
  <si>
    <t xml:space="preserve">US-2024-101528</t>
  </si>
  <si>
    <t xml:space="preserve">CU-22707</t>
  </si>
  <si>
    <t xml:space="preserve">Robert Khan</t>
  </si>
  <si>
    <t xml:space="preserve">US-2024-100008</t>
  </si>
  <si>
    <t xml:space="preserve">CU-89742</t>
  </si>
  <si>
    <t xml:space="preserve">Ahmed Smith</t>
  </si>
  <si>
    <t xml:space="preserve">US-2024-100104</t>
  </si>
  <si>
    <t xml:space="preserve">2024-06-25</t>
  </si>
  <si>
    <t xml:space="preserve">US-2024-100042</t>
  </si>
  <si>
    <t xml:space="preserve">US-2024-100941</t>
  </si>
  <si>
    <t xml:space="preserve">2024-06-26</t>
  </si>
  <si>
    <t xml:space="preserve">2024-06-30</t>
  </si>
  <si>
    <t xml:space="preserve">2024-06-29</t>
  </si>
  <si>
    <t xml:space="preserve">US-2024-101696</t>
  </si>
  <si>
    <t xml:space="preserve">2024-07-01</t>
  </si>
  <si>
    <t xml:space="preserve">US-2024-100725</t>
  </si>
  <si>
    <t xml:space="preserve">2024-07-03</t>
  </si>
  <si>
    <t xml:space="preserve">US-2024-101200</t>
  </si>
  <si>
    <t xml:space="preserve">CU-41970</t>
  </si>
  <si>
    <t xml:space="preserve">Priya Jones</t>
  </si>
  <si>
    <t xml:space="preserve">US-2024-101040</t>
  </si>
  <si>
    <t xml:space="preserve">CU-34790</t>
  </si>
  <si>
    <t xml:space="preserve">Aiko Murphy</t>
  </si>
  <si>
    <t xml:space="preserve">US-2024-100004</t>
  </si>
  <si>
    <t xml:space="preserve">2024-07-04</t>
  </si>
  <si>
    <t xml:space="preserve">US-2024-100978</t>
  </si>
  <si>
    <t xml:space="preserve">2024-07-06</t>
  </si>
  <si>
    <t xml:space="preserve">US-2024-100385</t>
  </si>
  <si>
    <t xml:space="preserve">2024-07-02</t>
  </si>
  <si>
    <t xml:space="preserve">US-2024-100958</t>
  </si>
  <si>
    <t xml:space="preserve">US-2024-101233</t>
  </si>
  <si>
    <t xml:space="preserve">2024-07-08</t>
  </si>
  <si>
    <t xml:space="preserve">US-2024-101255</t>
  </si>
  <si>
    <t xml:space="preserve">2024-07-05</t>
  </si>
  <si>
    <t xml:space="preserve">US-2024-101003</t>
  </si>
  <si>
    <t xml:space="preserve">US-2024-101273</t>
  </si>
  <si>
    <t xml:space="preserve">2024-07-09</t>
  </si>
  <si>
    <t xml:space="preserve">US-2024-100591</t>
  </si>
  <si>
    <t xml:space="preserve">US-2024-101161</t>
  </si>
  <si>
    <t xml:space="preserve">2024-07-11</t>
  </si>
  <si>
    <t xml:space="preserve">US-2024-101218</t>
  </si>
  <si>
    <t xml:space="preserve">2024-07-07</t>
  </si>
  <si>
    <t xml:space="preserve">US-2024-101304</t>
  </si>
  <si>
    <t xml:space="preserve">2024-07-10</t>
  </si>
  <si>
    <t xml:space="preserve">US-2024-100595</t>
  </si>
  <si>
    <t xml:space="preserve">US-2024-100189</t>
  </si>
  <si>
    <t xml:space="preserve">US-2024-100764</t>
  </si>
  <si>
    <t xml:space="preserve">US-2024-101470</t>
  </si>
  <si>
    <t xml:space="preserve">US-2024-101399</t>
  </si>
  <si>
    <t xml:space="preserve">2024-07-13</t>
  </si>
  <si>
    <t xml:space="preserve">US-2024-101847</t>
  </si>
  <si>
    <t xml:space="preserve">US-2024-101024</t>
  </si>
  <si>
    <t xml:space="preserve">US-2024-100265</t>
  </si>
  <si>
    <t xml:space="preserve">US-2024-100470</t>
  </si>
  <si>
    <t xml:space="preserve">US-2024-101569</t>
  </si>
  <si>
    <t xml:space="preserve">2024-07-12</t>
  </si>
  <si>
    <t xml:space="preserve">CU-49792</t>
  </si>
  <si>
    <t xml:space="preserve">Olivia Brown</t>
  </si>
  <si>
    <t xml:space="preserve">US-2024-100242</t>
  </si>
  <si>
    <t xml:space="preserve">2024-07-18</t>
  </si>
  <si>
    <t xml:space="preserve">CU-32745</t>
  </si>
  <si>
    <t xml:space="preserve">Linda Williams</t>
  </si>
  <si>
    <t xml:space="preserve">US-2024-101651</t>
  </si>
  <si>
    <t xml:space="preserve">2024-07-15</t>
  </si>
  <si>
    <t xml:space="preserve">US-2024-101202</t>
  </si>
  <si>
    <t xml:space="preserve">US-2024-100539</t>
  </si>
  <si>
    <t xml:space="preserve">US-2024-100468</t>
  </si>
  <si>
    <t xml:space="preserve">2024-07-16</t>
  </si>
  <si>
    <t xml:space="preserve">US-2024-100597</t>
  </si>
  <si>
    <t xml:space="preserve">2024-07-22</t>
  </si>
  <si>
    <t xml:space="preserve">US-2024-100934</t>
  </si>
  <si>
    <t xml:space="preserve">US-2024-101000</t>
  </si>
  <si>
    <t xml:space="preserve">2024-07-24</t>
  </si>
  <si>
    <t xml:space="preserve">CU-07964</t>
  </si>
  <si>
    <t xml:space="preserve">Robert Davis</t>
  </si>
  <si>
    <t xml:space="preserve">US-2024-100674</t>
  </si>
  <si>
    <t xml:space="preserve">US-2024-100056</t>
  </si>
  <si>
    <t xml:space="preserve">2024-07-19</t>
  </si>
  <si>
    <t xml:space="preserve">US-2024-100229</t>
  </si>
  <si>
    <t xml:space="preserve">2024-07-20</t>
  </si>
  <si>
    <t xml:space="preserve">2024-07-26</t>
  </si>
  <si>
    <t xml:space="preserve">US-2024-100629</t>
  </si>
  <si>
    <t xml:space="preserve">CU-59822</t>
  </si>
  <si>
    <t xml:space="preserve">John Rodriguez</t>
  </si>
  <si>
    <t xml:space="preserve">US-2024-101732</t>
  </si>
  <si>
    <t xml:space="preserve">2024-07-21</t>
  </si>
  <si>
    <t xml:space="preserve">2024-07-23</t>
  </si>
  <si>
    <t xml:space="preserve">2024-07-25</t>
  </si>
  <si>
    <t xml:space="preserve">US-2024-100331</t>
  </si>
  <si>
    <t xml:space="preserve">2024-07-29</t>
  </si>
  <si>
    <t xml:space="preserve">US-2024-101413</t>
  </si>
  <si>
    <t xml:space="preserve">2024-07-28</t>
  </si>
  <si>
    <t xml:space="preserve">US-2024-100914</t>
  </si>
  <si>
    <t xml:space="preserve">US-2024-100931</t>
  </si>
  <si>
    <t xml:space="preserve">2024-07-30</t>
  </si>
  <si>
    <t xml:space="preserve">US-2024-101065</t>
  </si>
  <si>
    <t xml:space="preserve">2024-07-27</t>
  </si>
  <si>
    <t xml:space="preserve">US-2024-100864</t>
  </si>
  <si>
    <t xml:space="preserve">US-2024-100873</t>
  </si>
  <si>
    <t xml:space="preserve">2024-08-02</t>
  </si>
  <si>
    <t xml:space="preserve">US-2024-100989</t>
  </si>
  <si>
    <t xml:space="preserve">US-2024-100948</t>
  </si>
  <si>
    <t xml:space="preserve">2024-08-03</t>
  </si>
  <si>
    <t xml:space="preserve">CU-98813</t>
  </si>
  <si>
    <t xml:space="preserve">Aiko Williams</t>
  </si>
  <si>
    <t xml:space="preserve">US-2024-100128</t>
  </si>
  <si>
    <t xml:space="preserve">US-2024-100527</t>
  </si>
  <si>
    <t xml:space="preserve">2024-08-01</t>
  </si>
  <si>
    <t xml:space="preserve">US-2024-101163</t>
  </si>
  <si>
    <t xml:space="preserve">2024-07-31</t>
  </si>
  <si>
    <t xml:space="preserve">US-2024-100982</t>
  </si>
  <si>
    <t xml:space="preserve">US-2024-100890</t>
  </si>
  <si>
    <t xml:space="preserve">US-2024-100503</t>
  </si>
  <si>
    <t xml:space="preserve">2024-08-04</t>
  </si>
  <si>
    <t xml:space="preserve">US-2024-101196</t>
  </si>
  <si>
    <t xml:space="preserve">2024-08-05</t>
  </si>
  <si>
    <t xml:space="preserve">US-2024-101276</t>
  </si>
  <si>
    <t xml:space="preserve">2024-08-08</t>
  </si>
  <si>
    <t xml:space="preserve">US-2024-101069</t>
  </si>
  <si>
    <t xml:space="preserve">2024-08-06</t>
  </si>
  <si>
    <t xml:space="preserve">2024-08-07</t>
  </si>
  <si>
    <t xml:space="preserve">US-2024-101679</t>
  </si>
  <si>
    <t xml:space="preserve">CU-56778</t>
  </si>
  <si>
    <t xml:space="preserve">Priya Smith</t>
  </si>
  <si>
    <t xml:space="preserve">US-2024-100774</t>
  </si>
  <si>
    <t xml:space="preserve">2024-08-12</t>
  </si>
  <si>
    <t xml:space="preserve">2024-08-10</t>
  </si>
  <si>
    <t xml:space="preserve">US-2024-101374</t>
  </si>
  <si>
    <t xml:space="preserve">2024-08-13</t>
  </si>
  <si>
    <t xml:space="preserve">2024-08-11</t>
  </si>
  <si>
    <t xml:space="preserve">US-2024-100326</t>
  </si>
  <si>
    <t xml:space="preserve">US-2024-101816</t>
  </si>
  <si>
    <t xml:space="preserve">2024-08-09</t>
  </si>
  <si>
    <t xml:space="preserve">US-2024-100480</t>
  </si>
  <si>
    <t xml:space="preserve">US-2024-100840</t>
  </si>
  <si>
    <t xml:space="preserve">2024-08-14</t>
  </si>
  <si>
    <t xml:space="preserve">US-2024-101598</t>
  </si>
  <si>
    <t xml:space="preserve">US-2024-101108</t>
  </si>
  <si>
    <t xml:space="preserve">2024-08-16</t>
  </si>
  <si>
    <t xml:space="preserve">US-2024-100043</t>
  </si>
  <si>
    <t xml:space="preserve">2024-08-15</t>
  </si>
  <si>
    <t xml:space="preserve">US-2024-100803</t>
  </si>
  <si>
    <t xml:space="preserve">2024-08-18</t>
  </si>
  <si>
    <t xml:space="preserve">US-2024-100446</t>
  </si>
  <si>
    <t xml:space="preserve">US-2024-100628</t>
  </si>
  <si>
    <t xml:space="preserve">2024-08-17</t>
  </si>
  <si>
    <t xml:space="preserve">US-2024-101819</t>
  </si>
  <si>
    <t xml:space="preserve">US-2024-101368</t>
  </si>
  <si>
    <t xml:space="preserve">CU-85729</t>
  </si>
  <si>
    <t xml:space="preserve">Elizabeth Brown</t>
  </si>
  <si>
    <t xml:space="preserve">US-2024-100717</t>
  </si>
  <si>
    <t xml:space="preserve">2024-08-21</t>
  </si>
  <si>
    <t xml:space="preserve">US-2024-101037</t>
  </si>
  <si>
    <t xml:space="preserve">2024-08-23</t>
  </si>
  <si>
    <t xml:space="preserve">US-2024-101548</t>
  </si>
  <si>
    <t xml:space="preserve">US-2024-100215</t>
  </si>
  <si>
    <t xml:space="preserve">US-2024-101127</t>
  </si>
  <si>
    <t xml:space="preserve">2024-08-19</t>
  </si>
  <si>
    <t xml:space="preserve">2024-08-25</t>
  </si>
  <si>
    <t xml:space="preserve">2024-08-20</t>
  </si>
  <si>
    <t xml:space="preserve">CU-42375</t>
  </si>
  <si>
    <t xml:space="preserve">Wei Smith</t>
  </si>
  <si>
    <t xml:space="preserve">US-2024-100765</t>
  </si>
  <si>
    <t xml:space="preserve">2024-08-27</t>
  </si>
  <si>
    <t xml:space="preserve">US-2024-100420</t>
  </si>
  <si>
    <t xml:space="preserve">2024-08-26</t>
  </si>
  <si>
    <t xml:space="preserve">US-2024-100754</t>
  </si>
  <si>
    <t xml:space="preserve">2024-09-03</t>
  </si>
  <si>
    <t xml:space="preserve">US-2024-100316</t>
  </si>
  <si>
    <t xml:space="preserve">2024-08-31</t>
  </si>
  <si>
    <t xml:space="preserve">US-2024-101512</t>
  </si>
  <si>
    <t xml:space="preserve">2024-08-28</t>
  </si>
  <si>
    <t xml:space="preserve">US-2024-101116</t>
  </si>
  <si>
    <t xml:space="preserve">2024-09-01</t>
  </si>
  <si>
    <t xml:space="preserve">US-2024-100723</t>
  </si>
  <si>
    <t xml:space="preserve">2024-08-29</t>
  </si>
  <si>
    <t xml:space="preserve">US-2024-101564</t>
  </si>
  <si>
    <t xml:space="preserve">2024-09-04</t>
  </si>
  <si>
    <t xml:space="preserve">US-2024-100970</t>
  </si>
  <si>
    <t xml:space="preserve">2024-09-10</t>
  </si>
  <si>
    <t xml:space="preserve">US-2024-100145</t>
  </si>
  <si>
    <t xml:space="preserve">2024-09-08</t>
  </si>
  <si>
    <t xml:space="preserve">US-2024-101002</t>
  </si>
  <si>
    <t xml:space="preserve">2024-09-05</t>
  </si>
  <si>
    <t xml:space="preserve">2024-09-12</t>
  </si>
  <si>
    <t xml:space="preserve">US-2024-100816</t>
  </si>
  <si>
    <t xml:space="preserve">2024-09-07</t>
  </si>
  <si>
    <t xml:space="preserve">US-2024-100643</t>
  </si>
  <si>
    <t xml:space="preserve">US-2024-100798</t>
  </si>
  <si>
    <t xml:space="preserve">2024-09-06</t>
  </si>
  <si>
    <t xml:space="preserve">US-2024-101083</t>
  </si>
  <si>
    <t xml:space="preserve">CU-02325</t>
  </si>
  <si>
    <t xml:space="preserve">John Brown</t>
  </si>
  <si>
    <t xml:space="preserve">US-2024-101438</t>
  </si>
  <si>
    <t xml:space="preserve">US-2024-100177</t>
  </si>
  <si>
    <t xml:space="preserve">2024-09-09</t>
  </si>
  <si>
    <t xml:space="preserve">US-2024-101500</t>
  </si>
  <si>
    <t xml:space="preserve">US-2024-100315</t>
  </si>
  <si>
    <t xml:space="preserve">US-2024-100257</t>
  </si>
  <si>
    <t xml:space="preserve">2024-09-15</t>
  </si>
  <si>
    <t xml:space="preserve">2024-09-11</t>
  </si>
  <si>
    <t xml:space="preserve">2024-09-14</t>
  </si>
  <si>
    <t xml:space="preserve">US-2024-100938</t>
  </si>
  <si>
    <t xml:space="preserve">CU-08182</t>
  </si>
  <si>
    <t xml:space="preserve">Carlos Martinez</t>
  </si>
  <si>
    <t xml:space="preserve">US-2024-101238</t>
  </si>
  <si>
    <t xml:space="preserve">2024-09-13</t>
  </si>
  <si>
    <t xml:space="preserve">US-2024-100733</t>
  </si>
  <si>
    <t xml:space="preserve">2024-09-17</t>
  </si>
  <si>
    <t xml:space="preserve">US-2024-101039</t>
  </si>
  <si>
    <t xml:space="preserve">2024-09-22</t>
  </si>
  <si>
    <t xml:space="preserve">2024-09-20</t>
  </si>
  <si>
    <t xml:space="preserve">US-2024-100396</t>
  </si>
  <si>
    <t xml:space="preserve">2024-09-16</t>
  </si>
  <si>
    <t xml:space="preserve">US-2024-100472</t>
  </si>
  <si>
    <t xml:space="preserve">US-2024-101810</t>
  </si>
  <si>
    <t xml:space="preserve">2024-09-21</t>
  </si>
  <si>
    <t xml:space="preserve">2024-09-24</t>
  </si>
  <si>
    <t xml:space="preserve">US-2024-100828</t>
  </si>
  <si>
    <t xml:space="preserve">2024-09-25</t>
  </si>
  <si>
    <t xml:space="preserve">2024-09-27</t>
  </si>
  <si>
    <t xml:space="preserve">US-2024-101162</t>
  </si>
  <si>
    <t xml:space="preserve">US-2024-101406</t>
  </si>
  <si>
    <t xml:space="preserve">2024-09-23</t>
  </si>
  <si>
    <t xml:space="preserve">2024-09-28</t>
  </si>
  <si>
    <t xml:space="preserve">US-2024-100694</t>
  </si>
  <si>
    <t xml:space="preserve">2024-09-26</t>
  </si>
  <si>
    <t xml:space="preserve">2024-09-29</t>
  </si>
  <si>
    <t xml:space="preserve">US-2024-100658</t>
  </si>
  <si>
    <t xml:space="preserve">US-2024-101491</t>
  </si>
  <si>
    <t xml:space="preserve">2024-10-01</t>
  </si>
  <si>
    <t xml:space="preserve">CU-34791</t>
  </si>
  <si>
    <t xml:space="preserve">Sunil Garcia</t>
  </si>
  <si>
    <t xml:space="preserve">US-2024-101480</t>
  </si>
  <si>
    <t xml:space="preserve">US-2024-100551</t>
  </si>
  <si>
    <t xml:space="preserve">US-2024-100287</t>
  </si>
  <si>
    <t xml:space="preserve">2024-10-03</t>
  </si>
  <si>
    <t xml:space="preserve">US-2024-101186</t>
  </si>
  <si>
    <t xml:space="preserve">2024-10-06</t>
  </si>
  <si>
    <t xml:space="preserve">US-2024-100535</t>
  </si>
  <si>
    <t xml:space="preserve">2024-09-30</t>
  </si>
  <si>
    <t xml:space="preserve">2024-10-04</t>
  </si>
  <si>
    <t xml:space="preserve">US-2024-101427</t>
  </si>
  <si>
    <t xml:space="preserve">2024-10-02</t>
  </si>
  <si>
    <t xml:space="preserve">2024-10-08</t>
  </si>
  <si>
    <t xml:space="preserve">US-2024-100686</t>
  </si>
  <si>
    <t xml:space="preserve">2024-10-09</t>
  </si>
  <si>
    <t xml:space="preserve">US-2024-101574</t>
  </si>
  <si>
    <t xml:space="preserve">2024-10-05</t>
  </si>
  <si>
    <t xml:space="preserve">2024-10-11</t>
  </si>
  <si>
    <t xml:space="preserve">US-2024-100533</t>
  </si>
  <si>
    <t xml:space="preserve">US-2024-100005</t>
  </si>
  <si>
    <t xml:space="preserve">2024-10-12</t>
  </si>
  <si>
    <t xml:space="preserve">CU-01306</t>
  </si>
  <si>
    <t xml:space="preserve">Wei Nair</t>
  </si>
  <si>
    <t xml:space="preserve">2024-10-07</t>
  </si>
  <si>
    <t xml:space="preserve">US-2024-100159</t>
  </si>
  <si>
    <t xml:space="preserve">2024-10-13</t>
  </si>
  <si>
    <t xml:space="preserve">US-2024-100072</t>
  </si>
  <si>
    <t xml:space="preserve">2024-10-15</t>
  </si>
  <si>
    <t xml:space="preserve">US-2024-100518</t>
  </si>
  <si>
    <t xml:space="preserve">2024-10-10</t>
  </si>
  <si>
    <t xml:space="preserve">2024-10-16</t>
  </si>
  <si>
    <t xml:space="preserve">US-2024-101551</t>
  </si>
  <si>
    <t xml:space="preserve">US-2024-101421</t>
  </si>
  <si>
    <t xml:space="preserve">2024-10-17</t>
  </si>
  <si>
    <t xml:space="preserve">US-2024-100869</t>
  </si>
  <si>
    <t xml:space="preserve">US-2024-100442</t>
  </si>
  <si>
    <t xml:space="preserve">US-2024-101320</t>
  </si>
  <si>
    <t xml:space="preserve">2024-10-19</t>
  </si>
  <si>
    <t xml:space="preserve">CU-96498</t>
  </si>
  <si>
    <t xml:space="preserve">Patricia Silva</t>
  </si>
  <si>
    <t xml:space="preserve">US-2024-101076</t>
  </si>
  <si>
    <t xml:space="preserve">US-2024-101373</t>
  </si>
  <si>
    <t xml:space="preserve">2024-10-18</t>
  </si>
  <si>
    <t xml:space="preserve">2024-10-21</t>
  </si>
  <si>
    <t xml:space="preserve">US-2024-100115</t>
  </si>
  <si>
    <t xml:space="preserve">2024-10-25</t>
  </si>
  <si>
    <t xml:space="preserve">US-2024-100936</t>
  </si>
  <si>
    <t xml:space="preserve">US-2024-101631</t>
  </si>
  <si>
    <t xml:space="preserve">2024-10-20</t>
  </si>
  <si>
    <t xml:space="preserve">US-2024-101146</t>
  </si>
  <si>
    <t xml:space="preserve">2024-10-24</t>
  </si>
  <si>
    <t xml:space="preserve">US-2024-100721</t>
  </si>
  <si>
    <t xml:space="preserve">2024-10-22</t>
  </si>
  <si>
    <t xml:space="preserve">US-2024-100637</t>
  </si>
  <si>
    <t xml:space="preserve">2024-10-26</t>
  </si>
  <si>
    <t xml:space="preserve">US-2024-100734</t>
  </si>
  <si>
    <t xml:space="preserve">2024-10-23</t>
  </si>
  <si>
    <t xml:space="preserve">US-2024-100794</t>
  </si>
  <si>
    <t xml:space="preserve">2024-10-30</t>
  </si>
  <si>
    <t xml:space="preserve">2024-10-27</t>
  </si>
  <si>
    <t xml:space="preserve">US-2024-100276</t>
  </si>
  <si>
    <t xml:space="preserve">2024-10-29</t>
  </si>
  <si>
    <t xml:space="preserve">US-2024-101278</t>
  </si>
  <si>
    <t xml:space="preserve">US-2024-100284</t>
  </si>
  <si>
    <t xml:space="preserve">US-2024-101507</t>
  </si>
  <si>
    <t xml:space="preserve">US-2024-100258</t>
  </si>
  <si>
    <t xml:space="preserve">2024-10-28</t>
  </si>
  <si>
    <t xml:space="preserve">US-2024-100630</t>
  </si>
  <si>
    <t xml:space="preserve">2024-11-02</t>
  </si>
  <si>
    <t xml:space="preserve">CU-80346</t>
  </si>
  <si>
    <t xml:space="preserve">Sunil Nair</t>
  </si>
  <si>
    <t xml:space="preserve">US-2024-100035</t>
  </si>
  <si>
    <t xml:space="preserve">2024-11-01</t>
  </si>
  <si>
    <t xml:space="preserve">CU-81744</t>
  </si>
  <si>
    <t xml:space="preserve">Aiko Silva</t>
  </si>
  <si>
    <t xml:space="preserve">2024-10-31</t>
  </si>
  <si>
    <t xml:space="preserve">US-2024-100885</t>
  </si>
  <si>
    <t xml:space="preserve">2024-11-03</t>
  </si>
  <si>
    <t xml:space="preserve">US-2024-101349</t>
  </si>
  <si>
    <t xml:space="preserve">2024-11-04</t>
  </si>
  <si>
    <t xml:space="preserve">CU-68943</t>
  </si>
  <si>
    <t xml:space="preserve">Wei Ali</t>
  </si>
  <si>
    <t xml:space="preserve">US-2024-100023</t>
  </si>
  <si>
    <t xml:space="preserve">US-2024-101259</t>
  </si>
  <si>
    <t xml:space="preserve">US-2024-100946</t>
  </si>
  <si>
    <t xml:space="preserve">2024-11-05</t>
  </si>
  <si>
    <t xml:space="preserve">US-2024-100094</t>
  </si>
  <si>
    <t xml:space="preserve">US-2024-101321</t>
  </si>
  <si>
    <t xml:space="preserve">2024-11-06</t>
  </si>
  <si>
    <t xml:space="preserve">US-2024-101331</t>
  </si>
  <si>
    <t xml:space="preserve">2024-11-07</t>
  </si>
  <si>
    <t xml:space="preserve">CU-19786</t>
  </si>
  <si>
    <t xml:space="preserve">Fatima Murphy</t>
  </si>
  <si>
    <t xml:space="preserve">US-2024-100663</t>
  </si>
  <si>
    <t xml:space="preserve">2024-11-08</t>
  </si>
  <si>
    <t xml:space="preserve">US-2024-101272</t>
  </si>
  <si>
    <t xml:space="preserve">US-2024-100010</t>
  </si>
  <si>
    <t xml:space="preserve">2024-11-13</t>
  </si>
  <si>
    <t xml:space="preserve">US-2024-101323</t>
  </si>
  <si>
    <t xml:space="preserve">US-2024-101351</t>
  </si>
  <si>
    <t xml:space="preserve">2024-11-10</t>
  </si>
  <si>
    <t xml:space="preserve">US-2024-101293</t>
  </si>
  <si>
    <t xml:space="preserve">2024-11-11</t>
  </si>
  <si>
    <t xml:space="preserve">2024-11-09</t>
  </si>
  <si>
    <t xml:space="preserve">US-2024-101277</t>
  </si>
  <si>
    <t xml:space="preserve">US-2024-101739</t>
  </si>
  <si>
    <t xml:space="preserve">2024-11-16</t>
  </si>
  <si>
    <t xml:space="preserve">US-2024-101636</t>
  </si>
  <si>
    <t xml:space="preserve">2024-11-12</t>
  </si>
  <si>
    <t xml:space="preserve">2024-11-18</t>
  </si>
  <si>
    <t xml:space="preserve">US-2024-101639</t>
  </si>
  <si>
    <t xml:space="preserve">2024-11-17</t>
  </si>
  <si>
    <t xml:space="preserve">US-2024-101286</t>
  </si>
  <si>
    <t xml:space="preserve">US-2024-100650</t>
  </si>
  <si>
    <t xml:space="preserve">2024-11-20</t>
  </si>
  <si>
    <t xml:space="preserve">US-2024-101182</t>
  </si>
  <si>
    <t xml:space="preserve">2024-11-14</t>
  </si>
  <si>
    <t xml:space="preserve">2024-11-15</t>
  </si>
  <si>
    <t xml:space="preserve">US-2024-100678</t>
  </si>
  <si>
    <t xml:space="preserve">2024-11-19</t>
  </si>
  <si>
    <t xml:space="preserve">US-2024-101169</t>
  </si>
  <si>
    <t xml:space="preserve">US-2024-101718</t>
  </si>
  <si>
    <t xml:space="preserve">2024-11-23</t>
  </si>
  <si>
    <t xml:space="preserve">US-2024-100612</t>
  </si>
  <si>
    <t xml:space="preserve">2024-11-21</t>
  </si>
  <si>
    <t xml:space="preserve">US-2024-100951</t>
  </si>
  <si>
    <t xml:space="preserve">2024-11-22</t>
  </si>
  <si>
    <t xml:space="preserve">US-2024-100353</t>
  </si>
  <si>
    <t xml:space="preserve">2024-11-26</t>
  </si>
  <si>
    <t xml:space="preserve">US-2024-100666</t>
  </si>
  <si>
    <t xml:space="preserve">2024-11-25</t>
  </si>
  <si>
    <t xml:space="preserve">2024-11-28</t>
  </si>
  <si>
    <t xml:space="preserve">US-2024-100304</t>
  </si>
  <si>
    <t xml:space="preserve">US-2024-100351</t>
  </si>
  <si>
    <t xml:space="preserve">US-2024-100837</t>
  </si>
  <si>
    <t xml:space="preserve">US-2024-101336</t>
  </si>
  <si>
    <t xml:space="preserve">CU-79810</t>
  </si>
  <si>
    <t xml:space="preserve">Aiko Miller</t>
  </si>
  <si>
    <t xml:space="preserve">US-2024-100390</t>
  </si>
  <si>
    <t xml:space="preserve">US-2024-100195</t>
  </si>
  <si>
    <t xml:space="preserve">2024-11-27</t>
  </si>
  <si>
    <t xml:space="preserve">US-2024-101403</t>
  </si>
  <si>
    <t xml:space="preserve">2024-11-24</t>
  </si>
  <si>
    <t xml:space="preserve">2024-11-30</t>
  </si>
  <si>
    <t xml:space="preserve">US-2024-100981</t>
  </si>
  <si>
    <t xml:space="preserve">2024-12-04</t>
  </si>
  <si>
    <t xml:space="preserve">CU-66399</t>
  </si>
  <si>
    <t xml:space="preserve">Linda Smith</t>
  </si>
  <si>
    <t xml:space="preserve">2024-12-06</t>
  </si>
  <si>
    <t xml:space="preserve">US-2024-100074</t>
  </si>
  <si>
    <t xml:space="preserve">2024-12-02</t>
  </si>
  <si>
    <t xml:space="preserve">US-2024-100293</t>
  </si>
  <si>
    <t xml:space="preserve">2024-12-01</t>
  </si>
  <si>
    <t xml:space="preserve">2024-12-05</t>
  </si>
  <si>
    <t xml:space="preserve">CU-83593</t>
  </si>
  <si>
    <t xml:space="preserve">Linda Chen</t>
  </si>
  <si>
    <t xml:space="preserve">2024-12-08</t>
  </si>
  <si>
    <t xml:space="preserve">CU-21395</t>
  </si>
  <si>
    <t xml:space="preserve">Mary Garcia</t>
  </si>
  <si>
    <t xml:space="preserve">US-2024-101546</t>
  </si>
  <si>
    <t xml:space="preserve">2024-12-09</t>
  </si>
  <si>
    <t xml:space="preserve">US-2024-101625</t>
  </si>
  <si>
    <t xml:space="preserve">US-2024-100748</t>
  </si>
  <si>
    <t xml:space="preserve">US-2024-100392</t>
  </si>
  <si>
    <t xml:space="preserve">2024-12-12</t>
  </si>
  <si>
    <t xml:space="preserve">US-2024-100188</t>
  </si>
  <si>
    <t xml:space="preserve">2024-12-13</t>
  </si>
  <si>
    <t xml:space="preserve">US-2024-101137</t>
  </si>
  <si>
    <t xml:space="preserve">US-2024-101447</t>
  </si>
  <si>
    <t xml:space="preserve">2024-12-10</t>
  </si>
  <si>
    <t xml:space="preserve">2024-12-07</t>
  </si>
  <si>
    <t xml:space="preserve">US-2024-100384</t>
  </si>
  <si>
    <t xml:space="preserve">2024-12-11</t>
  </si>
  <si>
    <t xml:space="preserve">2024-12-15</t>
  </si>
  <si>
    <t xml:space="preserve">CU-16595</t>
  </si>
  <si>
    <t xml:space="preserve">Robert Martinez</t>
  </si>
  <si>
    <t xml:space="preserve">US-2024-100691</t>
  </si>
  <si>
    <t xml:space="preserve">2024-12-17</t>
  </si>
  <si>
    <t xml:space="preserve">US-2024-100682</t>
  </si>
  <si>
    <t xml:space="preserve">US-2024-101014</t>
  </si>
  <si>
    <t xml:space="preserve">US-2024-100904</t>
  </si>
  <si>
    <t xml:space="preserve">2024-12-16</t>
  </si>
  <si>
    <t xml:space="preserve">US-2024-100880</t>
  </si>
  <si>
    <t xml:space="preserve">2024-12-14</t>
  </si>
  <si>
    <t xml:space="preserve">2024-12-21</t>
  </si>
  <si>
    <t xml:space="preserve">US-2024-100968</t>
  </si>
  <si>
    <t xml:space="preserve">2024-12-20</t>
  </si>
  <si>
    <t xml:space="preserve">US-2024-100662</t>
  </si>
  <si>
    <t xml:space="preserve">US-2024-101698</t>
  </si>
  <si>
    <t xml:space="preserve">2024-12-19</t>
  </si>
  <si>
    <t xml:space="preserve">CU-68607</t>
  </si>
  <si>
    <t xml:space="preserve">Carlos Nguyen</t>
  </si>
  <si>
    <t xml:space="preserve">2024-12-24</t>
  </si>
  <si>
    <t xml:space="preserve">US-2024-100899</t>
  </si>
  <si>
    <t xml:space="preserve">2024-12-18</t>
  </si>
  <si>
    <t xml:space="preserve">US-2024-101159</t>
  </si>
  <si>
    <t xml:space="preserve">2024-12-22</t>
  </si>
  <si>
    <t xml:space="preserve">US-2024-100240</t>
  </si>
  <si>
    <t xml:space="preserve">CU-38577</t>
  </si>
  <si>
    <t xml:space="preserve">Wei Bennett</t>
  </si>
  <si>
    <t xml:space="preserve">US-2024-101741</t>
  </si>
  <si>
    <t xml:space="preserve">2024-12-25</t>
  </si>
  <si>
    <t xml:space="preserve">US-2024-100020</t>
  </si>
  <si>
    <t xml:space="preserve">US-2024-100425</t>
  </si>
  <si>
    <t xml:space="preserve">2024-12-28</t>
  </si>
  <si>
    <t xml:space="preserve">2024-12-26</t>
  </si>
  <si>
    <t xml:space="preserve">US-2024-100520</t>
  </si>
  <si>
    <t xml:space="preserve">US-2024-101510</t>
  </si>
  <si>
    <t xml:space="preserve">2024-12-23</t>
  </si>
  <si>
    <t xml:space="preserve">2024-12-27</t>
  </si>
  <si>
    <t xml:space="preserve">US-2024-100532</t>
  </si>
  <si>
    <t xml:space="preserve">US-2024-100085</t>
  </si>
  <si>
    <t xml:space="preserve">CU-39141</t>
  </si>
  <si>
    <t xml:space="preserve">Olivia Nguyen</t>
  </si>
  <si>
    <t xml:space="preserve">US-2024-100540</t>
  </si>
  <si>
    <t xml:space="preserve">2024-12-30</t>
  </si>
  <si>
    <t xml:space="preserve">US-2024-100966</t>
  </si>
  <si>
    <t xml:space="preserve">2024-12-29</t>
  </si>
  <si>
    <t xml:space="preserve">US-2024-101004</t>
  </si>
  <si>
    <t xml:space="preserve">2025-01-01</t>
  </si>
  <si>
    <t xml:space="preserve">CU-07418</t>
  </si>
  <si>
    <t xml:space="preserve">Maria Davis</t>
  </si>
  <si>
    <t xml:space="preserve">US-2024-100592</t>
  </si>
  <si>
    <t xml:space="preserve">US-2024-100430</t>
  </si>
  <si>
    <t xml:space="preserve">2025-01-02</t>
  </si>
  <si>
    <t xml:space="preserve">US-2024-100838</t>
  </si>
  <si>
    <t xml:space="preserve">US-2024-100834</t>
  </si>
  <si>
    <t xml:space="preserve">US-2024-100338</t>
  </si>
  <si>
    <t xml:space="preserve">US-2024-100916</t>
  </si>
  <si>
    <t xml:space="preserve">2025-01-05</t>
  </si>
  <si>
    <t xml:space="preserve">US-2024-101022</t>
  </si>
  <si>
    <t xml:space="preserve">2025-01-04</t>
  </si>
  <si>
    <t xml:space="preserve">US-2025-101182</t>
  </si>
  <si>
    <t xml:space="preserve">US-2025-100214</t>
  </si>
  <si>
    <t xml:space="preserve">2025-01-06</t>
  </si>
  <si>
    <t xml:space="preserve">US-2025-100210</t>
  </si>
  <si>
    <t xml:space="preserve">2025-01-03</t>
  </si>
  <si>
    <t xml:space="preserve">US-2025-100750</t>
  </si>
  <si>
    <t xml:space="preserve">US-2025-101336</t>
  </si>
  <si>
    <t xml:space="preserve">US-2025-101294</t>
  </si>
  <si>
    <t xml:space="preserve">2025-01-09</t>
  </si>
  <si>
    <t xml:space="preserve">US-2025-101351</t>
  </si>
  <si>
    <t xml:space="preserve">2025-01-07</t>
  </si>
  <si>
    <t xml:space="preserve">US-2025-100162</t>
  </si>
  <si>
    <t xml:space="preserve">US-2025-101092</t>
  </si>
  <si>
    <t xml:space="preserve">US-2025-100676</t>
  </si>
  <si>
    <t xml:space="preserve">US-2025-100187</t>
  </si>
  <si>
    <t xml:space="preserve">2025-01-08</t>
  </si>
  <si>
    <t xml:space="preserve">US-2025-100272</t>
  </si>
  <si>
    <t xml:space="preserve">2025-01-12</t>
  </si>
  <si>
    <t xml:space="preserve">US-2025-101015</t>
  </si>
  <si>
    <t xml:space="preserve">2025-01-10</t>
  </si>
  <si>
    <t xml:space="preserve">US-2025-100947</t>
  </si>
  <si>
    <t xml:space="preserve">2025-01-11</t>
  </si>
  <si>
    <t xml:space="preserve">US-2025-100079</t>
  </si>
  <si>
    <t xml:space="preserve">2025-01-14</t>
  </si>
  <si>
    <t xml:space="preserve">US-2025-100345</t>
  </si>
  <si>
    <t xml:space="preserve">US-2025-100397</t>
  </si>
  <si>
    <t xml:space="preserve">2025-01-15</t>
  </si>
  <si>
    <t xml:space="preserve">US-2025-100236</t>
  </si>
  <si>
    <t xml:space="preserve">US-2025-100579</t>
  </si>
  <si>
    <t xml:space="preserve">US-2025-101588</t>
  </si>
  <si>
    <t xml:space="preserve">2025-01-13</t>
  </si>
  <si>
    <t xml:space="preserve">2025-01-20</t>
  </si>
  <si>
    <t xml:space="preserve">US-2025-101659</t>
  </si>
  <si>
    <t xml:space="preserve">US-2025-101740</t>
  </si>
  <si>
    <t xml:space="preserve">US-2025-101724</t>
  </si>
  <si>
    <t xml:space="preserve">2025-01-19</t>
  </si>
  <si>
    <t xml:space="preserve">CU-15805</t>
  </si>
  <si>
    <t xml:space="preserve">Elizabeth Nguyen</t>
  </si>
  <si>
    <t xml:space="preserve">US-2025-100682</t>
  </si>
  <si>
    <t xml:space="preserve">2025-01-17</t>
  </si>
  <si>
    <t xml:space="preserve">US-2025-101168</t>
  </si>
  <si>
    <t xml:space="preserve">US-2025-100359</t>
  </si>
  <si>
    <t xml:space="preserve">2025-01-16</t>
  </si>
  <si>
    <t xml:space="preserve">2025-01-21</t>
  </si>
  <si>
    <t xml:space="preserve">US-2025-101763</t>
  </si>
  <si>
    <t xml:space="preserve">US-2025-101705</t>
  </si>
  <si>
    <t xml:space="preserve">2025-01-25</t>
  </si>
  <si>
    <t xml:space="preserve">US-2025-100353</t>
  </si>
  <si>
    <t xml:space="preserve">US-2025-101758</t>
  </si>
  <si>
    <t xml:space="preserve">2025-01-23</t>
  </si>
  <si>
    <t xml:space="preserve">CU-96789</t>
  </si>
  <si>
    <t xml:space="preserve">Michael Nguyen</t>
  </si>
  <si>
    <t xml:space="preserve">US-2025-101615</t>
  </si>
  <si>
    <t xml:space="preserve">2025-01-28</t>
  </si>
  <si>
    <t xml:space="preserve">US-2025-100347</t>
  </si>
  <si>
    <t xml:space="preserve">2025-01-22</t>
  </si>
  <si>
    <t xml:space="preserve">US-2025-101464</t>
  </si>
  <si>
    <t xml:space="preserve">2025-01-30</t>
  </si>
  <si>
    <t xml:space="preserve">US-2025-101605</t>
  </si>
  <si>
    <t xml:space="preserve">2025-01-24</t>
  </si>
  <si>
    <t xml:space="preserve">CU-77632</t>
  </si>
  <si>
    <t xml:space="preserve">Michael Kapoor</t>
  </si>
  <si>
    <t xml:space="preserve">US-2025-101767</t>
  </si>
  <si>
    <t xml:space="preserve">2025-01-27</t>
  </si>
  <si>
    <t xml:space="preserve">US-2025-101260</t>
  </si>
  <si>
    <t xml:space="preserve">2025-01-26</t>
  </si>
  <si>
    <t xml:space="preserve">2025-01-31</t>
  </si>
  <si>
    <t xml:space="preserve">US-2025-100902</t>
  </si>
  <si>
    <t xml:space="preserve">US-2025-101194</t>
  </si>
  <si>
    <t xml:space="preserve">2025-01-29</t>
  </si>
  <si>
    <t xml:space="preserve">2025-02-01</t>
  </si>
  <si>
    <t xml:space="preserve">US-2025-100809</t>
  </si>
  <si>
    <t xml:space="preserve">2025-02-05</t>
  </si>
  <si>
    <t xml:space="preserve">US-2025-100248</t>
  </si>
  <si>
    <t xml:space="preserve">2025-02-02</t>
  </si>
  <si>
    <t xml:space="preserve">US-2025-101455</t>
  </si>
  <si>
    <t xml:space="preserve">2025-02-04</t>
  </si>
  <si>
    <t xml:space="preserve">US-2025-100598</t>
  </si>
  <si>
    <t xml:space="preserve">US-2025-100217</t>
  </si>
  <si>
    <t xml:space="preserve">2025-02-03</t>
  </si>
  <si>
    <t xml:space="preserve">US-2025-101774</t>
  </si>
  <si>
    <t xml:space="preserve">2025-02-08</t>
  </si>
  <si>
    <t xml:space="preserve">US-2025-100577</t>
  </si>
  <si>
    <t xml:space="preserve">2025-02-06</t>
  </si>
  <si>
    <t xml:space="preserve">2025-02-09</t>
  </si>
  <si>
    <t xml:space="preserve">US-2025-100760</t>
  </si>
  <si>
    <t xml:space="preserve">2025-02-11</t>
  </si>
  <si>
    <t xml:space="preserve">US-2025-100144</t>
  </si>
  <si>
    <t xml:space="preserve">2025-02-07</t>
  </si>
  <si>
    <t xml:space="preserve">2025-02-14</t>
  </si>
  <si>
    <t xml:space="preserve">US-2025-101091</t>
  </si>
  <si>
    <t xml:space="preserve">US-2025-100858</t>
  </si>
  <si>
    <t xml:space="preserve">2025-02-13</t>
  </si>
  <si>
    <t xml:space="preserve">US-2025-100409</t>
  </si>
  <si>
    <t xml:space="preserve">US-2025-100463</t>
  </si>
  <si>
    <t xml:space="preserve">2025-02-10</t>
  </si>
  <si>
    <t xml:space="preserve">US-2025-101323</t>
  </si>
  <si>
    <t xml:space="preserve">2025-02-12</t>
  </si>
  <si>
    <t xml:space="preserve">2025-02-17</t>
  </si>
  <si>
    <t xml:space="preserve">CU-74634</t>
  </si>
  <si>
    <t xml:space="preserve">Elizabeth Jones</t>
  </si>
  <si>
    <t xml:space="preserve">US-2025-100256</t>
  </si>
  <si>
    <t xml:space="preserve">2025-02-15</t>
  </si>
  <si>
    <t xml:space="preserve">US-2025-100455</t>
  </si>
  <si>
    <t xml:space="preserve">US-2025-100003</t>
  </si>
  <si>
    <t xml:space="preserve">2025-02-21</t>
  </si>
  <si>
    <t xml:space="preserve">US-2025-100199</t>
  </si>
  <si>
    <t xml:space="preserve">2025-02-16</t>
  </si>
  <si>
    <t xml:space="preserve">2025-02-20</t>
  </si>
  <si>
    <t xml:space="preserve">US-2025-101689</t>
  </si>
  <si>
    <t xml:space="preserve">CU-89235</t>
  </si>
  <si>
    <t xml:space="preserve">John Johnson</t>
  </si>
  <si>
    <t xml:space="preserve">US-2025-100130</t>
  </si>
  <si>
    <t xml:space="preserve">2025-02-19</t>
  </si>
  <si>
    <t xml:space="preserve">US-2025-100126</t>
  </si>
  <si>
    <t xml:space="preserve">US-2025-100047</t>
  </si>
  <si>
    <t xml:space="preserve">2025-02-22</t>
  </si>
  <si>
    <t xml:space="preserve">US-2025-101517</t>
  </si>
  <si>
    <t xml:space="preserve">US-2025-100077</t>
  </si>
  <si>
    <t xml:space="preserve">2025-02-25</t>
  </si>
  <si>
    <t xml:space="preserve">US-2025-100652</t>
  </si>
  <si>
    <t xml:space="preserve">2025-03-01</t>
  </si>
  <si>
    <t xml:space="preserve">US-2025-100157</t>
  </si>
  <si>
    <t xml:space="preserve">2025-02-23</t>
  </si>
  <si>
    <t xml:space="preserve">2025-02-24</t>
  </si>
  <si>
    <t xml:space="preserve">US-2025-101766</t>
  </si>
  <si>
    <t xml:space="preserve">US-2025-101448</t>
  </si>
  <si>
    <t xml:space="preserve">2025-02-26</t>
  </si>
  <si>
    <t xml:space="preserve">US-2025-101070</t>
  </si>
  <si>
    <t xml:space="preserve">US-2025-100150</t>
  </si>
  <si>
    <t xml:space="preserve">CU-37514</t>
  </si>
  <si>
    <t xml:space="preserve">Elizabeth Miller</t>
  </si>
  <si>
    <t xml:space="preserve">US-2025-100641</t>
  </si>
  <si>
    <t xml:space="preserve">US-2025-101726</t>
  </si>
  <si>
    <t xml:space="preserve">2025-02-27</t>
  </si>
  <si>
    <t xml:space="preserve">US-2025-101111</t>
  </si>
  <si>
    <t xml:space="preserve">2025-03-02</t>
  </si>
  <si>
    <t xml:space="preserve">US-2025-101283</t>
  </si>
  <si>
    <t xml:space="preserve">2025-02-28</t>
  </si>
  <si>
    <t xml:space="preserve">2025-03-07</t>
  </si>
  <si>
    <t xml:space="preserve">US-2025-100973</t>
  </si>
  <si>
    <t xml:space="preserve">2025-03-05</t>
  </si>
  <si>
    <t xml:space="preserve">US-2025-101315</t>
  </si>
  <si>
    <t xml:space="preserve">2025-03-04</t>
  </si>
  <si>
    <t xml:space="preserve">US-2025-101747</t>
  </si>
  <si>
    <t xml:space="preserve">US-2025-100430</t>
  </si>
  <si>
    <t xml:space="preserve">2025-03-08</t>
  </si>
  <si>
    <t xml:space="preserve">US-2025-100548</t>
  </si>
  <si>
    <t xml:space="preserve">US-2025-100868</t>
  </si>
  <si>
    <t xml:space="preserve">US-2025-100983</t>
  </si>
  <si>
    <t xml:space="preserve">US-2025-101241</t>
  </si>
  <si>
    <t xml:space="preserve">2025-03-03</t>
  </si>
  <si>
    <t xml:space="preserve">US-2025-101373</t>
  </si>
  <si>
    <t xml:space="preserve">2025-03-09</t>
  </si>
  <si>
    <t xml:space="preserve">US-2025-100892</t>
  </si>
  <si>
    <t xml:space="preserve">US-2025-101198</t>
  </si>
  <si>
    <t xml:space="preserve">US-2025-101414</t>
  </si>
  <si>
    <t xml:space="preserve">2025-03-12</t>
  </si>
  <si>
    <t xml:space="preserve">US-2025-101113</t>
  </si>
  <si>
    <t xml:space="preserve">2025-03-06</t>
  </si>
  <si>
    <t xml:space="preserve">US-2025-101014</t>
  </si>
  <si>
    <t xml:space="preserve">US-2025-100866</t>
  </si>
  <si>
    <t xml:space="preserve">2025-03-14</t>
  </si>
  <si>
    <t xml:space="preserve">US-2025-100348</t>
  </si>
  <si>
    <t xml:space="preserve">2025-03-13</t>
  </si>
  <si>
    <t xml:space="preserve">US-2025-101377</t>
  </si>
  <si>
    <t xml:space="preserve">US-2025-100282</t>
  </si>
  <si>
    <t xml:space="preserve">US-2025-100629</t>
  </si>
  <si>
    <t xml:space="preserve">2025-03-16</t>
  </si>
  <si>
    <t xml:space="preserve">US-2025-101746</t>
  </si>
  <si>
    <t xml:space="preserve">2025-03-11</t>
  </si>
  <si>
    <t xml:space="preserve">US-2025-101714</t>
  </si>
  <si>
    <t xml:space="preserve">CU-36529</t>
  </si>
  <si>
    <t xml:space="preserve">Robert Rodriguez</t>
  </si>
  <si>
    <t xml:space="preserve">US-2025-101330</t>
  </si>
  <si>
    <t xml:space="preserve">2025-03-15</t>
  </si>
  <si>
    <t xml:space="preserve">US-2025-100243</t>
  </si>
  <si>
    <t xml:space="preserve">2025-03-10</t>
  </si>
  <si>
    <t xml:space="preserve">US-2025-101550</t>
  </si>
  <si>
    <t xml:space="preserve">US-2025-100521</t>
  </si>
  <si>
    <t xml:space="preserve">US-2025-100790</t>
  </si>
  <si>
    <t xml:space="preserve">US-2025-101643</t>
  </si>
  <si>
    <t xml:space="preserve">US-2025-100428</t>
  </si>
  <si>
    <t xml:space="preserve">2025-03-17</t>
  </si>
  <si>
    <t xml:space="preserve">US-2025-100307</t>
  </si>
  <si>
    <t xml:space="preserve">2025-03-18</t>
  </si>
  <si>
    <t xml:space="preserve">US-2025-101494</t>
  </si>
  <si>
    <t xml:space="preserve">US-2025-101533</t>
  </si>
  <si>
    <t xml:space="preserve">2025-03-21</t>
  </si>
  <si>
    <t xml:space="preserve">US-2025-100733</t>
  </si>
  <si>
    <t xml:space="preserve">US-2025-101450</t>
  </si>
  <si>
    <t xml:space="preserve">2025-03-20</t>
  </si>
  <si>
    <t xml:space="preserve">US-2025-101540</t>
  </si>
  <si>
    <t xml:space="preserve">US-2025-101055</t>
  </si>
  <si>
    <t xml:space="preserve">CU-00726</t>
  </si>
  <si>
    <t xml:space="preserve">David Ali</t>
  </si>
  <si>
    <t xml:space="preserve">US-2025-100918</t>
  </si>
  <si>
    <t xml:space="preserve">2025-03-22</t>
  </si>
  <si>
    <t xml:space="preserve">US-2025-101850</t>
  </si>
  <si>
    <t xml:space="preserve">US-2025-100921</t>
  </si>
  <si>
    <t xml:space="preserve">2025-03-19</t>
  </si>
  <si>
    <t xml:space="preserve">2025-03-25</t>
  </si>
  <si>
    <t xml:space="preserve">US-2025-100379</t>
  </si>
  <si>
    <t xml:space="preserve">US-2025-100903</t>
  </si>
  <si>
    <t xml:space="preserve">2025-03-23</t>
  </si>
  <si>
    <t xml:space="preserve">US-2025-100404</t>
  </si>
  <si>
    <t xml:space="preserve">2025-03-24</t>
  </si>
  <si>
    <t xml:space="preserve">US-2025-101803</t>
  </si>
  <si>
    <t xml:space="preserve">2025-03-26</t>
  </si>
  <si>
    <t xml:space="preserve">US-2025-101646</t>
  </si>
  <si>
    <t xml:space="preserve">2025-03-27</t>
  </si>
  <si>
    <t xml:space="preserve">US-2025-101542</t>
  </si>
  <si>
    <t xml:space="preserve">US-2025-100053</t>
  </si>
  <si>
    <t xml:space="preserve">US-2025-100223</t>
  </si>
  <si>
    <t xml:space="preserve">2025-03-28</t>
  </si>
  <si>
    <t xml:space="preserve">US-2025-101133</t>
  </si>
  <si>
    <t xml:space="preserve">2025-03-31</t>
  </si>
  <si>
    <t xml:space="preserve">US-2025-101557</t>
  </si>
  <si>
    <t xml:space="preserve">US-2025-101208</t>
  </si>
  <si>
    <t xml:space="preserve">US-2025-100854</t>
  </si>
  <si>
    <t xml:space="preserve">2025-04-01</t>
  </si>
  <si>
    <t xml:space="preserve">US-2025-100590</t>
  </si>
  <si>
    <t xml:space="preserve">2025-03-29</t>
  </si>
  <si>
    <t xml:space="preserve">US-2025-100911</t>
  </si>
  <si>
    <t xml:space="preserve">US-2025-101476</t>
  </si>
  <si>
    <t xml:space="preserve">US-2025-101602</t>
  </si>
  <si>
    <t xml:space="preserve">US-2025-101437</t>
  </si>
  <si>
    <t xml:space="preserve">2025-03-30</t>
  </si>
  <si>
    <t xml:space="preserve">US-2025-101592</t>
  </si>
  <si>
    <t xml:space="preserve">2025-04-06</t>
  </si>
  <si>
    <t xml:space="preserve">US-2025-101704</t>
  </si>
  <si>
    <t xml:space="preserve">US-2025-100226</t>
  </si>
  <si>
    <t xml:space="preserve">2025-04-04</t>
  </si>
  <si>
    <t xml:space="preserve">US-2025-101394</t>
  </si>
  <si>
    <t xml:space="preserve">US-2025-101223</t>
  </si>
  <si>
    <t xml:space="preserve">2025-04-03</t>
  </si>
  <si>
    <t xml:space="preserve">US-2025-100729</t>
  </si>
  <si>
    <t xml:space="preserve">US-2025-100155</t>
  </si>
  <si>
    <t xml:space="preserve">US-2025-100630</t>
  </si>
  <si>
    <t xml:space="preserve">2025-04-07</t>
  </si>
  <si>
    <t xml:space="preserve">US-2025-101488</t>
  </si>
  <si>
    <t xml:space="preserve">2025-04-02</t>
  </si>
  <si>
    <t xml:space="preserve">US-2025-100420</t>
  </si>
  <si>
    <t xml:space="preserve">CU-85877</t>
  </si>
  <si>
    <t xml:space="preserve">Liam Garcia</t>
  </si>
  <si>
    <t xml:space="preserve">US-2025-101597</t>
  </si>
  <si>
    <t xml:space="preserve">US-2025-101375</t>
  </si>
  <si>
    <t xml:space="preserve">2025-04-05</t>
  </si>
  <si>
    <t xml:space="preserve">US-2025-100738</t>
  </si>
  <si>
    <t xml:space="preserve">US-2025-101257</t>
  </si>
  <si>
    <t xml:space="preserve">2025-04-09</t>
  </si>
  <si>
    <t xml:space="preserve">US-2025-100619</t>
  </si>
  <si>
    <t xml:space="preserve">2025-04-08</t>
  </si>
  <si>
    <t xml:space="preserve">US-2025-101280</t>
  </si>
  <si>
    <t xml:space="preserve">US-2025-101290</t>
  </si>
  <si>
    <t xml:space="preserve">US-2025-100041</t>
  </si>
  <si>
    <t xml:space="preserve">US-2025-100555</t>
  </si>
  <si>
    <t xml:space="preserve">2025-04-10</t>
  </si>
  <si>
    <t xml:space="preserve">US-2025-100208</t>
  </si>
  <si>
    <t xml:space="preserve">2025-04-11</t>
  </si>
  <si>
    <t xml:space="preserve">US-2025-100028</t>
  </si>
  <si>
    <t xml:space="preserve">US-2025-101211</t>
  </si>
  <si>
    <t xml:space="preserve">2025-04-15</t>
  </si>
  <si>
    <t xml:space="preserve">US-2025-101506</t>
  </si>
  <si>
    <t xml:space="preserve">US-2025-101696</t>
  </si>
  <si>
    <t xml:space="preserve">US-2025-101423</t>
  </si>
  <si>
    <t xml:space="preserve">2025-04-12</t>
  </si>
  <si>
    <t xml:space="preserve">2025-04-17</t>
  </si>
  <si>
    <t xml:space="preserve">US-2025-100912</t>
  </si>
  <si>
    <t xml:space="preserve">2025-04-14</t>
  </si>
  <si>
    <t xml:space="preserve">2025-04-20</t>
  </si>
  <si>
    <t xml:space="preserve">US-2025-101368</t>
  </si>
  <si>
    <t xml:space="preserve">2025-04-19</t>
  </si>
  <si>
    <t xml:space="preserve">US-2025-101418</t>
  </si>
  <si>
    <t xml:space="preserve">2025-04-16</t>
  </si>
  <si>
    <t xml:space="preserve">2025-04-22</t>
  </si>
  <si>
    <t xml:space="preserve">US-2025-101451</t>
  </si>
  <si>
    <t xml:space="preserve">US-2025-101101</t>
  </si>
  <si>
    <t xml:space="preserve">US-2025-100450</t>
  </si>
  <si>
    <t xml:space="preserve">2025-04-21</t>
  </si>
  <si>
    <t xml:space="preserve">US-2025-101440</t>
  </si>
  <si>
    <t xml:space="preserve">US-2025-101443</t>
  </si>
  <si>
    <t xml:space="preserve">2025-04-18</t>
  </si>
  <si>
    <t xml:space="preserve">US-2025-101310</t>
  </si>
  <si>
    <t xml:space="preserve">2025-04-26</t>
  </si>
  <si>
    <t xml:space="preserve">US-2025-100848</t>
  </si>
  <si>
    <t xml:space="preserve">US-2025-101415</t>
  </si>
  <si>
    <t xml:space="preserve">2025-04-25</t>
  </si>
  <si>
    <t xml:space="preserve">US-2025-100828</t>
  </si>
  <si>
    <t xml:space="preserve">US-2025-101406</t>
  </si>
  <si>
    <t xml:space="preserve">2025-04-23</t>
  </si>
  <si>
    <t xml:space="preserve">2025-04-28</t>
  </si>
  <si>
    <t xml:space="preserve">US-2025-100850</t>
  </si>
  <si>
    <t xml:space="preserve">US-2025-100894</t>
  </si>
  <si>
    <t xml:space="preserve">2025-04-24</t>
  </si>
  <si>
    <t xml:space="preserve">2025-04-30</t>
  </si>
  <si>
    <t xml:space="preserve">US-2025-100752</t>
  </si>
  <si>
    <t xml:space="preserve">US-2025-101530</t>
  </si>
  <si>
    <t xml:space="preserve">US-2025-101016</t>
  </si>
  <si>
    <t xml:space="preserve">2025-04-27</t>
  </si>
  <si>
    <t xml:space="preserve">2025-04-29</t>
  </si>
  <si>
    <t xml:space="preserve">US-2025-101305</t>
  </si>
  <si>
    <t xml:space="preserve">2025-05-01</t>
  </si>
  <si>
    <t xml:space="preserve">US-2025-101046</t>
  </si>
  <si>
    <t xml:space="preserve">US-2025-100440</t>
  </si>
  <si>
    <t xml:space="preserve">US-2025-100899</t>
  </si>
  <si>
    <t xml:space="preserve">2025-05-06</t>
  </si>
  <si>
    <t xml:space="preserve">US-2025-100386</t>
  </si>
  <si>
    <t xml:space="preserve">US-2025-100055</t>
  </si>
  <si>
    <t xml:space="preserve">2025-05-05</t>
  </si>
  <si>
    <t xml:space="preserve">US-2025-101496</t>
  </si>
  <si>
    <t xml:space="preserve">2025-05-03</t>
  </si>
  <si>
    <t xml:space="preserve">US-2025-100046</t>
  </si>
  <si>
    <t xml:space="preserve">2025-05-02</t>
  </si>
  <si>
    <t xml:space="preserve">CU-52553</t>
  </si>
  <si>
    <t xml:space="preserve">Aiko Kapoor</t>
  </si>
  <si>
    <t xml:space="preserve">US-2025-100628</t>
  </si>
  <si>
    <t xml:space="preserve">US-2025-100259</t>
  </si>
  <si>
    <t xml:space="preserve">US-2025-100116</t>
  </si>
  <si>
    <t xml:space="preserve">US-2025-101349</t>
  </si>
  <si>
    <t xml:space="preserve">US-2025-101649</t>
  </si>
  <si>
    <t xml:space="preserve">2025-05-08</t>
  </si>
  <si>
    <t xml:space="preserve">US-2025-100387</t>
  </si>
  <si>
    <t xml:space="preserve">US-2025-100099</t>
  </si>
  <si>
    <t xml:space="preserve">2025-05-09</t>
  </si>
  <si>
    <t xml:space="preserve">US-2025-100330</t>
  </si>
  <si>
    <t xml:space="preserve">US-2025-101357</t>
  </si>
  <si>
    <t xml:space="preserve">US-2025-101266</t>
  </si>
  <si>
    <t xml:space="preserve">CU-83677</t>
  </si>
  <si>
    <t xml:space="preserve">James Tanaka</t>
  </si>
  <si>
    <t xml:space="preserve">US-2025-101152</t>
  </si>
  <si>
    <t xml:space="preserve">2025-05-07</t>
  </si>
  <si>
    <t xml:space="preserve">US-2025-101309</t>
  </si>
  <si>
    <t xml:space="preserve">2025-05-11</t>
  </si>
  <si>
    <t xml:space="preserve">US-2025-101361</t>
  </si>
  <si>
    <t xml:space="preserve">US-2025-100002</t>
  </si>
  <si>
    <t xml:space="preserve">2025-05-13</t>
  </si>
  <si>
    <t xml:space="preserve">US-2025-101642</t>
  </si>
  <si>
    <t xml:space="preserve">2025-05-10</t>
  </si>
  <si>
    <t xml:space="preserve">2025-05-15</t>
  </si>
  <si>
    <t xml:space="preserve">2025-05-16</t>
  </si>
  <si>
    <t xml:space="preserve">US-2025-100188</t>
  </si>
  <si>
    <t xml:space="preserve">2025-05-14</t>
  </si>
  <si>
    <t xml:space="preserve">US-2025-101386</t>
  </si>
  <si>
    <t xml:space="preserve">2025-05-12</t>
  </si>
  <si>
    <t xml:space="preserve">US-2025-100709</t>
  </si>
  <si>
    <t xml:space="preserve">US-2025-100481</t>
  </si>
  <si>
    <t xml:space="preserve">US-2025-100031</t>
  </si>
  <si>
    <t xml:space="preserve">US-2025-100624</t>
  </si>
  <si>
    <t xml:space="preserve">2025-05-20</t>
  </si>
  <si>
    <t xml:space="preserve">US-2025-100678</t>
  </si>
  <si>
    <t xml:space="preserve">2025-05-18</t>
  </si>
  <si>
    <t xml:space="preserve">US-2025-100583</t>
  </si>
  <si>
    <t xml:space="preserve">2025-05-21</t>
  </si>
  <si>
    <t xml:space="preserve">US-2025-101050</t>
  </si>
  <si>
    <t xml:space="preserve">US-2025-101811</t>
  </si>
  <si>
    <t xml:space="preserve">US-2025-100923</t>
  </si>
  <si>
    <t xml:space="preserve">2025-05-17</t>
  </si>
  <si>
    <t xml:space="preserve">2025-05-19</t>
  </si>
  <si>
    <t xml:space="preserve">US-2025-100500</t>
  </si>
  <si>
    <t xml:space="preserve">2025-05-23</t>
  </si>
  <si>
    <t xml:space="preserve">US-2025-100719</t>
  </si>
  <si>
    <t xml:space="preserve">2025-05-24</t>
  </si>
  <si>
    <t xml:space="preserve">US-2025-101686</t>
  </si>
  <si>
    <t xml:space="preserve">2025-05-27</t>
  </si>
  <si>
    <t xml:space="preserve">US-2025-100879</t>
  </si>
  <si>
    <t xml:space="preserve">US-2025-100605</t>
  </si>
  <si>
    <t xml:space="preserve">2025-05-22</t>
  </si>
  <si>
    <t xml:space="preserve">2025-05-29</t>
  </si>
  <si>
    <t xml:space="preserve">US-2025-100164</t>
  </si>
  <si>
    <t xml:space="preserve">2025-05-28</t>
  </si>
  <si>
    <t xml:space="preserve">US-2025-101802</t>
  </si>
  <si>
    <t xml:space="preserve">US-2025-100659</t>
  </si>
  <si>
    <t xml:space="preserve">CU-94844</t>
  </si>
  <si>
    <t xml:space="preserve">Michael Martinez</t>
  </si>
  <si>
    <t xml:space="preserve">US-2025-100572</t>
  </si>
  <si>
    <t xml:space="preserve">2025-05-25</t>
  </si>
  <si>
    <t xml:space="preserve">US-2025-101547</t>
  </si>
  <si>
    <t xml:space="preserve">2025-06-02</t>
  </si>
  <si>
    <t xml:space="preserve">US-2025-100145</t>
  </si>
  <si>
    <t xml:space="preserve">2025-05-31</t>
  </si>
  <si>
    <t xml:space="preserve">US-2025-100788</t>
  </si>
  <si>
    <t xml:space="preserve">2025-05-30</t>
  </si>
  <si>
    <t xml:space="preserve">2025-06-01</t>
  </si>
  <si>
    <t xml:space="preserve">US-2025-101061</t>
  </si>
  <si>
    <t xml:space="preserve">2025-06-06</t>
  </si>
  <si>
    <t xml:space="preserve">US-2025-101555</t>
  </si>
  <si>
    <t xml:space="preserve">2025-06-03</t>
  </si>
  <si>
    <t xml:space="preserve">US-2025-100692</t>
  </si>
  <si>
    <t xml:space="preserve">US-2025-101360</t>
  </si>
  <si>
    <t xml:space="preserve">2025-06-09</t>
  </si>
  <si>
    <t xml:space="preserve">US-2025-100225</t>
  </si>
  <si>
    <t xml:space="preserve">US-2025-100299</t>
  </si>
  <si>
    <t xml:space="preserve">2025-06-07</t>
  </si>
  <si>
    <t xml:space="preserve">US-2025-101509</t>
  </si>
  <si>
    <t xml:space="preserve">2025-06-04</t>
  </si>
  <si>
    <t xml:space="preserve">US-2025-100090</t>
  </si>
  <si>
    <t xml:space="preserve">2025-06-05</t>
  </si>
  <si>
    <t xml:space="preserve">2025-06-12</t>
  </si>
  <si>
    <t xml:space="preserve">US-2025-101727</t>
  </si>
  <si>
    <t xml:space="preserve">2025-06-08</t>
  </si>
  <si>
    <t xml:space="preserve">US-2025-101824</t>
  </si>
  <si>
    <t xml:space="preserve">US-2025-100699</t>
  </si>
  <si>
    <t xml:space="preserve">2025-06-11</t>
  </si>
  <si>
    <t xml:space="preserve">US-2025-100564</t>
  </si>
  <si>
    <t xml:space="preserve">US-2025-100381</t>
  </si>
  <si>
    <t xml:space="preserve">2025-06-10</t>
  </si>
  <si>
    <t xml:space="preserve">US-2025-100297</t>
  </si>
  <si>
    <t xml:space="preserve">US-2025-101317</t>
  </si>
  <si>
    <t xml:space="preserve">US-2025-100175</t>
  </si>
  <si>
    <t xml:space="preserve">2025-06-15</t>
  </si>
  <si>
    <t xml:space="preserve">US-2025-101837</t>
  </si>
  <si>
    <t xml:space="preserve">2025-06-17</t>
  </si>
  <si>
    <t xml:space="preserve">CU-71824</t>
  </si>
  <si>
    <t xml:space="preserve">John Nair</t>
  </si>
  <si>
    <t xml:space="preserve">US-2025-100746</t>
  </si>
  <si>
    <t xml:space="preserve">2025-06-13</t>
  </si>
  <si>
    <t xml:space="preserve">US-2025-100538</t>
  </si>
  <si>
    <t xml:space="preserve">2025-06-16</t>
  </si>
  <si>
    <t xml:space="preserve">US-2025-100587</t>
  </si>
  <si>
    <t xml:space="preserve">US-2025-100067</t>
  </si>
  <si>
    <t xml:space="preserve">2025-06-19</t>
  </si>
  <si>
    <t xml:space="preserve">US-2025-101035</t>
  </si>
  <si>
    <t xml:space="preserve">US-2025-100375</t>
  </si>
  <si>
    <t xml:space="preserve">2025-06-18</t>
  </si>
  <si>
    <t xml:space="preserve">US-2025-101765</t>
  </si>
  <si>
    <t xml:space="preserve">2025-06-20</t>
  </si>
  <si>
    <t xml:space="preserve">US-2025-101288</t>
  </si>
  <si>
    <t xml:space="preserve">US-2025-101614</t>
  </si>
  <si>
    <t xml:space="preserve">US-2025-100893</t>
  </si>
  <si>
    <t xml:space="preserve">US-2025-101785</t>
  </si>
  <si>
    <t xml:space="preserve">2025-06-23</t>
  </si>
  <si>
    <t xml:space="preserve">US-2025-100482</t>
  </si>
  <si>
    <t xml:space="preserve">2025-06-24</t>
  </si>
  <si>
    <t xml:space="preserve">US-2025-100952</t>
  </si>
  <si>
    <t xml:space="preserve">2025-06-21</t>
  </si>
  <si>
    <t xml:space="preserve">US-2025-101771</t>
  </si>
  <si>
    <t xml:space="preserve">2025-06-28</t>
  </si>
  <si>
    <t xml:space="preserve">US-2025-100100</t>
  </si>
  <si>
    <t xml:space="preserve">2025-06-22</t>
  </si>
  <si>
    <t xml:space="preserve">2025-06-26</t>
  </si>
  <si>
    <t xml:space="preserve">US-2025-100880</t>
  </si>
  <si>
    <t xml:space="preserve">US-2025-101203</t>
  </si>
  <si>
    <t xml:space="preserve">US-2025-101665</t>
  </si>
  <si>
    <t xml:space="preserve">2025-06-30</t>
  </si>
  <si>
    <t xml:space="preserve">US-2025-101367</t>
  </si>
  <si>
    <t xml:space="preserve">US-2025-101669</t>
  </si>
  <si>
    <t xml:space="preserve">2025-06-29</t>
  </si>
  <si>
    <t xml:space="preserve">US-2025-100705</t>
  </si>
  <si>
    <t xml:space="preserve">2025-07-01</t>
  </si>
  <si>
    <t xml:space="preserve">US-2025-100233</t>
  </si>
  <si>
    <t xml:space="preserve">2025-06-25</t>
  </si>
  <si>
    <t xml:space="preserve">US-2025-100250</t>
  </si>
  <si>
    <t xml:space="preserve">2025-07-02</t>
  </si>
  <si>
    <t xml:space="preserve">US-2025-101213</t>
  </si>
  <si>
    <t xml:space="preserve">US-2025-100898</t>
  </si>
  <si>
    <t xml:space="preserve">US-2025-100651</t>
  </si>
  <si>
    <t xml:space="preserve">US-2025-100287</t>
  </si>
  <si>
    <t xml:space="preserve">2025-06-27</t>
  </si>
  <si>
    <t xml:space="preserve">US-2025-100048</t>
  </si>
  <si>
    <t xml:space="preserve">US-2025-101715</t>
  </si>
  <si>
    <t xml:space="preserve">US-2025-100663</t>
  </si>
  <si>
    <t xml:space="preserve">US-2025-100498</t>
  </si>
  <si>
    <t xml:space="preserve">US-2025-100322</t>
  </si>
  <si>
    <t xml:space="preserve">2025-07-03</t>
  </si>
  <si>
    <t xml:space="preserve">US-2025-101118</t>
  </si>
  <si>
    <t xml:space="preserve">2025-07-05</t>
  </si>
  <si>
    <t xml:space="preserve">US-2025-100229</t>
  </si>
  <si>
    <t xml:space="preserve">US-2025-100920</t>
  </si>
  <si>
    <t xml:space="preserve">2025-07-12</t>
  </si>
  <si>
    <t xml:space="preserve">US-2025-101192</t>
  </si>
  <si>
    <t xml:space="preserve">2025-07-07</t>
  </si>
  <si>
    <t xml:space="preserve">2025-07-13</t>
  </si>
  <si>
    <t xml:space="preserve">US-2025-101378</t>
  </si>
  <si>
    <t xml:space="preserve">2025-07-09</t>
  </si>
  <si>
    <t xml:space="preserve">US-2025-100331</t>
  </si>
  <si>
    <t xml:space="preserve">2025-07-08</t>
  </si>
  <si>
    <t xml:space="preserve">2025-07-11</t>
  </si>
  <si>
    <t xml:space="preserve">2025-07-10</t>
  </si>
  <si>
    <t xml:space="preserve">US-2025-101700</t>
  </si>
  <si>
    <t xml:space="preserve">2025-07-16</t>
  </si>
  <si>
    <t xml:space="preserve">US-2025-100298</t>
  </si>
  <si>
    <t xml:space="preserve">US-2025-100115</t>
  </si>
  <si>
    <t xml:space="preserve">US-2025-101463</t>
  </si>
  <si>
    <t xml:space="preserve">2025-07-15</t>
  </si>
  <si>
    <t xml:space="preserve">US-2025-101571</t>
  </si>
  <si>
    <t xml:space="preserve">US-2025-101171</t>
  </si>
  <si>
    <t xml:space="preserve">2025-07-14</t>
  </si>
  <si>
    <t xml:space="preserve">US-2025-101565</t>
  </si>
  <si>
    <t xml:space="preserve">US-2025-100855</t>
  </si>
  <si>
    <t xml:space="preserve">2025-07-17</t>
  </si>
  <si>
    <t xml:space="preserve">US-2025-100367</t>
  </si>
  <si>
    <t xml:space="preserve">2025-07-18</t>
  </si>
  <si>
    <t xml:space="preserve">2025-07-20</t>
  </si>
  <si>
    <t xml:space="preserve">US-2025-100994</t>
  </si>
  <si>
    <t xml:space="preserve">2025-07-21</t>
  </si>
  <si>
    <t xml:space="preserve">US-2025-101158</t>
  </si>
  <si>
    <t xml:space="preserve">2025-07-24</t>
  </si>
  <si>
    <t xml:space="preserve">US-2025-100957</t>
  </si>
  <si>
    <t xml:space="preserve">2025-07-23</t>
  </si>
  <si>
    <t xml:space="preserve">2025-07-30</t>
  </si>
  <si>
    <t xml:space="preserve">US-2025-100025</t>
  </si>
  <si>
    <t xml:space="preserve">2025-07-27</t>
  </si>
  <si>
    <t xml:space="preserve">US-2025-100835</t>
  </si>
  <si>
    <t xml:space="preserve">US-2025-100051</t>
  </si>
  <si>
    <t xml:space="preserve">2025-07-25</t>
  </si>
  <si>
    <t xml:space="preserve">US-2025-100136</t>
  </si>
  <si>
    <t xml:space="preserve">2025-07-26</t>
  </si>
  <si>
    <t xml:space="preserve">US-2025-100977</t>
  </si>
  <si>
    <t xml:space="preserve">2025-08-02</t>
  </si>
  <si>
    <t xml:space="preserve">US-2025-101348</t>
  </si>
  <si>
    <t xml:space="preserve">US-2025-100706</t>
  </si>
  <si>
    <t xml:space="preserve">2025-07-31</t>
  </si>
  <si>
    <t xml:space="preserve">US-2025-101227</t>
  </si>
  <si>
    <t xml:space="preserve">2025-07-29</t>
  </si>
  <si>
    <t xml:space="preserve">2025-08-05</t>
  </si>
  <si>
    <t xml:space="preserve">US-2025-101797</t>
  </si>
  <si>
    <t xml:space="preserve">2025-08-01</t>
  </si>
  <si>
    <t xml:space="preserve">US-2025-100985</t>
  </si>
  <si>
    <t xml:space="preserve">CU-57001</t>
  </si>
  <si>
    <t xml:space="preserve">James Silva</t>
  </si>
  <si>
    <t xml:space="preserve">US-2025-101224</t>
  </si>
  <si>
    <t xml:space="preserve">2025-08-04</t>
  </si>
  <si>
    <t xml:space="preserve">US-2025-100881</t>
  </si>
  <si>
    <t xml:space="preserve">2025-08-03</t>
  </si>
  <si>
    <t xml:space="preserve">US-2025-101619</t>
  </si>
  <si>
    <t xml:space="preserve">2025-08-06</t>
  </si>
  <si>
    <t xml:space="preserve">US-2025-100550</t>
  </si>
  <si>
    <t xml:space="preserve">US-2025-101471</t>
  </si>
  <si>
    <t xml:space="preserve">US-2025-100787</t>
  </si>
  <si>
    <t xml:space="preserve">US-2025-101053</t>
  </si>
  <si>
    <t xml:space="preserve">2025-08-09</t>
  </si>
  <si>
    <t xml:space="preserve">2025-08-11</t>
  </si>
  <si>
    <t xml:space="preserve">US-2025-100636</t>
  </si>
  <si>
    <t xml:space="preserve">US-2025-101545</t>
  </si>
  <si>
    <t xml:space="preserve">US-2025-100335</t>
  </si>
  <si>
    <t xml:space="preserve">2025-08-07</t>
  </si>
  <si>
    <t xml:space="preserve">2025-08-12</t>
  </si>
  <si>
    <t xml:space="preserve">2025-08-08</t>
  </si>
  <si>
    <t xml:space="preserve">2025-08-15</t>
  </si>
  <si>
    <t xml:space="preserve">US-2025-101065</t>
  </si>
  <si>
    <t xml:space="preserve">US-2025-101022</t>
  </si>
  <si>
    <t xml:space="preserve">2025-08-14</t>
  </si>
  <si>
    <t xml:space="preserve">US-2025-100510</t>
  </si>
  <si>
    <t xml:space="preserve">2025-08-10</t>
  </si>
  <si>
    <t xml:space="preserve">2025-08-13</t>
  </si>
  <si>
    <t xml:space="preserve">US-2025-100821</t>
  </si>
  <si>
    <t xml:space="preserve">US-2025-100023</t>
  </si>
  <si>
    <t xml:space="preserve">2025-08-16</t>
  </si>
  <si>
    <t xml:space="preserve">US-2025-100885</t>
  </si>
  <si>
    <t xml:space="preserve">US-2025-101604</t>
  </si>
  <si>
    <t xml:space="preserve">2025-08-18</t>
  </si>
  <si>
    <t xml:space="preserve">US-2025-101572</t>
  </si>
  <si>
    <t xml:space="preserve">US-2025-101178</t>
  </si>
  <si>
    <t xml:space="preserve">US-2025-100425</t>
  </si>
  <si>
    <t xml:space="preserve">2025-08-17</t>
  </si>
  <si>
    <t xml:space="preserve">2025-08-20</t>
  </si>
  <si>
    <t xml:space="preserve">US-2025-101474</t>
  </si>
  <si>
    <t xml:space="preserve">2025-08-24</t>
  </si>
  <si>
    <t xml:space="preserve">US-2025-101204</t>
  </si>
  <si>
    <t xml:space="preserve">2025-08-23</t>
  </si>
  <si>
    <t xml:space="preserve">US-2025-101252</t>
  </si>
  <si>
    <t xml:space="preserve">US-2025-100804</t>
  </si>
  <si>
    <t xml:space="preserve">US-2025-100118</t>
  </si>
  <si>
    <t xml:space="preserve">2025-08-19</t>
  </si>
  <si>
    <t xml:space="preserve">2025-08-21</t>
  </si>
  <si>
    <t xml:space="preserve">US-2025-100766</t>
  </si>
  <si>
    <t xml:space="preserve">US-2025-100662</t>
  </si>
  <si>
    <t xml:space="preserve">US-2025-100512</t>
  </si>
  <si>
    <t xml:space="preserve">2025-08-27</t>
  </si>
  <si>
    <t xml:space="preserve">US-2025-101490</t>
  </si>
  <si>
    <t xml:space="preserve">US-2025-100095</t>
  </si>
  <si>
    <t xml:space="preserve">US-2025-100042</t>
  </si>
  <si>
    <t xml:space="preserve">2025-08-25</t>
  </si>
  <si>
    <t xml:space="preserve">2025-08-28</t>
  </si>
  <si>
    <t xml:space="preserve">US-2025-101526</t>
  </si>
  <si>
    <t xml:space="preserve">2025-08-30</t>
  </si>
  <si>
    <t xml:space="preserve">US-2025-101777</t>
  </si>
  <si>
    <t xml:space="preserve">2025-08-26</t>
  </si>
  <si>
    <t xml:space="preserve">2025-08-31</t>
  </si>
  <si>
    <t xml:space="preserve">US-2025-100484</t>
  </si>
  <si>
    <t xml:space="preserve">2025-08-29</t>
  </si>
  <si>
    <t xml:space="preserve">US-2025-100174</t>
  </si>
  <si>
    <t xml:space="preserve">2025-09-04</t>
  </si>
  <si>
    <t xml:space="preserve">US-2025-100744</t>
  </si>
  <si>
    <t xml:space="preserve">2025-09-02</t>
  </si>
  <si>
    <t xml:space="preserve">2025-09-06</t>
  </si>
  <si>
    <t xml:space="preserve">US-2025-100507</t>
  </si>
  <si>
    <t xml:space="preserve">2025-09-03</t>
  </si>
  <si>
    <t xml:space="preserve">2025-09-07</t>
  </si>
  <si>
    <t xml:space="preserve">US-2025-101308</t>
  </si>
  <si>
    <t xml:space="preserve">2025-09-05</t>
  </si>
  <si>
    <t xml:space="preserve">2025-09-08</t>
  </si>
  <si>
    <t xml:space="preserve">2025-09-12</t>
  </si>
  <si>
    <t xml:space="preserve">US-2025-101020</t>
  </si>
  <si>
    <t xml:space="preserve">2025-09-09</t>
  </si>
  <si>
    <t xml:space="preserve">US-2025-100774</t>
  </si>
  <si>
    <t xml:space="preserve">2025-09-14</t>
  </si>
  <si>
    <t xml:space="preserve">US-2025-100610</t>
  </si>
  <si>
    <t xml:space="preserve">2025-09-10</t>
  </si>
  <si>
    <t xml:space="preserve">US-2025-100928</t>
  </si>
  <si>
    <t xml:space="preserve">US-2025-101005</t>
  </si>
  <si>
    <t xml:space="preserve">2025-09-13</t>
  </si>
  <si>
    <t xml:space="preserve">US-2025-100475</t>
  </si>
  <si>
    <t xml:space="preserve">US-2025-100697</t>
  </si>
  <si>
    <t xml:space="preserve">2025-09-11</t>
  </si>
  <si>
    <t xml:space="preserve">US-2025-100574</t>
  </si>
  <si>
    <t xml:space="preserve">US-2025-101096</t>
  </si>
  <si>
    <t xml:space="preserve">US-2025-100725</t>
  </si>
  <si>
    <t xml:space="preserve">2025-09-15</t>
  </si>
  <si>
    <t xml:space="preserve">US-2025-100337</t>
  </si>
  <si>
    <t xml:space="preserve">2025-09-17</t>
  </si>
  <si>
    <t xml:space="preserve">US-2025-100193</t>
  </si>
  <si>
    <t xml:space="preserve">US-2025-101126</t>
  </si>
  <si>
    <t xml:space="preserve">US-2025-100939</t>
  </si>
  <si>
    <t xml:space="preserve">2025-09-19</t>
  </si>
  <si>
    <t xml:space="preserve">US-2025-101486</t>
  </si>
  <si>
    <t xml:space="preserve">2025-09-16</t>
  </si>
  <si>
    <t xml:space="preserve">US-2025-101468</t>
  </si>
  <si>
    <t xml:space="preserve">2025-09-21</t>
  </si>
  <si>
    <t xml:space="preserve">US-2025-101744</t>
  </si>
  <si>
    <t xml:space="preserve">2025-09-20</t>
  </si>
  <si>
    <t xml:space="preserve">US-2025-101108</t>
  </si>
  <si>
    <t xml:space="preserve">US-2025-100554</t>
  </si>
  <si>
    <t xml:space="preserve">US-2025-101332</t>
  </si>
  <si>
    <t xml:space="preserve">US-2025-101220</t>
  </si>
  <si>
    <t xml:space="preserve">2025-09-23</t>
  </si>
  <si>
    <t xml:space="preserve">US-2025-100591</t>
  </si>
  <si>
    <t xml:space="preserve">2025-09-25</t>
  </si>
  <si>
    <t xml:space="preserve">US-2025-100643</t>
  </si>
  <si>
    <t xml:space="preserve">2025-09-22</t>
  </si>
  <si>
    <t xml:space="preserve">2025-09-24</t>
  </si>
  <si>
    <t xml:space="preserve">US-2025-100240</t>
  </si>
  <si>
    <t xml:space="preserve">2025-09-26</t>
  </si>
  <si>
    <t xml:space="preserve">US-2025-100013</t>
  </si>
  <si>
    <t xml:space="preserve">US-2025-100166</t>
  </si>
  <si>
    <t xml:space="preserve">2025-09-28</t>
  </si>
  <si>
    <t xml:space="preserve">US-2025-100648</t>
  </si>
  <si>
    <t xml:space="preserve">2025-09-30</t>
  </si>
  <si>
    <t xml:space="preserve">US-2025-100220</t>
  </si>
  <si>
    <t xml:space="preserve">2025-09-29</t>
  </si>
  <si>
    <t xml:space="preserve">US-2025-100680</t>
  </si>
  <si>
    <t xml:space="preserve">2025-10-03</t>
  </si>
  <si>
    <t xml:space="preserve">US-2025-101773</t>
  </si>
  <si>
    <t xml:space="preserve">2025-10-02</t>
  </si>
  <si>
    <t xml:space="preserve">US-2025-100137</t>
  </si>
  <si>
    <t xml:space="preserve">2025-09-27</t>
  </si>
  <si>
    <t xml:space="preserve">US-2025-101742</t>
  </si>
  <si>
    <t xml:space="preserve">2025-10-04</t>
  </si>
  <si>
    <t xml:space="preserve">US-2025-100180</t>
  </si>
  <si>
    <t xml:space="preserve">2025-10-05</t>
  </si>
  <si>
    <t xml:space="preserve">US-2025-100422</t>
  </si>
  <si>
    <t xml:space="preserve">2025-10-01</t>
  </si>
  <si>
    <t xml:space="preserve">US-2025-100357</t>
  </si>
  <si>
    <t xml:space="preserve">2025-10-08</t>
  </si>
  <si>
    <t xml:space="preserve">US-2025-101663</t>
  </si>
  <si>
    <t xml:space="preserve">US-2025-100431</t>
  </si>
  <si>
    <t xml:space="preserve">US-2025-100373</t>
  </si>
  <si>
    <t xml:space="preserve">US-2025-100735</t>
  </si>
  <si>
    <t xml:space="preserve">2025-10-07</t>
  </si>
  <si>
    <t xml:space="preserve">US-2025-100477</t>
  </si>
  <si>
    <t xml:space="preserve">US-2025-101676</t>
  </si>
  <si>
    <t xml:space="preserve">2025-10-11</t>
  </si>
  <si>
    <t xml:space="preserve">US-2025-100623</t>
  </si>
  <si>
    <t xml:space="preserve">2025-10-13</t>
  </si>
  <si>
    <t xml:space="preserve">US-2025-101131</t>
  </si>
  <si>
    <t xml:space="preserve">2025-10-14</t>
  </si>
  <si>
    <t xml:space="preserve">US-2025-100717</t>
  </si>
  <si>
    <t xml:space="preserve">US-2025-100290</t>
  </si>
  <si>
    <t xml:space="preserve">2025-10-09</t>
  </si>
  <si>
    <t xml:space="preserve">US-2025-100714</t>
  </si>
  <si>
    <t xml:space="preserve">2025-10-12</t>
  </si>
  <si>
    <t xml:space="preserve">US-2025-101340</t>
  </si>
  <si>
    <t xml:space="preserve">2025-10-16</t>
  </si>
  <si>
    <t xml:space="preserve">US-2025-100151</t>
  </si>
  <si>
    <t xml:space="preserve">2025-10-19</t>
  </si>
  <si>
    <t xml:space="preserve">US-2025-101504</t>
  </si>
  <si>
    <t xml:space="preserve">2025-10-15</t>
  </si>
  <si>
    <t xml:space="preserve">US-2025-101738</t>
  </si>
  <si>
    <t xml:space="preserve">US-2025-101303</t>
  </si>
  <si>
    <t xml:space="preserve">2025-10-18</t>
  </si>
  <si>
    <t xml:space="preserve">US-2025-101829</t>
  </si>
  <si>
    <t xml:space="preserve">US-2025-101029</t>
  </si>
  <si>
    <t xml:space="preserve">2025-10-21</t>
  </si>
  <si>
    <t xml:space="preserve">US-2025-100969</t>
  </si>
  <si>
    <t xml:space="preserve">US-2025-101574</t>
  </si>
  <si>
    <t xml:space="preserve">2025-10-17</t>
  </si>
  <si>
    <t xml:space="preserve">US-2025-100394</t>
  </si>
  <si>
    <t xml:space="preserve">2025-10-22</t>
  </si>
  <si>
    <t xml:space="preserve">US-2025-100121</t>
  </si>
  <si>
    <t xml:space="preserve">2025-10-20</t>
  </si>
  <si>
    <t xml:space="preserve">US-2025-101215</t>
  </si>
  <si>
    <t xml:space="preserve">2025-10-23</t>
  </si>
  <si>
    <t xml:space="preserve">2025-10-29</t>
  </si>
  <si>
    <t xml:space="preserve">2025-10-28</t>
  </si>
  <si>
    <t xml:space="preserve">US-2025-101735</t>
  </si>
  <si>
    <t xml:space="preserve">2025-10-24</t>
  </si>
  <si>
    <t xml:space="preserve">2025-10-25</t>
  </si>
  <si>
    <t xml:space="preserve">US-2025-100748</t>
  </si>
  <si>
    <t xml:space="preserve">2025-11-01</t>
  </si>
  <si>
    <t xml:space="preserve">2025-10-27</t>
  </si>
  <si>
    <t xml:space="preserve">US-2025-100949</t>
  </si>
  <si>
    <t xml:space="preserve">US-2025-101362</t>
  </si>
  <si>
    <t xml:space="preserve">2025-10-31</t>
  </si>
  <si>
    <t xml:space="preserve">US-2025-101122</t>
  </si>
  <si>
    <t xml:space="preserve">2025-10-30</t>
  </si>
  <si>
    <t xml:space="preserve">US-2025-100340</t>
  </si>
  <si>
    <t xml:space="preserve">US-2025-101329</t>
  </si>
  <si>
    <t xml:space="preserve">2025-11-02</t>
  </si>
  <si>
    <t xml:space="preserve">US-2025-100696</t>
  </si>
  <si>
    <t xml:space="preserve">2025-11-05</t>
  </si>
  <si>
    <t xml:space="preserve">US-2025-100385</t>
  </si>
  <si>
    <t xml:space="preserve">2025-11-07</t>
  </si>
  <si>
    <t xml:space="preserve">US-2025-100508</t>
  </si>
  <si>
    <t xml:space="preserve">US-2025-101787</t>
  </si>
  <si>
    <t xml:space="preserve">US-2025-101337</t>
  </si>
  <si>
    <t xml:space="preserve">2025-11-04</t>
  </si>
  <si>
    <t xml:space="preserve">2025-11-09</t>
  </si>
  <si>
    <t xml:space="preserve">US-2025-101089</t>
  </si>
  <si>
    <t xml:space="preserve">2025-11-08</t>
  </si>
  <si>
    <t xml:space="preserve">US-2025-101514</t>
  </si>
  <si>
    <t xml:space="preserve">US-2025-100414</t>
  </si>
  <si>
    <t xml:space="preserve">US-2025-100070</t>
  </si>
  <si>
    <t xml:space="preserve">2025-11-11</t>
  </si>
  <si>
    <t xml:space="preserve">US-2025-101134</t>
  </si>
  <si>
    <t xml:space="preserve">2025-11-10</t>
  </si>
  <si>
    <t xml:space="preserve">US-2025-101036</t>
  </si>
  <si>
    <t xml:space="preserve">2025-11-14</t>
  </si>
  <si>
    <t xml:space="preserve">US-2025-100751</t>
  </si>
  <si>
    <t xml:space="preserve">US-2025-100801</t>
  </si>
  <si>
    <t xml:space="preserve">2025-11-16</t>
  </si>
  <si>
    <t xml:space="preserve">US-2025-101648</t>
  </si>
  <si>
    <t xml:space="preserve">2025-11-17</t>
  </si>
  <si>
    <t xml:space="preserve">US-2025-100792</t>
  </si>
  <si>
    <t xml:space="preserve">2025-11-12</t>
  </si>
  <si>
    <t xml:space="preserve">US-2025-100602</t>
  </si>
  <si>
    <t xml:space="preserve">2025-11-13</t>
  </si>
  <si>
    <t xml:space="preserve">2025-11-15</t>
  </si>
  <si>
    <t xml:space="preserve">US-2025-101421</t>
  </si>
  <si>
    <t xml:space="preserve">CU-55691</t>
  </si>
  <si>
    <t xml:space="preserve">Jennifer Rodriguez</t>
  </si>
  <si>
    <t xml:space="preserve">US-2025-100212</t>
  </si>
  <si>
    <t xml:space="preserve">2025-11-22</t>
  </si>
  <si>
    <t xml:space="preserve">US-2025-100339</t>
  </si>
  <si>
    <t xml:space="preserve">2025-11-23</t>
  </si>
  <si>
    <t xml:space="preserve">US-2025-100139</t>
  </si>
  <si>
    <t xml:space="preserve">2025-11-19</t>
  </si>
  <si>
    <t xml:space="preserve">US-2025-100943</t>
  </si>
  <si>
    <t xml:space="preserve">2025-11-20</t>
  </si>
  <si>
    <t xml:space="preserve">US-2025-100452</t>
  </si>
  <si>
    <t xml:space="preserve">2025-11-25</t>
  </si>
  <si>
    <t xml:space="preserve">US-2025-101164</t>
  </si>
  <si>
    <t xml:space="preserve">2025-11-27</t>
  </si>
  <si>
    <t xml:space="preserve">2025-11-24</t>
  </si>
  <si>
    <t xml:space="preserve">2025-11-26</t>
  </si>
  <si>
    <t xml:space="preserve">US-2025-101688</t>
  </si>
  <si>
    <t xml:space="preserve">US-2025-100181</t>
  </si>
  <si>
    <t xml:space="preserve">2025-11-29</t>
  </si>
  <si>
    <t xml:space="preserve">US-2025-101576</t>
  </si>
  <si>
    <t xml:space="preserve">2025-11-28</t>
  </si>
  <si>
    <t xml:space="preserve">US-2025-101370</t>
  </si>
  <si>
    <t xml:space="preserve">2025-12-01</t>
  </si>
  <si>
    <t xml:space="preserve">US-2025-100542</t>
  </si>
  <si>
    <t xml:space="preserve">US-2025-101222</t>
  </si>
  <si>
    <t xml:space="preserve">2025-11-30</t>
  </si>
  <si>
    <t xml:space="preserve">2025-12-02</t>
  </si>
  <si>
    <t xml:space="preserve">US-2025-101312</t>
  </si>
  <si>
    <t xml:space="preserve">2025-12-04</t>
  </si>
  <si>
    <t xml:space="preserve">US-2025-101755</t>
  </si>
  <si>
    <t xml:space="preserve">US-2025-100183</t>
  </si>
  <si>
    <t xml:space="preserve">US-2025-101564</t>
  </si>
  <si>
    <t xml:space="preserve">2025-12-07</t>
  </si>
  <si>
    <t xml:space="preserve">US-2025-100032</t>
  </si>
  <si>
    <t xml:space="preserve">US-2025-100796</t>
  </si>
  <si>
    <t xml:space="preserve">2025-12-05</t>
  </si>
  <si>
    <t xml:space="preserve">2025-12-06</t>
  </si>
  <si>
    <t xml:space="preserve">US-2025-101460</t>
  </si>
  <si>
    <t xml:space="preserve">2025-12-10</t>
  </si>
  <si>
    <t xml:space="preserve">US-2025-100989</t>
  </si>
  <si>
    <t xml:space="preserve">US-2025-101640</t>
  </si>
  <si>
    <t xml:space="preserve">US-2025-101218</t>
  </si>
  <si>
    <t xml:space="preserve">2025-12-08</t>
  </si>
  <si>
    <t xml:space="preserve">US-2025-100509</t>
  </si>
  <si>
    <t xml:space="preserve">2025-12-09</t>
  </si>
  <si>
    <t xml:space="preserve">US-2025-100179</t>
  </si>
  <si>
    <t xml:space="preserve">2025-12-11</t>
  </si>
  <si>
    <t xml:space="preserve">2025-12-17</t>
  </si>
  <si>
    <t xml:space="preserve">US-2025-100361</t>
  </si>
  <si>
    <t xml:space="preserve">2025-12-18</t>
  </si>
  <si>
    <t xml:space="preserve">US-2025-100161</t>
  </si>
  <si>
    <t xml:space="preserve">2025-12-12</t>
  </si>
  <si>
    <t xml:space="preserve">US-2025-101253</t>
  </si>
  <si>
    <t xml:space="preserve">2025-12-13</t>
  </si>
  <si>
    <t xml:space="preserve">2025-12-16</t>
  </si>
  <si>
    <t xml:space="preserve">US-2025-101516</t>
  </si>
  <si>
    <t xml:space="preserve">US-2025-100832</t>
  </si>
  <si>
    <t xml:space="preserve">US-2025-100570</t>
  </si>
  <si>
    <t xml:space="preserve">2025-12-14</t>
  </si>
  <si>
    <t xml:space="preserve">2025-12-15</t>
  </si>
  <si>
    <t xml:space="preserve">US-2025-100562</t>
  </si>
  <si>
    <t xml:space="preserve">2025-12-23</t>
  </si>
  <si>
    <t xml:space="preserve">US-2025-101063</t>
  </si>
  <si>
    <t xml:space="preserve">2025-12-20</t>
  </si>
  <si>
    <t xml:space="preserve">US-2025-101673</t>
  </si>
  <si>
    <t xml:space="preserve">2025-12-19</t>
  </si>
  <si>
    <t xml:space="preserve">US-2025-100841</t>
  </si>
  <si>
    <t xml:space="preserve">2025-12-22</t>
  </si>
  <si>
    <t xml:space="preserve">US-2025-100163</t>
  </si>
  <si>
    <t xml:space="preserve">2025-12-21</t>
  </si>
  <si>
    <t xml:space="preserve">US-2025-101000</t>
  </si>
  <si>
    <t xml:space="preserve">2025-12-29</t>
  </si>
  <si>
    <t xml:space="preserve">US-2025-100919</t>
  </si>
  <si>
    <t xml:space="preserve">2025-12-25</t>
  </si>
  <si>
    <t xml:space="preserve">2026-01-01</t>
  </si>
  <si>
    <t xml:space="preserve">US-2025-101840</t>
  </si>
  <si>
    <t xml:space="preserve">2025-12-27</t>
  </si>
  <si>
    <t xml:space="preserve">US-2025-100119</t>
  </si>
  <si>
    <t xml:space="preserve">2025-12-26</t>
  </si>
  <si>
    <t xml:space="preserve">US-2025-100288</t>
  </si>
  <si>
    <t xml:space="preserve">US-2025-101798</t>
  </si>
  <si>
    <t xml:space="preserve">2025-12-28</t>
  </si>
  <si>
    <t xml:space="preserve">2025-12-31</t>
  </si>
  <si>
    <t xml:space="preserve">US-2025-101560</t>
  </si>
  <si>
    <t xml:space="preserve">US-2025-100205</t>
  </si>
  <si>
    <t xml:space="preserve">2026-01-05</t>
  </si>
  <si>
    <t xml:space="preserve">US-2025-100469</t>
  </si>
  <si>
    <t xml:space="preserve">2026-01-03</t>
  </si>
  <si>
    <t xml:space="preserve">US-2025-100311</t>
  </si>
  <si>
    <t xml:space="preserve">2025-12-30</t>
  </si>
  <si>
    <t xml:space="preserve">US-2025-101595</t>
  </si>
  <si>
    <t xml:space="preserve">2026-01-06</t>
  </si>
  <si>
    <t xml:space="preserve">US-2025-100701</t>
  </si>
  <si>
    <t xml:space="preserve">2026-01-04</t>
  </si>
  <si>
    <t xml:space="preserve">US-2025-101432</t>
  </si>
  <si>
    <t xml:space="preserve">US-2026-100519</t>
  </si>
  <si>
    <t xml:space="preserve">US-2026-100969</t>
  </si>
  <si>
    <t xml:space="preserve">2026-01-08</t>
  </si>
  <si>
    <t xml:space="preserve">US-2026-100530</t>
  </si>
  <si>
    <t xml:space="preserve">US-2026-100316</t>
  </si>
  <si>
    <t xml:space="preserve">US-2026-100733</t>
  </si>
  <si>
    <t xml:space="preserve">2026-01-10</t>
  </si>
  <si>
    <t xml:space="preserve">US-2026-101141</t>
  </si>
  <si>
    <t xml:space="preserve">2026-01-09</t>
  </si>
  <si>
    <t xml:space="preserve">US-2026-100268</t>
  </si>
  <si>
    <t xml:space="preserve">2026-01-12</t>
  </si>
  <si>
    <t xml:space="preserve">US-2026-100212</t>
  </si>
  <si>
    <t xml:space="preserve">US-2026-101173</t>
  </si>
  <si>
    <t xml:space="preserve">2026-01-13</t>
  </si>
  <si>
    <t xml:space="preserve">US-2026-100055</t>
  </si>
  <si>
    <t xml:space="preserve">2026-01-11</t>
  </si>
  <si>
    <t xml:space="preserve">2026-01-14</t>
  </si>
  <si>
    <t xml:space="preserve">US-2026-100353</t>
  </si>
  <si>
    <t xml:space="preserve">2026-01-15</t>
  </si>
  <si>
    <t xml:space="preserve">US-2026-100569</t>
  </si>
  <si>
    <t xml:space="preserve">2026-01-17</t>
  </si>
  <si>
    <t xml:space="preserve">US-2026-101205</t>
  </si>
  <si>
    <t xml:space="preserve">2026-01-19</t>
  </si>
  <si>
    <t xml:space="preserve">US-2026-100273</t>
  </si>
  <si>
    <t xml:space="preserve">2026-01-22</t>
  </si>
  <si>
    <t xml:space="preserve">US-2026-100087</t>
  </si>
  <si>
    <t xml:space="preserve">US-2026-101489</t>
  </si>
  <si>
    <t xml:space="preserve">2026-01-16</t>
  </si>
  <si>
    <t xml:space="preserve">US-2026-100580</t>
  </si>
  <si>
    <t xml:space="preserve">2026-01-23</t>
  </si>
  <si>
    <t xml:space="preserve">US-2026-101702</t>
  </si>
  <si>
    <t xml:space="preserve">2026-01-20</t>
  </si>
  <si>
    <t xml:space="preserve">US-2026-101031</t>
  </si>
  <si>
    <t xml:space="preserve">US-2026-101748</t>
  </si>
  <si>
    <t xml:space="preserve">2026-01-21</t>
  </si>
  <si>
    <t xml:space="preserve">US-2026-100102</t>
  </si>
  <si>
    <t xml:space="preserve">US-2026-100229</t>
  </si>
  <si>
    <t xml:space="preserve">2026-01-18</t>
  </si>
  <si>
    <t xml:space="preserve">CU-74704</t>
  </si>
  <si>
    <t xml:space="preserve">John Tanaka</t>
  </si>
  <si>
    <t xml:space="preserve">US-2026-100552</t>
  </si>
  <si>
    <t xml:space="preserve">US-2026-101071</t>
  </si>
  <si>
    <t xml:space="preserve">2026-01-25</t>
  </si>
  <si>
    <t xml:space="preserve">US-2026-100708</t>
  </si>
  <si>
    <t xml:space="preserve">2026-01-28</t>
  </si>
  <si>
    <t xml:space="preserve">US-2026-100092</t>
  </si>
  <si>
    <t xml:space="preserve">2026-01-26</t>
  </si>
  <si>
    <t xml:space="preserve">US-2026-100522</t>
  </si>
  <si>
    <t xml:space="preserve">US-2026-100157</t>
  </si>
  <si>
    <t xml:space="preserve">2026-01-24</t>
  </si>
  <si>
    <t xml:space="preserve">US-2026-101075</t>
  </si>
  <si>
    <t xml:space="preserve">2026-01-27</t>
  </si>
  <si>
    <t xml:space="preserve">US-2026-101559</t>
  </si>
  <si>
    <t xml:space="preserve">US-2026-100381</t>
  </si>
  <si>
    <t xml:space="preserve">US-2026-100204</t>
  </si>
  <si>
    <t xml:space="preserve">US-2026-100110</t>
  </si>
  <si>
    <t xml:space="preserve">US-2026-101256</t>
  </si>
  <si>
    <t xml:space="preserve">2026-01-31</t>
  </si>
  <si>
    <t xml:space="preserve">US-2026-100369</t>
  </si>
  <si>
    <t xml:space="preserve">2026-01-30</t>
  </si>
  <si>
    <t xml:space="preserve">US-2026-100360</t>
  </si>
  <si>
    <t xml:space="preserve">2026-02-02</t>
  </si>
  <si>
    <t xml:space="preserve">US-2026-101599</t>
  </si>
  <si>
    <t xml:space="preserve">US-2026-100776</t>
  </si>
  <si>
    <t xml:space="preserve">US-2026-101618</t>
  </si>
  <si>
    <t xml:space="preserve">2026-01-29</t>
  </si>
  <si>
    <t xml:space="preserve">US-2026-101261</t>
  </si>
  <si>
    <t xml:space="preserve">2026-02-03</t>
  </si>
  <si>
    <t xml:space="preserve">US-2026-101779</t>
  </si>
  <si>
    <t xml:space="preserve">2026-02-06</t>
  </si>
  <si>
    <t xml:space="preserve">US-2026-101037</t>
  </si>
  <si>
    <t xml:space="preserve">2026-02-04</t>
  </si>
  <si>
    <t xml:space="preserve">US-2026-100756</t>
  </si>
  <si>
    <t xml:space="preserve">2026-02-01</t>
  </si>
  <si>
    <t xml:space="preserve">2026-02-08</t>
  </si>
  <si>
    <t xml:space="preserve">US-2026-101272</t>
  </si>
  <si>
    <t xml:space="preserve">US-2026-101613</t>
  </si>
  <si>
    <t xml:space="preserve">2026-02-05</t>
  </si>
  <si>
    <t xml:space="preserve">US-2026-100062</t>
  </si>
  <si>
    <t xml:space="preserve">US-2026-100784</t>
  </si>
  <si>
    <t xml:space="preserve">US-2026-101286</t>
  </si>
  <si>
    <t xml:space="preserve">2026-02-07</t>
  </si>
  <si>
    <t xml:space="preserve">US-2026-101812</t>
  </si>
  <si>
    <t xml:space="preserve">2026-02-09</t>
  </si>
  <si>
    <t xml:space="preserve">US-2026-100880</t>
  </si>
  <si>
    <t xml:space="preserve">2026-02-11</t>
  </si>
  <si>
    <t xml:space="preserve">US-2026-101383</t>
  </si>
  <si>
    <t xml:space="preserve">US-2026-101021</t>
  </si>
  <si>
    <t xml:space="preserve">US-2026-101131</t>
  </si>
  <si>
    <t xml:space="preserve">2026-02-10</t>
  </si>
  <si>
    <t xml:space="preserve">US-2026-101054</t>
  </si>
  <si>
    <t xml:space="preserve">2026-02-13</t>
  </si>
  <si>
    <t xml:space="preserve">US-2026-101516</t>
  </si>
  <si>
    <t xml:space="preserve">2026-02-12</t>
  </si>
  <si>
    <t xml:space="preserve">US-2026-100016</t>
  </si>
  <si>
    <t xml:space="preserve">2026-02-14</t>
  </si>
  <si>
    <t xml:space="preserve">US-2026-100415</t>
  </si>
  <si>
    <t xml:space="preserve">US-2026-100693</t>
  </si>
  <si>
    <t xml:space="preserve">US-2026-101095</t>
  </si>
  <si>
    <t xml:space="preserve">US-2026-101548</t>
  </si>
  <si>
    <t xml:space="preserve">2026-02-17</t>
  </si>
  <si>
    <t xml:space="preserve">US-2026-101752</t>
  </si>
  <si>
    <t xml:space="preserve">2026-02-16</t>
  </si>
  <si>
    <t xml:space="preserve">US-2026-101669</t>
  </si>
  <si>
    <t xml:space="preserve">2026-02-19</t>
  </si>
  <si>
    <t xml:space="preserve">US-2026-101333</t>
  </si>
  <si>
    <t xml:space="preserve">US-2026-100198</t>
  </si>
  <si>
    <t xml:space="preserve">2026-02-15</t>
  </si>
  <si>
    <t xml:space="preserve">2026-02-22</t>
  </si>
  <si>
    <t xml:space="preserve">US-2026-101513</t>
  </si>
  <si>
    <t xml:space="preserve">2026-02-20</t>
  </si>
  <si>
    <t xml:space="preserve">US-2026-101611</t>
  </si>
  <si>
    <t xml:space="preserve">US-2026-100256</t>
  </si>
  <si>
    <t xml:space="preserve">2026-02-24</t>
  </si>
  <si>
    <t xml:space="preserve">US-2026-101013</t>
  </si>
  <si>
    <t xml:space="preserve">US-2026-100499</t>
  </si>
  <si>
    <t xml:space="preserve">2026-02-23</t>
  </si>
  <si>
    <t xml:space="preserve">US-2026-100747</t>
  </si>
  <si>
    <t xml:space="preserve">2026-02-25</t>
  </si>
  <si>
    <t xml:space="preserve">US-2026-101325</t>
  </si>
  <si>
    <t xml:space="preserve">2026-02-21</t>
  </si>
  <si>
    <t xml:space="preserve">US-2026-100791</t>
  </si>
  <si>
    <t xml:space="preserve">2026-02-26</t>
  </si>
  <si>
    <t xml:space="preserve">US-2026-101519</t>
  </si>
  <si>
    <t xml:space="preserve">US-2026-100837</t>
  </si>
  <si>
    <t xml:space="preserve">2026-02-27</t>
  </si>
  <si>
    <t xml:space="preserve">US-2026-101005</t>
  </si>
  <si>
    <t xml:space="preserve">2026-03-02</t>
  </si>
  <si>
    <t xml:space="preserve">US-2026-100843</t>
  </si>
  <si>
    <t xml:space="preserve">US-2026-100846</t>
  </si>
  <si>
    <t xml:space="preserve">2026-02-28</t>
  </si>
  <si>
    <t xml:space="preserve">US-2026-101101</t>
  </si>
  <si>
    <t xml:space="preserve">US-2026-100647</t>
  </si>
  <si>
    <t xml:space="preserve">2026-03-03</t>
  </si>
  <si>
    <t xml:space="preserve">US-2026-100593</t>
  </si>
  <si>
    <t xml:space="preserve">US-2026-101532</t>
  </si>
  <si>
    <t xml:space="preserve">US-2026-101355</t>
  </si>
  <si>
    <t xml:space="preserve">US-2026-100038</t>
  </si>
  <si>
    <t xml:space="preserve">US-2026-100900</t>
  </si>
  <si>
    <t xml:space="preserve">US-2026-101765</t>
  </si>
  <si>
    <t xml:space="preserve">2026-03-04</t>
  </si>
  <si>
    <t xml:space="preserve">US-2026-101448</t>
  </si>
  <si>
    <t xml:space="preserve">US-2026-100643</t>
  </si>
  <si>
    <t xml:space="preserve">2026-03-05</t>
  </si>
  <si>
    <t xml:space="preserve">US-2026-100907</t>
  </si>
  <si>
    <t xml:space="preserve">US-2026-101683</t>
  </si>
  <si>
    <t xml:space="preserve">US-2026-100876</t>
  </si>
  <si>
    <t xml:space="preserve">US-2026-101788</t>
  </si>
  <si>
    <t xml:space="preserve">2026-03-09</t>
  </si>
  <si>
    <t xml:space="preserve">US-2026-101162</t>
  </si>
  <si>
    <t xml:space="preserve">2026-03-07</t>
  </si>
  <si>
    <t xml:space="preserve">US-2026-101800</t>
  </si>
  <si>
    <t xml:space="preserve">2026-03-10</t>
  </si>
  <si>
    <t xml:space="preserve">US-2026-100605</t>
  </si>
  <si>
    <t xml:space="preserve">2026-03-06</t>
  </si>
  <si>
    <t xml:space="preserve">US-2026-100842</t>
  </si>
  <si>
    <t xml:space="preserve">US-2026-100707</t>
  </si>
  <si>
    <t xml:space="preserve">2026-03-11</t>
  </si>
  <si>
    <t xml:space="preserve">US-2026-101617</t>
  </si>
  <si>
    <t xml:space="preserve">2026-03-15</t>
  </si>
  <si>
    <t xml:space="preserve">US-2026-101028</t>
  </si>
  <si>
    <t xml:space="preserve">US-2026-100613</t>
  </si>
  <si>
    <t xml:space="preserve">2026-03-13</t>
  </si>
  <si>
    <t xml:space="preserve">US-2026-100727</t>
  </si>
  <si>
    <t xml:space="preserve">2026-03-14</t>
  </si>
  <si>
    <t xml:space="preserve">US-2026-100428</t>
  </si>
  <si>
    <t xml:space="preserve">US-2026-101174</t>
  </si>
  <si>
    <t xml:space="preserve">2026-03-16</t>
  </si>
  <si>
    <t xml:space="preserve">US-2026-100638</t>
  </si>
  <si>
    <t xml:space="preserve">2026-03-12</t>
  </si>
  <si>
    <t xml:space="preserve">US-2026-100216</t>
  </si>
  <si>
    <t xml:space="preserve">2026-03-20</t>
  </si>
  <si>
    <t xml:space="preserve">US-2026-101805</t>
  </si>
  <si>
    <t xml:space="preserve">US-2026-101179</t>
  </si>
  <si>
    <t xml:space="preserve">US-2026-100682</t>
  </si>
  <si>
    <t xml:space="preserve">2026-03-17</t>
  </si>
  <si>
    <t xml:space="preserve">US-2026-101057</t>
  </si>
  <si>
    <t xml:space="preserve">2026-03-18</t>
  </si>
  <si>
    <t xml:space="preserve">US-2026-101003</t>
  </si>
  <si>
    <t xml:space="preserve">2026-03-19</t>
  </si>
  <si>
    <t xml:space="preserve">US-2026-101647</t>
  </si>
  <si>
    <t xml:space="preserve">US-2026-101705</t>
  </si>
  <si>
    <t xml:space="preserve">US-2026-101061</t>
  </si>
  <si>
    <t xml:space="preserve">2026-03-21</t>
  </si>
  <si>
    <t xml:space="preserve">US-2026-100327</t>
  </si>
  <si>
    <t xml:space="preserve">2026-03-23</t>
  </si>
  <si>
    <t xml:space="preserve">US-2026-100882</t>
  </si>
  <si>
    <t xml:space="preserve">2026-03-26</t>
  </si>
  <si>
    <t xml:space="preserve">US-2026-100940</t>
  </si>
  <si>
    <t xml:space="preserve">2026-03-22</t>
  </si>
  <si>
    <t xml:space="preserve">2026-03-28</t>
  </si>
  <si>
    <t xml:space="preserve">US-2026-101300</t>
  </si>
  <si>
    <t xml:space="preserve">2026-03-24</t>
  </si>
  <si>
    <t xml:space="preserve">2026-03-29</t>
  </si>
  <si>
    <t xml:space="preserve">US-2026-100597</t>
  </si>
  <si>
    <t xml:space="preserve">US-2026-101629</t>
  </si>
  <si>
    <t xml:space="preserve">2026-03-25</t>
  </si>
  <si>
    <t xml:space="preserve">US-2026-101263</t>
  </si>
  <si>
    <t xml:space="preserve">2026-03-30</t>
  </si>
  <si>
    <t xml:space="preserve">US-2026-100440</t>
  </si>
  <si>
    <t xml:space="preserve">2026-04-01</t>
  </si>
  <si>
    <t xml:space="preserve">US-2026-101480</t>
  </si>
  <si>
    <t xml:space="preserve">2026-03-27</t>
  </si>
  <si>
    <t xml:space="preserve">2026-03-31</t>
  </si>
  <si>
    <t xml:space="preserve">US-2026-101401</t>
  </si>
  <si>
    <t xml:space="preserve">2026-04-05</t>
  </si>
  <si>
    <t xml:space="preserve">US-2026-100350</t>
  </si>
  <si>
    <t xml:space="preserve">2026-04-02</t>
  </si>
  <si>
    <t xml:space="preserve">US-2026-101222</t>
  </si>
  <si>
    <t xml:space="preserve">US-2026-100197</t>
  </si>
  <si>
    <t xml:space="preserve">US-2026-100608</t>
  </si>
  <si>
    <t xml:space="preserve">2026-04-04</t>
  </si>
  <si>
    <t xml:space="preserve">US-2026-100275</t>
  </si>
  <si>
    <t xml:space="preserve">US-2026-100400</t>
  </si>
  <si>
    <t xml:space="preserve">2026-04-08</t>
  </si>
  <si>
    <t xml:space="preserve">US-2026-101226</t>
  </si>
  <si>
    <t xml:space="preserve">US-2026-100343</t>
  </si>
  <si>
    <t xml:space="preserve">2026-04-09</t>
  </si>
  <si>
    <t xml:space="preserve">US-2026-101157</t>
  </si>
  <si>
    <t xml:space="preserve">2026-04-03</t>
  </si>
  <si>
    <t xml:space="preserve">2026-04-10</t>
  </si>
  <si>
    <t xml:space="preserve">US-2026-101571</t>
  </si>
  <si>
    <t xml:space="preserve">2026-04-06</t>
  </si>
  <si>
    <t xml:space="preserve">2026-04-13</t>
  </si>
  <si>
    <t xml:space="preserve">US-2026-101294</t>
  </si>
  <si>
    <t xml:space="preserve">US-2026-100105</t>
  </si>
  <si>
    <t xml:space="preserve">2026-04-07</t>
  </si>
  <si>
    <t xml:space="preserve">US-2026-100454</t>
  </si>
  <si>
    <t xml:space="preserve">US-2026-101811</t>
  </si>
  <si>
    <t xml:space="preserve">US-2026-101672</t>
  </si>
  <si>
    <t xml:space="preserve">2026-04-11</t>
  </si>
  <si>
    <t xml:space="preserve">US-2026-101749</t>
  </si>
  <si>
    <t xml:space="preserve">2026-04-12</t>
  </si>
  <si>
    <t xml:space="preserve">US-2026-101388</t>
  </si>
  <si>
    <t xml:space="preserve">US-2026-101471</t>
  </si>
  <si>
    <t xml:space="preserve">US-2026-101451</t>
  </si>
  <si>
    <t xml:space="preserve">2026-04-17</t>
  </si>
  <si>
    <t xml:space="preserve">US-2026-101265</t>
  </si>
  <si>
    <t xml:space="preserve">2026-04-15</t>
  </si>
  <si>
    <t xml:space="preserve">US-2026-100820</t>
  </si>
  <si>
    <t xml:space="preserve">2026-04-14</t>
  </si>
  <si>
    <t xml:space="preserve">US-2026-101504</t>
  </si>
  <si>
    <t xml:space="preserve">2026-04-20</t>
  </si>
  <si>
    <t xml:space="preserve">US-2026-101713</t>
  </si>
  <si>
    <t xml:space="preserve">2026-04-22</t>
  </si>
  <si>
    <t xml:space="preserve">US-2026-100404</t>
  </si>
  <si>
    <t xml:space="preserve">2026-04-19</t>
  </si>
  <si>
    <t xml:space="preserve">US-2026-100450</t>
  </si>
  <si>
    <t xml:space="preserve">2026-04-18</t>
  </si>
  <si>
    <t xml:space="preserve">US-2026-100149</t>
  </si>
  <si>
    <t xml:space="preserve">US-2026-101829</t>
  </si>
  <si>
    <t xml:space="preserve">US-2026-100123</t>
  </si>
  <si>
    <t xml:space="preserve">US-2026-101417</t>
  </si>
  <si>
    <t xml:space="preserve">US-2026-100811</t>
  </si>
  <si>
    <t xml:space="preserve">2026-04-21</t>
  </si>
  <si>
    <t xml:space="preserve">US-2026-101514</t>
  </si>
  <si>
    <t xml:space="preserve">US-2026-100555</t>
  </si>
  <si>
    <t xml:space="preserve">2026-04-26</t>
  </si>
  <si>
    <t xml:space="preserve">US-2026-100067</t>
  </si>
  <si>
    <t xml:space="preserve">US-2026-101149</t>
  </si>
  <si>
    <t xml:space="preserve">2026-04-23</t>
  </si>
  <si>
    <t xml:space="preserve">2026-04-27</t>
  </si>
  <si>
    <t xml:space="preserve">US-2026-101499</t>
  </si>
  <si>
    <t xml:space="preserve">2026-04-25</t>
  </si>
  <si>
    <t xml:space="preserve">US-2026-100334</t>
  </si>
  <si>
    <t xml:space="preserve">2026-04-24</t>
  </si>
  <si>
    <t xml:space="preserve">US-2026-101192</t>
  </si>
  <si>
    <t xml:space="preserve">US-2026-100310</t>
  </si>
  <si>
    <t xml:space="preserve">2026-05-01</t>
  </si>
  <si>
    <t xml:space="preserve">US-2026-101016</t>
  </si>
  <si>
    <t xml:space="preserve">US-2026-100320</t>
  </si>
  <si>
    <t xml:space="preserve">US-2026-101834</t>
  </si>
  <si>
    <t xml:space="preserve">2026-04-28</t>
  </si>
  <si>
    <t xml:space="preserve">US-2026-101065</t>
  </si>
  <si>
    <t xml:space="preserve">2026-05-04</t>
  </si>
  <si>
    <t xml:space="preserve">US-2026-101328</t>
  </si>
  <si>
    <t xml:space="preserve">2026-04-29</t>
  </si>
  <si>
    <t xml:space="preserve">US-2026-100598</t>
  </si>
  <si>
    <t xml:space="preserve">2026-04-30</t>
  </si>
  <si>
    <t xml:space="preserve">2026-05-07</t>
  </si>
  <si>
    <t xml:space="preserve">US-2026-100313</t>
  </si>
  <si>
    <t xml:space="preserve">2026-05-02</t>
  </si>
  <si>
    <t xml:space="preserve">US-2026-101201</t>
  </si>
  <si>
    <t xml:space="preserve">US-2026-100301</t>
  </si>
  <si>
    <t xml:space="preserve">2026-05-05</t>
  </si>
  <si>
    <t xml:space="preserve">US-2026-101370</t>
  </si>
  <si>
    <t xml:space="preserve">US-2026-100748</t>
  </si>
  <si>
    <t xml:space="preserve">2026-05-06</t>
  </si>
  <si>
    <t xml:space="preserve">US-2026-101052</t>
  </si>
  <si>
    <t xml:space="preserve">US-2026-100964</t>
  </si>
  <si>
    <t xml:space="preserve">2026-05-03</t>
  </si>
  <si>
    <t xml:space="preserve">2026-05-09</t>
  </si>
  <si>
    <t xml:space="preserve">US-2026-100915</t>
  </si>
  <si>
    <t xml:space="preserve">US-2026-100826</t>
  </si>
  <si>
    <t xml:space="preserve">2026-05-08</t>
  </si>
  <si>
    <t xml:space="preserve">2026-05-14</t>
  </si>
  <si>
    <t xml:space="preserve">US-2026-101255</t>
  </si>
  <si>
    <t xml:space="preserve">US-2026-101017</t>
  </si>
  <si>
    <t xml:space="preserve">2026-05-11</t>
  </si>
  <si>
    <t xml:space="preserve">US-2026-101670</t>
  </si>
  <si>
    <t xml:space="preserve">2026-05-15</t>
  </si>
  <si>
    <t xml:space="preserve">US-2026-101406</t>
  </si>
  <si>
    <t xml:space="preserve">2026-05-12</t>
  </si>
  <si>
    <t xml:space="preserve">US-2026-101725</t>
  </si>
  <si>
    <t xml:space="preserve">US-2026-101507</t>
  </si>
  <si>
    <t xml:space="preserve">2026-05-10</t>
  </si>
  <si>
    <t xml:space="preserve">US-2026-100861</t>
  </si>
  <si>
    <t xml:space="preserve">2026-05-18</t>
  </si>
  <si>
    <t xml:space="preserve">US-2026-100479</t>
  </si>
  <si>
    <t xml:space="preserve">US-2026-100681</t>
  </si>
  <si>
    <t xml:space="preserve">2026-05-13</t>
  </si>
  <si>
    <t xml:space="preserve">2026-05-17</t>
  </si>
  <si>
    <t xml:space="preserve">US-2026-100660</t>
  </si>
  <si>
    <t xml:space="preserve">2026-05-19</t>
  </si>
  <si>
    <t xml:space="preserve">US-2026-100606</t>
  </si>
  <si>
    <t xml:space="preserve">US-2026-100803</t>
  </si>
  <si>
    <t xml:space="preserve">2026-05-23</t>
  </si>
  <si>
    <t xml:space="preserve">2026-05-20</t>
  </si>
  <si>
    <t xml:space="preserve">US-2026-101199</t>
  </si>
  <si>
    <t xml:space="preserve">2026-05-21</t>
  </si>
  <si>
    <t xml:space="preserve">2026-05-25</t>
  </si>
  <si>
    <t xml:space="preserve">US-2026-100959</t>
  </si>
  <si>
    <t xml:space="preserve">2026-05-22</t>
  </si>
  <si>
    <t xml:space="preserve">US-2026-101487</t>
  </si>
  <si>
    <t xml:space="preserve">US-2026-101102</t>
  </si>
  <si>
    <t xml:space="preserve">US-2026-101097</t>
  </si>
  <si>
    <t xml:space="preserve">US-2026-100122</t>
  </si>
  <si>
    <t xml:space="preserve">2026-05-24</t>
  </si>
  <si>
    <t xml:space="preserve">2026-05-27</t>
  </si>
  <si>
    <t xml:space="preserve">US-2026-101184</t>
  </si>
  <si>
    <t xml:space="preserve">2026-05-28</t>
  </si>
  <si>
    <t xml:space="preserve">US-2026-101273</t>
  </si>
  <si>
    <t xml:space="preserve">2026-05-30</t>
  </si>
  <si>
    <t xml:space="preserve">2026-05-31</t>
  </si>
  <si>
    <t xml:space="preserve">US-2026-101578</t>
  </si>
  <si>
    <t xml:space="preserve">2026-05-26</t>
  </si>
  <si>
    <t xml:space="preserve">2026-06-01</t>
  </si>
  <si>
    <t xml:space="preserve">US-2026-100829</t>
  </si>
  <si>
    <t xml:space="preserve">2026-05-29</t>
  </si>
  <si>
    <t xml:space="preserve">US-2026-100641</t>
  </si>
  <si>
    <t xml:space="preserve">US-2026-101230</t>
  </si>
  <si>
    <t xml:space="preserve">US-2026-100071</t>
  </si>
  <si>
    <t xml:space="preserve">2026-06-02</t>
  </si>
  <si>
    <t xml:space="preserve">2026-06-08</t>
  </si>
  <si>
    <t xml:space="preserve">2026-06-06</t>
  </si>
  <si>
    <t xml:space="preserve">2026-06-05</t>
  </si>
  <si>
    <t xml:space="preserve">US-2026-100564</t>
  </si>
  <si>
    <t xml:space="preserve">2026-06-03</t>
  </si>
  <si>
    <t xml:space="preserve">US-2026-101346</t>
  </si>
  <si>
    <t xml:space="preserve">2026-06-07</t>
  </si>
  <si>
    <t xml:space="preserve">US-2026-101494</t>
  </si>
  <si>
    <t xml:space="preserve">2026-06-04</t>
  </si>
  <si>
    <t xml:space="preserve">US-2026-101104</t>
  </si>
  <si>
    <t xml:space="preserve">US-2026-101781</t>
  </si>
  <si>
    <t xml:space="preserve">2026-06-09</t>
  </si>
  <si>
    <t xml:space="preserve">US-2026-100169</t>
  </si>
  <si>
    <t xml:space="preserve">2026-06-10</t>
  </si>
  <si>
    <t xml:space="preserve">US-2026-100835</t>
  </si>
  <si>
    <t xml:space="preserve">US-2026-101555</t>
  </si>
  <si>
    <t xml:space="preserve">2026-06-12</t>
  </si>
  <si>
    <t xml:space="preserve">US-2026-100133</t>
  </si>
  <si>
    <t xml:space="preserve">2026-06-14</t>
  </si>
  <si>
    <t xml:space="preserve">US-2026-101536</t>
  </si>
  <si>
    <t xml:space="preserve">US-2026-100690</t>
  </si>
  <si>
    <t xml:space="preserve">2026-06-11</t>
  </si>
  <si>
    <t xml:space="preserve">US-2026-101362</t>
  </si>
  <si>
    <t xml:space="preserve">US-2026-100663</t>
  </si>
  <si>
    <t xml:space="preserve">2026-06-13</t>
  </si>
  <si>
    <t xml:space="preserve">US-2026-100786</t>
  </si>
  <si>
    <t xml:space="preserve">2026-06-18</t>
  </si>
  <si>
    <t xml:space="preserve">US-2026-100090</t>
  </si>
  <si>
    <t xml:space="preserve">2026-06-19</t>
  </si>
  <si>
    <t xml:space="preserve">US-2026-100103</t>
  </si>
  <si>
    <t xml:space="preserve">2026-06-16</t>
  </si>
  <si>
    <t xml:space="preserve">US-2026-100766</t>
  </si>
  <si>
    <t xml:space="preserve">US-2026-101109</t>
  </si>
  <si>
    <t xml:space="preserve">US-2026-100290</t>
  </si>
  <si>
    <t xml:space="preserve">2026-06-23</t>
  </si>
  <si>
    <t xml:space="preserve">US-2026-101134</t>
  </si>
  <si>
    <t xml:space="preserve">2026-06-20</t>
  </si>
  <si>
    <t xml:space="preserve">2026-06-21</t>
  </si>
  <si>
    <t xml:space="preserve">US-2026-100706</t>
  </si>
  <si>
    <t xml:space="preserve">2026-06-27</t>
  </si>
  <si>
    <t xml:space="preserve">US-2026-101182</t>
  </si>
  <si>
    <t xml:space="preserve">2026-06-24</t>
  </si>
  <si>
    <t xml:space="preserve">2026-06-26</t>
  </si>
  <si>
    <t xml:space="preserve">US-2026-101498</t>
  </si>
  <si>
    <t xml:space="preserve">2026-06-22</t>
  </si>
  <si>
    <t xml:space="preserve">2026-06-25</t>
  </si>
  <si>
    <t xml:space="preserve">US-2026-101148</t>
  </si>
  <si>
    <t xml:space="preserve">2026-06-28</t>
  </si>
  <si>
    <t xml:space="preserve">US-2026-100443</t>
  </si>
  <si>
    <t xml:space="preserve">2026-06-29</t>
  </si>
  <si>
    <t xml:space="preserve">US-2026-100207</t>
  </si>
  <si>
    <t xml:space="preserve">US-2026-100416</t>
  </si>
  <si>
    <t xml:space="preserve">US-2026-100328</t>
  </si>
  <si>
    <t xml:space="preserve">2026-07-01</t>
  </si>
  <si>
    <t xml:space="preserve">US-2026-100405</t>
  </si>
  <si>
    <t xml:space="preserve">US-2026-101384</t>
  </si>
  <si>
    <t xml:space="preserve">2026-07-02</t>
  </si>
  <si>
    <t xml:space="preserve">US-2026-101096</t>
  </si>
  <si>
    <t xml:space="preserve">US-2026-101784</t>
  </si>
  <si>
    <t xml:space="preserve">2026-06-30</t>
  </si>
  <si>
    <t xml:space="preserve">US-2026-101644</t>
  </si>
  <si>
    <t xml:space="preserve">2026-07-05</t>
  </si>
  <si>
    <t xml:space="preserve">US-2026-101572</t>
  </si>
  <si>
    <t xml:space="preserve">2026-07-03</t>
  </si>
  <si>
    <t xml:space="preserve">US-2026-100096</t>
  </si>
  <si>
    <t xml:space="preserve">Solutions — check your numbers, then peek at the formula only if stuck</t>
  </si>
  <si>
    <t xml:space="preserve">Task</t>
  </si>
  <si>
    <t xml:space="preserve">Result</t>
  </si>
  <si>
    <t xml:space="preserve">Formula used</t>
  </si>
  <si>
    <t xml:space="preserve">1. Total Sales</t>
  </si>
  <si>
    <t xml:space="preserve">1. Total Profit</t>
  </si>
  <si>
    <t xml:space="preserve">1. Average Discount</t>
  </si>
  <si>
    <t xml:space="preserve">1. Order count</t>
  </si>
  <si>
    <t xml:space="preserve">2. Loss-making line items (count)</t>
  </si>
  <si>
    <t xml:space="preserve">3. Profit Flag helper column</t>
  </si>
  <si>
    <t xml:space="preserve">—</t>
  </si>
  <si>
    <t xml:space="preserve">See Orders!U2 — formula: =IF(Profit&lt;0,"Loss",IF(Profit=0,"Break-even","Profit"))</t>
  </si>
  <si>
    <t xml:space="preserve">4. Sales Tier helper column</t>
  </si>
  <si>
    <t xml:space="preserve">See Orders!V2 — formula: =IF(Sales&lt;100,"Low",IF(Sales&lt;=500,"Medium","High"))</t>
  </si>
  <si>
    <t xml:space="preserve">5. Technology Sales in West</t>
  </si>
  <si>
    <t xml:space="preserve">6. Profit, Same Day + Discount&gt;0</t>
  </si>
  <si>
    <t xml:space="preserve">7. Consumer orders in Central</t>
  </si>
  <si>
    <t xml:space="preserve">7. Corporate orders in Central</t>
  </si>
  <si>
    <t xml:space="preserve">7. Home Office orders in Central</t>
  </si>
  <si>
    <t xml:space="preserve">8. Avg Discount, Furniture, Qty&gt;=5</t>
  </si>
  <si>
    <t xml:space="preserve">9. VLOOKUP example (Product ID TEC-PH-24197) — Product Name</t>
  </si>
  <si>
    <t xml:space="preserve">9. INDEX/MATCH equivalent — Product Name</t>
  </si>
  <si>
    <t xml:space="preserve">10. Two-way lookup (Category x Region) — see the worked grid near the bottom of this sheet.</t>
  </si>
  <si>
    <t xml:space="preserve">n/a</t>
  </si>
  <si>
    <t xml:space="preserve">11. Ship Lag helper column</t>
  </si>
  <si>
    <t xml:space="preserve">See Orders!W2 — formula: =[Ship Date]-[Order Date]</t>
  </si>
  <si>
    <t xml:space="preserve">12. Order Month helper column</t>
  </si>
  <si>
    <t xml:space="preserve">See Orders!X2 — formula: =TEXT([Order Date],"mmmm")</t>
  </si>
  <si>
    <t xml:space="preserve">13. Customer Initials helper column</t>
  </si>
  <si>
    <t xml:space="preserve">See Orders!Y2 — formula: =LEFT(name,1)&amp;MID(name,FIND(" ",name)+1,1)</t>
  </si>
  <si>
    <t xml:space="preserve">14. Order ID with longest Ship Lag</t>
  </si>
  <si>
    <t xml:space="preserve">15-18. Pivot tables &amp; slicer</t>
  </si>
  <si>
    <t xml:space="preserve">Manual Excel steps — Insert &gt; PivotTable. See notes column.</t>
  </si>
  <si>
    <t xml:space="preserve">19. Conditional formatting on Profit</t>
  </si>
  <si>
    <t xml:space="preserve">Home &gt; Conditional Formatting &gt; Highlight Cell Rules &gt; Less Than 0 (red fill); &gt; Greater Than 200 (green fill).</t>
  </si>
  <si>
    <t xml:space="preserve">20. Bar chart of Sales by Category</t>
  </si>
  <si>
    <t xml:space="preserve">Build a small SUMIFS summary table (3 rows: Furniture/Office Supplies/Technology), select it, Insert &gt; Bar Chart.</t>
  </si>
  <si>
    <t xml:space="preserve">Task 10 worked example grid (Category x Region, Sum of Sales):</t>
  </si>
  <si>
    <t xml:space="preserve">Category \ Region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</si>
</sst>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0%"/>
    <numFmt numFmtId="168" formatCode="0.00%"/>
    <numFmt numFmtId="169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OrdersTable" displayName="OrdersTable" ref="A1:T1801" headerRowCount="1" totalsRowCount="0" totalsRowShown="0">
  <autoFilter ref="A1:T1801"/>
  <tableColumns count="20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Region"/>
    <tableColumn id="13" name="Product ID"/>
    <tableColumn id="14" name="Category"/>
    <tableColumn id="15" name="Sub-Category"/>
    <tableColumn id="16" name="Product Name"/>
    <tableColumn id="17" name="Sales"/>
    <tableColumn id="18" name="Quantity"/>
    <tableColumn id="19" name="Discount"/>
    <tableColumn id="20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10" min="9" style="0" width="14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5" min="15" style="0" width="14"/>
    <col collapsed="false" customWidth="true" hidden="false" outlineLevel="0" max="16" min="16" style="0" width="30"/>
    <col collapsed="false" customWidth="true" hidden="false" outlineLevel="0" max="17" min="17" style="0" width="12"/>
    <col collapsed="false" customWidth="true" hidden="false" outlineLevel="0" max="19" min="18" style="0" width="10"/>
    <col collapsed="false" customWidth="true" hidden="false" outlineLevel="0" max="20" min="20" style="0" width="12"/>
    <col collapsed="false" customWidth="true" hidden="false" outlineLevel="0" max="25" min="2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5" hidden="false" customHeight="false" outlineLevel="0" collapsed="false">
      <c r="A2" s="3" t="n">
        <v>1</v>
      </c>
      <c r="B2" s="3" t="s">
        <v>25</v>
      </c>
      <c r="C2" s="4" t="s">
        <v>26</v>
      </c>
      <c r="D2" s="4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5" t="n">
        <v>15828.1</v>
      </c>
      <c r="R2" s="3" t="n">
        <v>12</v>
      </c>
      <c r="S2" s="6" t="n">
        <v>0</v>
      </c>
      <c r="T2" s="5" t="n">
        <v>-1532.66</v>
      </c>
      <c r="U2" s="3" t="str">
        <f aca="false">IF(T2&lt;0,"Loss",IF(T2=0,"Break-even","Profit"))</f>
        <v>Loss</v>
      </c>
      <c r="V2" s="3" t="str">
        <f aca="false">IF(Q2&lt;100,"Low",IF(Q2&lt;=500,"Medium","High"))</f>
        <v>High</v>
      </c>
      <c r="W2" s="3" t="n">
        <f aca="false">D2-C2</f>
        <v>6</v>
      </c>
      <c r="X2" s="3" t="str">
        <f aca="false">TEXT(C2,"mmmm")</f>
        <v>January</v>
      </c>
      <c r="Y2" s="3" t="str">
        <f aca="false">LEFT(G2,1)&amp;MID(G2,FIND(" ",G2)+1,1)</f>
        <v>MK</v>
      </c>
    </row>
    <row r="3" customFormat="false" ht="15" hidden="false" customHeight="false" outlineLevel="0" collapsed="false">
      <c r="A3" s="3" t="n">
        <v>2</v>
      </c>
      <c r="B3" s="3" t="s">
        <v>40</v>
      </c>
      <c r="C3" s="4" t="s">
        <v>26</v>
      </c>
      <c r="D3" s="4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32</v>
      </c>
      <c r="J3" s="3" t="s">
        <v>46</v>
      </c>
      <c r="K3" s="3" t="s">
        <v>47</v>
      </c>
      <c r="L3" s="3" t="s">
        <v>35</v>
      </c>
      <c r="M3" s="3" t="s">
        <v>48</v>
      </c>
      <c r="N3" s="3" t="s">
        <v>49</v>
      </c>
      <c r="O3" s="3" t="s">
        <v>50</v>
      </c>
      <c r="P3" s="3" t="s">
        <v>51</v>
      </c>
      <c r="Q3" s="5" t="n">
        <v>33.58</v>
      </c>
      <c r="R3" s="3" t="n">
        <v>1</v>
      </c>
      <c r="S3" s="6" t="n">
        <v>0.3</v>
      </c>
      <c r="T3" s="5" t="n">
        <v>3.3</v>
      </c>
      <c r="U3" s="3" t="str">
        <f aca="false">IF(T3&lt;0,"Loss",IF(T3=0,"Break-even","Profit"))</f>
        <v>Profit</v>
      </c>
      <c r="V3" s="3" t="str">
        <f aca="false">IF(Q3&lt;100,"Low",IF(Q3&lt;=500,"Medium","High"))</f>
        <v>Low</v>
      </c>
      <c r="W3" s="3" t="n">
        <f aca="false">D3-C3</f>
        <v>1</v>
      </c>
      <c r="X3" s="3" t="str">
        <f aca="false">TEXT(C3,"mmmm")</f>
        <v>January</v>
      </c>
      <c r="Y3" s="3" t="str">
        <f aca="false">LEFT(G3,1)&amp;MID(G3,FIND(" ",G3)+1,1)</f>
        <v>PM</v>
      </c>
    </row>
    <row r="4" customFormat="false" ht="15" hidden="false" customHeight="false" outlineLevel="0" collapsed="false">
      <c r="A4" s="3" t="n">
        <v>3</v>
      </c>
      <c r="B4" s="3" t="s">
        <v>52</v>
      </c>
      <c r="C4" s="4" t="s">
        <v>26</v>
      </c>
      <c r="D4" s="4" t="s">
        <v>26</v>
      </c>
      <c r="E4" s="3" t="s">
        <v>53</v>
      </c>
      <c r="F4" s="3" t="s">
        <v>54</v>
      </c>
      <c r="G4" s="3" t="s">
        <v>55</v>
      </c>
      <c r="H4" s="3" t="s">
        <v>56</v>
      </c>
      <c r="I4" s="3" t="s">
        <v>32</v>
      </c>
      <c r="J4" s="3" t="s">
        <v>57</v>
      </c>
      <c r="K4" s="3" t="s">
        <v>58</v>
      </c>
      <c r="L4" s="3" t="s">
        <v>59</v>
      </c>
      <c r="M4" s="3" t="s">
        <v>60</v>
      </c>
      <c r="N4" s="3" t="s">
        <v>49</v>
      </c>
      <c r="O4" s="3" t="s">
        <v>61</v>
      </c>
      <c r="P4" s="3" t="s">
        <v>62</v>
      </c>
      <c r="Q4" s="5" t="n">
        <v>855.51</v>
      </c>
      <c r="R4" s="3" t="n">
        <v>13</v>
      </c>
      <c r="S4" s="6" t="n">
        <v>0.4</v>
      </c>
      <c r="T4" s="5" t="n">
        <v>208.23</v>
      </c>
      <c r="U4" s="3" t="str">
        <f aca="false">IF(T4&lt;0,"Loss",IF(T4=0,"Break-even","Profit"))</f>
        <v>Profit</v>
      </c>
      <c r="V4" s="3" t="str">
        <f aca="false">IF(Q4&lt;100,"Low",IF(Q4&lt;=500,"Medium","High"))</f>
        <v>High</v>
      </c>
      <c r="W4" s="3" t="n">
        <f aca="false">D4-C4</f>
        <v>0</v>
      </c>
      <c r="X4" s="3" t="str">
        <f aca="false">TEXT(C4,"mmmm")</f>
        <v>January</v>
      </c>
      <c r="Y4" s="3" t="str">
        <f aca="false">LEFT(G4,1)&amp;MID(G4,FIND(" ",G4)+1,1)</f>
        <v>RN</v>
      </c>
    </row>
    <row r="5" customFormat="false" ht="15" hidden="false" customHeight="false" outlineLevel="0" collapsed="false">
      <c r="A5" s="3" t="n">
        <v>4</v>
      </c>
      <c r="B5" s="3" t="s">
        <v>63</v>
      </c>
      <c r="C5" s="4" t="s">
        <v>41</v>
      </c>
      <c r="D5" s="4" t="s">
        <v>64</v>
      </c>
      <c r="E5" s="3" t="s">
        <v>28</v>
      </c>
      <c r="F5" s="3" t="s">
        <v>65</v>
      </c>
      <c r="G5" s="3" t="s">
        <v>66</v>
      </c>
      <c r="H5" s="3" t="s">
        <v>56</v>
      </c>
      <c r="I5" s="3" t="s">
        <v>32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37</v>
      </c>
      <c r="O5" s="3" t="s">
        <v>71</v>
      </c>
      <c r="P5" s="3" t="s">
        <v>72</v>
      </c>
      <c r="Q5" s="5" t="n">
        <v>8296.08</v>
      </c>
      <c r="R5" s="3" t="n">
        <v>11</v>
      </c>
      <c r="S5" s="6" t="n">
        <v>0.3</v>
      </c>
      <c r="T5" s="5" t="n">
        <v>-2405.47</v>
      </c>
      <c r="U5" s="3" t="str">
        <f aca="false">IF(T5&lt;0,"Loss",IF(T5=0,"Break-even","Profit"))</f>
        <v>Loss</v>
      </c>
      <c r="V5" s="3" t="str">
        <f aca="false">IF(Q5&lt;100,"Low",IF(Q5&lt;=500,"Medium","High"))</f>
        <v>High</v>
      </c>
      <c r="W5" s="3" t="n">
        <f aca="false">D5-C5</f>
        <v>6</v>
      </c>
      <c r="X5" s="3" t="str">
        <f aca="false">TEXT(C5,"mmmm")</f>
        <v>January</v>
      </c>
      <c r="Y5" s="3" t="str">
        <f aca="false">LEFT(G5,1)&amp;MID(G5,FIND(" ",G5)+1,1)</f>
        <v>MM</v>
      </c>
    </row>
    <row r="6" customFormat="false" ht="15" hidden="false" customHeight="false" outlineLevel="0" collapsed="false">
      <c r="A6" s="3" t="n">
        <v>5</v>
      </c>
      <c r="B6" s="3" t="s">
        <v>73</v>
      </c>
      <c r="C6" s="4" t="s">
        <v>74</v>
      </c>
      <c r="D6" s="4" t="s">
        <v>64</v>
      </c>
      <c r="E6" s="3" t="s">
        <v>28</v>
      </c>
      <c r="F6" s="3" t="s">
        <v>75</v>
      </c>
      <c r="G6" s="3" t="s">
        <v>76</v>
      </c>
      <c r="H6" s="3" t="s">
        <v>45</v>
      </c>
      <c r="I6" s="3" t="s">
        <v>32</v>
      </c>
      <c r="J6" s="3" t="s">
        <v>77</v>
      </c>
      <c r="K6" s="3" t="s">
        <v>78</v>
      </c>
      <c r="L6" s="3" t="s">
        <v>59</v>
      </c>
      <c r="M6" s="3" t="s">
        <v>79</v>
      </c>
      <c r="N6" s="3" t="s">
        <v>49</v>
      </c>
      <c r="O6" s="3" t="s">
        <v>80</v>
      </c>
      <c r="P6" s="3" t="s">
        <v>81</v>
      </c>
      <c r="Q6" s="5" t="n">
        <v>146.56</v>
      </c>
      <c r="R6" s="3" t="n">
        <v>2</v>
      </c>
      <c r="S6" s="6" t="n">
        <v>0.5</v>
      </c>
      <c r="T6" s="5" t="n">
        <v>-5.73</v>
      </c>
      <c r="U6" s="3" t="str">
        <f aca="false">IF(T6&lt;0,"Loss",IF(T6=0,"Break-even","Profit"))</f>
        <v>Loss</v>
      </c>
      <c r="V6" s="3" t="str">
        <f aca="false">IF(Q6&lt;100,"Low",IF(Q6&lt;=500,"Medium","High"))</f>
        <v>Medium</v>
      </c>
      <c r="W6" s="3" t="n">
        <f aca="false">D6-C6</f>
        <v>5</v>
      </c>
      <c r="X6" s="3" t="str">
        <f aca="false">TEXT(C6,"mmmm")</f>
        <v>January</v>
      </c>
      <c r="Y6" s="3" t="str">
        <f aca="false">LEFT(G6,1)&amp;MID(G6,FIND(" ",G6)+1,1)</f>
        <v>LM</v>
      </c>
    </row>
    <row r="7" customFormat="false" ht="15" hidden="false" customHeight="false" outlineLevel="0" collapsed="false">
      <c r="A7" s="3" t="n">
        <v>6</v>
      </c>
      <c r="B7" s="3" t="s">
        <v>82</v>
      </c>
      <c r="C7" s="4" t="s">
        <v>74</v>
      </c>
      <c r="D7" s="4" t="s">
        <v>83</v>
      </c>
      <c r="E7" s="3" t="s">
        <v>84</v>
      </c>
      <c r="F7" s="3" t="s">
        <v>85</v>
      </c>
      <c r="G7" s="3" t="s">
        <v>86</v>
      </c>
      <c r="H7" s="3" t="s">
        <v>56</v>
      </c>
      <c r="I7" s="3" t="s">
        <v>32</v>
      </c>
      <c r="J7" s="3" t="s">
        <v>87</v>
      </c>
      <c r="K7" s="3" t="s">
        <v>68</v>
      </c>
      <c r="L7" s="3" t="s">
        <v>69</v>
      </c>
      <c r="M7" s="3" t="s">
        <v>88</v>
      </c>
      <c r="N7" s="3" t="s">
        <v>89</v>
      </c>
      <c r="O7" s="3" t="s">
        <v>90</v>
      </c>
      <c r="P7" s="3" t="s">
        <v>91</v>
      </c>
      <c r="Q7" s="5" t="n">
        <v>1151.88</v>
      </c>
      <c r="R7" s="3" t="n">
        <v>7</v>
      </c>
      <c r="S7" s="6" t="n">
        <v>0.1</v>
      </c>
      <c r="T7" s="5" t="n">
        <v>-130.61</v>
      </c>
      <c r="U7" s="3" t="str">
        <f aca="false">IF(T7&lt;0,"Loss",IF(T7=0,"Break-even","Profit"))</f>
        <v>Loss</v>
      </c>
      <c r="V7" s="3" t="str">
        <f aca="false">IF(Q7&lt;100,"Low",IF(Q7&lt;=500,"Medium","High"))</f>
        <v>High</v>
      </c>
      <c r="W7" s="3" t="n">
        <f aca="false">D7-C7</f>
        <v>2</v>
      </c>
      <c r="X7" s="3" t="str">
        <f aca="false">TEXT(C7,"mmmm")</f>
        <v>January</v>
      </c>
      <c r="Y7" s="3" t="str">
        <f aca="false">LEFT(G7,1)&amp;MID(G7,FIND(" ",G7)+1,1)</f>
        <v>WG</v>
      </c>
    </row>
    <row r="8" customFormat="false" ht="15" hidden="false" customHeight="false" outlineLevel="0" collapsed="false">
      <c r="A8" s="3" t="n">
        <v>7</v>
      </c>
      <c r="B8" s="3" t="s">
        <v>92</v>
      </c>
      <c r="C8" s="4" t="s">
        <v>83</v>
      </c>
      <c r="D8" s="4" t="s">
        <v>64</v>
      </c>
      <c r="E8" s="3" t="s">
        <v>28</v>
      </c>
      <c r="F8" s="3" t="s">
        <v>93</v>
      </c>
      <c r="G8" s="3" t="s">
        <v>94</v>
      </c>
      <c r="H8" s="3" t="s">
        <v>56</v>
      </c>
      <c r="I8" s="3" t="s">
        <v>32</v>
      </c>
      <c r="J8" s="3" t="s">
        <v>95</v>
      </c>
      <c r="K8" s="3" t="s">
        <v>96</v>
      </c>
      <c r="L8" s="3" t="s">
        <v>59</v>
      </c>
      <c r="M8" s="3" t="s">
        <v>97</v>
      </c>
      <c r="N8" s="3" t="s">
        <v>89</v>
      </c>
      <c r="O8" s="3" t="s">
        <v>90</v>
      </c>
      <c r="P8" s="3" t="s">
        <v>98</v>
      </c>
      <c r="Q8" s="5" t="n">
        <v>718.22</v>
      </c>
      <c r="R8" s="3" t="n">
        <v>5</v>
      </c>
      <c r="S8" s="6" t="n">
        <v>0</v>
      </c>
      <c r="T8" s="5" t="n">
        <v>-95.88</v>
      </c>
      <c r="U8" s="3" t="str">
        <f aca="false">IF(T8&lt;0,"Loss",IF(T8=0,"Break-even","Profit"))</f>
        <v>Loss</v>
      </c>
      <c r="V8" s="3" t="str">
        <f aca="false">IF(Q8&lt;100,"Low",IF(Q8&lt;=500,"Medium","High"))</f>
        <v>High</v>
      </c>
      <c r="W8" s="3" t="n">
        <f aca="false">D8-C8</f>
        <v>3</v>
      </c>
      <c r="X8" s="3" t="str">
        <f aca="false">TEXT(C8,"mmmm")</f>
        <v>January</v>
      </c>
      <c r="Y8" s="3" t="str">
        <f aca="false">LEFT(G8,1)&amp;MID(G8,FIND(" ",G8)+1,1)</f>
        <v>ES</v>
      </c>
    </row>
    <row r="9" customFormat="false" ht="15" hidden="false" customHeight="false" outlineLevel="0" collapsed="false">
      <c r="A9" s="3" t="n">
        <v>8</v>
      </c>
      <c r="B9" s="3" t="s">
        <v>99</v>
      </c>
      <c r="C9" s="4" t="s">
        <v>100</v>
      </c>
      <c r="D9" s="4" t="s">
        <v>101</v>
      </c>
      <c r="E9" s="3" t="s">
        <v>28</v>
      </c>
      <c r="F9" s="3" t="s">
        <v>102</v>
      </c>
      <c r="G9" s="3" t="s">
        <v>103</v>
      </c>
      <c r="H9" s="3" t="s">
        <v>56</v>
      </c>
      <c r="I9" s="3" t="s">
        <v>32</v>
      </c>
      <c r="J9" s="3" t="s">
        <v>104</v>
      </c>
      <c r="K9" s="3" t="s">
        <v>96</v>
      </c>
      <c r="L9" s="3" t="s">
        <v>59</v>
      </c>
      <c r="M9" s="3" t="s">
        <v>105</v>
      </c>
      <c r="N9" s="3" t="s">
        <v>49</v>
      </c>
      <c r="O9" s="3" t="s">
        <v>106</v>
      </c>
      <c r="P9" s="3" t="s">
        <v>107</v>
      </c>
      <c r="Q9" s="5" t="n">
        <v>553.56</v>
      </c>
      <c r="R9" s="3" t="n">
        <v>6</v>
      </c>
      <c r="S9" s="6" t="n">
        <v>0</v>
      </c>
      <c r="T9" s="5" t="n">
        <v>117.5</v>
      </c>
      <c r="U9" s="3" t="str">
        <f aca="false">IF(T9&lt;0,"Loss",IF(T9=0,"Break-even","Profit"))</f>
        <v>Profit</v>
      </c>
      <c r="V9" s="3" t="str">
        <f aca="false">IF(Q9&lt;100,"Low",IF(Q9&lt;=500,"Medium","High"))</f>
        <v>High</v>
      </c>
      <c r="W9" s="3" t="n">
        <f aca="false">D9-C9</f>
        <v>6</v>
      </c>
      <c r="X9" s="3" t="str">
        <f aca="false">TEXT(C9,"mmmm")</f>
        <v>January</v>
      </c>
      <c r="Y9" s="3" t="str">
        <f aca="false">LEFT(G9,1)&amp;MID(G9,FIND(" ",G9)+1,1)</f>
        <v>LA</v>
      </c>
    </row>
    <row r="10" customFormat="false" ht="15" hidden="false" customHeight="false" outlineLevel="0" collapsed="false">
      <c r="A10" s="3" t="n">
        <v>9</v>
      </c>
      <c r="B10" s="3" t="s">
        <v>108</v>
      </c>
      <c r="C10" s="4" t="s">
        <v>100</v>
      </c>
      <c r="D10" s="4" t="s">
        <v>109</v>
      </c>
      <c r="E10" s="3" t="s">
        <v>28</v>
      </c>
      <c r="F10" s="3" t="s">
        <v>110</v>
      </c>
      <c r="G10" s="3" t="s">
        <v>111</v>
      </c>
      <c r="H10" s="3" t="s">
        <v>56</v>
      </c>
      <c r="I10" s="3" t="s">
        <v>32</v>
      </c>
      <c r="J10" s="3" t="s">
        <v>112</v>
      </c>
      <c r="K10" s="3" t="s">
        <v>113</v>
      </c>
      <c r="L10" s="3" t="s">
        <v>69</v>
      </c>
      <c r="M10" s="3" t="s">
        <v>114</v>
      </c>
      <c r="N10" s="3" t="s">
        <v>49</v>
      </c>
      <c r="O10" s="3" t="s">
        <v>61</v>
      </c>
      <c r="P10" s="3" t="s">
        <v>115</v>
      </c>
      <c r="Q10" s="5" t="n">
        <v>44.62</v>
      </c>
      <c r="R10" s="3" t="n">
        <v>1</v>
      </c>
      <c r="S10" s="6" t="n">
        <v>0.5</v>
      </c>
      <c r="T10" s="5" t="n">
        <v>7.98</v>
      </c>
      <c r="U10" s="3" t="str">
        <f aca="false">IF(T10&lt;0,"Loss",IF(T10=0,"Break-even","Profit"))</f>
        <v>Profit</v>
      </c>
      <c r="V10" s="3" t="str">
        <f aca="false">IF(Q10&lt;100,"Low",IF(Q10&lt;=500,"Medium","High"))</f>
        <v>Low</v>
      </c>
      <c r="W10" s="3" t="n">
        <f aca="false">D10-C10</f>
        <v>5</v>
      </c>
      <c r="X10" s="3" t="str">
        <f aca="false">TEXT(C10,"mmmm")</f>
        <v>January</v>
      </c>
      <c r="Y10" s="3" t="str">
        <f aca="false">LEFT(G10,1)&amp;MID(G10,FIND(" ",G10)+1,1)</f>
        <v>CJ</v>
      </c>
    </row>
    <row r="11" customFormat="false" ht="15" hidden="false" customHeight="false" outlineLevel="0" collapsed="false">
      <c r="A11" s="3" t="n">
        <v>10</v>
      </c>
      <c r="B11" s="3" t="s">
        <v>116</v>
      </c>
      <c r="C11" s="4" t="s">
        <v>100</v>
      </c>
      <c r="D11" s="4" t="s">
        <v>117</v>
      </c>
      <c r="E11" s="3" t="s">
        <v>28</v>
      </c>
      <c r="F11" s="3" t="s">
        <v>118</v>
      </c>
      <c r="G11" s="3" t="s">
        <v>119</v>
      </c>
      <c r="H11" s="3" t="s">
        <v>45</v>
      </c>
      <c r="I11" s="3" t="s">
        <v>32</v>
      </c>
      <c r="J11" s="3" t="s">
        <v>120</v>
      </c>
      <c r="K11" s="3" t="s">
        <v>113</v>
      </c>
      <c r="L11" s="3" t="s">
        <v>69</v>
      </c>
      <c r="M11" s="3" t="s">
        <v>121</v>
      </c>
      <c r="N11" s="3" t="s">
        <v>49</v>
      </c>
      <c r="O11" s="3" t="s">
        <v>50</v>
      </c>
      <c r="P11" s="3" t="s">
        <v>122</v>
      </c>
      <c r="Q11" s="5" t="n">
        <v>834.37</v>
      </c>
      <c r="R11" s="3" t="n">
        <v>8</v>
      </c>
      <c r="S11" s="6" t="n">
        <v>0.3</v>
      </c>
      <c r="T11" s="5" t="n">
        <v>179.41</v>
      </c>
      <c r="U11" s="3" t="str">
        <f aca="false">IF(T11&lt;0,"Loss",IF(T11=0,"Break-even","Profit"))</f>
        <v>Profit</v>
      </c>
      <c r="V11" s="3" t="str">
        <f aca="false">IF(Q11&lt;100,"Low",IF(Q11&lt;=500,"Medium","High"))</f>
        <v>High</v>
      </c>
      <c r="W11" s="3" t="n">
        <f aca="false">D11-C11</f>
        <v>7</v>
      </c>
      <c r="X11" s="3" t="str">
        <f aca="false">TEXT(C11,"mmmm")</f>
        <v>January</v>
      </c>
      <c r="Y11" s="3" t="str">
        <f aca="false">LEFT(G11,1)&amp;MID(G11,FIND(" ",G11)+1,1)</f>
        <v>LN</v>
      </c>
    </row>
    <row r="12" customFormat="false" ht="15" hidden="false" customHeight="false" outlineLevel="0" collapsed="false">
      <c r="A12" s="3" t="n">
        <v>11</v>
      </c>
      <c r="B12" s="3" t="s">
        <v>123</v>
      </c>
      <c r="C12" s="4" t="s">
        <v>64</v>
      </c>
      <c r="D12" s="4" t="s">
        <v>124</v>
      </c>
      <c r="E12" s="3" t="s">
        <v>42</v>
      </c>
      <c r="F12" s="3" t="s">
        <v>125</v>
      </c>
      <c r="G12" s="3" t="s">
        <v>126</v>
      </c>
      <c r="H12" s="3" t="s">
        <v>45</v>
      </c>
      <c r="I12" s="3" t="s">
        <v>32</v>
      </c>
      <c r="J12" s="3" t="s">
        <v>77</v>
      </c>
      <c r="K12" s="3" t="s">
        <v>78</v>
      </c>
      <c r="L12" s="3" t="s">
        <v>59</v>
      </c>
      <c r="M12" s="3" t="s">
        <v>127</v>
      </c>
      <c r="N12" s="3" t="s">
        <v>49</v>
      </c>
      <c r="O12" s="3" t="s">
        <v>61</v>
      </c>
      <c r="P12" s="3" t="s">
        <v>128</v>
      </c>
      <c r="Q12" s="5" t="n">
        <v>29.95</v>
      </c>
      <c r="R12" s="3" t="n">
        <v>2</v>
      </c>
      <c r="S12" s="6" t="n">
        <v>0.3</v>
      </c>
      <c r="T12" s="5" t="n">
        <v>1.36</v>
      </c>
      <c r="U12" s="3" t="str">
        <f aca="false">IF(T12&lt;0,"Loss",IF(T12=0,"Break-even","Profit"))</f>
        <v>Profit</v>
      </c>
      <c r="V12" s="3" t="str">
        <f aca="false">IF(Q12&lt;100,"Low",IF(Q12&lt;=500,"Medium","High"))</f>
        <v>Low</v>
      </c>
      <c r="W12" s="3" t="n">
        <f aca="false">D12-C12</f>
        <v>2</v>
      </c>
      <c r="X12" s="3" t="str">
        <f aca="false">TEXT(C12,"mmmm")</f>
        <v>January</v>
      </c>
      <c r="Y12" s="3" t="str">
        <f aca="false">LEFT(G12,1)&amp;MID(G12,FIND(" ",G12)+1,1)</f>
        <v>LM</v>
      </c>
    </row>
    <row r="13" customFormat="false" ht="15" hidden="false" customHeight="false" outlineLevel="0" collapsed="false">
      <c r="A13" s="3" t="n">
        <v>12</v>
      </c>
      <c r="B13" s="3" t="s">
        <v>129</v>
      </c>
      <c r="C13" s="4" t="s">
        <v>124</v>
      </c>
      <c r="D13" s="4" t="s">
        <v>130</v>
      </c>
      <c r="E13" s="3" t="s">
        <v>28</v>
      </c>
      <c r="F13" s="3" t="s">
        <v>131</v>
      </c>
      <c r="G13" s="3" t="s">
        <v>132</v>
      </c>
      <c r="H13" s="3" t="s">
        <v>45</v>
      </c>
      <c r="I13" s="3" t="s">
        <v>32</v>
      </c>
      <c r="J13" s="3" t="s">
        <v>133</v>
      </c>
      <c r="K13" s="3" t="s">
        <v>134</v>
      </c>
      <c r="L13" s="3" t="s">
        <v>69</v>
      </c>
      <c r="M13" s="3" t="s">
        <v>135</v>
      </c>
      <c r="N13" s="3" t="s">
        <v>37</v>
      </c>
      <c r="O13" s="3" t="s">
        <v>136</v>
      </c>
      <c r="P13" s="3" t="s">
        <v>137</v>
      </c>
      <c r="Q13" s="5" t="n">
        <v>2834</v>
      </c>
      <c r="R13" s="3" t="n">
        <v>7</v>
      </c>
      <c r="S13" s="6" t="n">
        <v>0.1</v>
      </c>
      <c r="T13" s="5" t="n">
        <v>-162.16</v>
      </c>
      <c r="U13" s="3" t="str">
        <f aca="false">IF(T13&lt;0,"Loss",IF(T13=0,"Break-even","Profit"))</f>
        <v>Loss</v>
      </c>
      <c r="V13" s="3" t="str">
        <f aca="false">IF(Q13&lt;100,"Low",IF(Q13&lt;=500,"Medium","High"))</f>
        <v>High</v>
      </c>
      <c r="W13" s="3" t="n">
        <f aca="false">D13-C13</f>
        <v>5</v>
      </c>
      <c r="X13" s="3" t="str">
        <f aca="false">TEXT(C13,"mmmm")</f>
        <v>January</v>
      </c>
      <c r="Y13" s="3" t="str">
        <f aca="false">LEFT(G13,1)&amp;MID(G13,FIND(" ",G13)+1,1)</f>
        <v>JM</v>
      </c>
    </row>
    <row r="14" customFormat="false" ht="15" hidden="false" customHeight="false" outlineLevel="0" collapsed="false">
      <c r="A14" s="3" t="n">
        <v>13</v>
      </c>
      <c r="B14" s="3" t="s">
        <v>138</v>
      </c>
      <c r="C14" s="4" t="s">
        <v>124</v>
      </c>
      <c r="D14" s="4" t="s">
        <v>139</v>
      </c>
      <c r="E14" s="3" t="s">
        <v>28</v>
      </c>
      <c r="F14" s="3" t="s">
        <v>140</v>
      </c>
      <c r="G14" s="3" t="s">
        <v>141</v>
      </c>
      <c r="H14" s="3" t="s">
        <v>31</v>
      </c>
      <c r="I14" s="3" t="s">
        <v>32</v>
      </c>
      <c r="J14" s="3" t="s">
        <v>77</v>
      </c>
      <c r="K14" s="3" t="s">
        <v>78</v>
      </c>
      <c r="L14" s="3" t="s">
        <v>59</v>
      </c>
      <c r="M14" s="3" t="s">
        <v>142</v>
      </c>
      <c r="N14" s="3" t="s">
        <v>49</v>
      </c>
      <c r="O14" s="3" t="s">
        <v>143</v>
      </c>
      <c r="P14" s="3" t="s">
        <v>144</v>
      </c>
      <c r="Q14" s="5" t="n">
        <v>217.73</v>
      </c>
      <c r="R14" s="3" t="n">
        <v>8</v>
      </c>
      <c r="S14" s="6" t="n">
        <v>0.4</v>
      </c>
      <c r="T14" s="5" t="n">
        <v>-32.88</v>
      </c>
      <c r="U14" s="3" t="str">
        <f aca="false">IF(T14&lt;0,"Loss",IF(T14=0,"Break-even","Profit"))</f>
        <v>Loss</v>
      </c>
      <c r="V14" s="3" t="str">
        <f aca="false">IF(Q14&lt;100,"Low",IF(Q14&lt;=500,"Medium","High"))</f>
        <v>Medium</v>
      </c>
      <c r="W14" s="3" t="n">
        <f aca="false">D14-C14</f>
        <v>7</v>
      </c>
      <c r="X14" s="3" t="str">
        <f aca="false">TEXT(C14,"mmmm")</f>
        <v>January</v>
      </c>
      <c r="Y14" s="3" t="str">
        <f aca="false">LEFT(G14,1)&amp;MID(G14,FIND(" ",G14)+1,1)</f>
        <v>MW</v>
      </c>
    </row>
    <row r="15" customFormat="false" ht="15" hidden="false" customHeight="false" outlineLevel="0" collapsed="false">
      <c r="A15" s="3" t="n">
        <v>14</v>
      </c>
      <c r="B15" s="3" t="s">
        <v>145</v>
      </c>
      <c r="C15" s="4" t="s">
        <v>109</v>
      </c>
      <c r="D15" s="4" t="s">
        <v>117</v>
      </c>
      <c r="E15" s="3" t="s">
        <v>84</v>
      </c>
      <c r="F15" s="3" t="s">
        <v>146</v>
      </c>
      <c r="G15" s="3" t="s">
        <v>147</v>
      </c>
      <c r="H15" s="3" t="s">
        <v>31</v>
      </c>
      <c r="I15" s="3" t="s">
        <v>32</v>
      </c>
      <c r="J15" s="3" t="s">
        <v>148</v>
      </c>
      <c r="K15" s="3" t="s">
        <v>78</v>
      </c>
      <c r="L15" s="3" t="s">
        <v>59</v>
      </c>
      <c r="M15" s="3" t="s">
        <v>149</v>
      </c>
      <c r="N15" s="3" t="s">
        <v>49</v>
      </c>
      <c r="O15" s="3" t="s">
        <v>150</v>
      </c>
      <c r="P15" s="3" t="s">
        <v>151</v>
      </c>
      <c r="Q15" s="5" t="n">
        <v>1093.18</v>
      </c>
      <c r="R15" s="3" t="n">
        <v>11</v>
      </c>
      <c r="S15" s="6" t="n">
        <v>0</v>
      </c>
      <c r="T15" s="5" t="n">
        <v>155.19</v>
      </c>
      <c r="U15" s="3" t="str">
        <f aca="false">IF(T15&lt;0,"Loss",IF(T15=0,"Break-even","Profit"))</f>
        <v>Profit</v>
      </c>
      <c r="V15" s="3" t="str">
        <f aca="false">IF(Q15&lt;100,"Low",IF(Q15&lt;=500,"Medium","High"))</f>
        <v>High</v>
      </c>
      <c r="W15" s="3" t="n">
        <f aca="false">D15-C15</f>
        <v>2</v>
      </c>
      <c r="X15" s="3" t="str">
        <f aca="false">TEXT(C15,"mmmm")</f>
        <v>January</v>
      </c>
      <c r="Y15" s="3" t="str">
        <f aca="false">LEFT(G15,1)&amp;MID(G15,FIND(" ",G15)+1,1)</f>
        <v>DB</v>
      </c>
    </row>
    <row r="16" customFormat="false" ht="15" hidden="false" customHeight="false" outlineLevel="0" collapsed="false">
      <c r="A16" s="3" t="n">
        <v>15</v>
      </c>
      <c r="B16" s="3" t="s">
        <v>152</v>
      </c>
      <c r="C16" s="4" t="s">
        <v>109</v>
      </c>
      <c r="D16" s="4" t="s">
        <v>130</v>
      </c>
      <c r="E16" s="3" t="s">
        <v>28</v>
      </c>
      <c r="F16" s="3" t="s">
        <v>153</v>
      </c>
      <c r="G16" s="3" t="s">
        <v>154</v>
      </c>
      <c r="H16" s="3" t="s">
        <v>45</v>
      </c>
      <c r="I16" s="3" t="s">
        <v>32</v>
      </c>
      <c r="J16" s="3" t="s">
        <v>155</v>
      </c>
      <c r="K16" s="3" t="s">
        <v>156</v>
      </c>
      <c r="L16" s="3" t="s">
        <v>157</v>
      </c>
      <c r="M16" s="3" t="s">
        <v>158</v>
      </c>
      <c r="N16" s="3" t="s">
        <v>49</v>
      </c>
      <c r="O16" s="3" t="s">
        <v>159</v>
      </c>
      <c r="P16" s="3" t="s">
        <v>160</v>
      </c>
      <c r="Q16" s="5" t="n">
        <v>253.73</v>
      </c>
      <c r="R16" s="3" t="n">
        <v>4</v>
      </c>
      <c r="S16" s="6" t="n">
        <v>0</v>
      </c>
      <c r="T16" s="5" t="n">
        <v>19.24</v>
      </c>
      <c r="U16" s="3" t="str">
        <f aca="false">IF(T16&lt;0,"Loss",IF(T16=0,"Break-even","Profit"))</f>
        <v>Profit</v>
      </c>
      <c r="V16" s="3" t="str">
        <f aca="false">IF(Q16&lt;100,"Low",IF(Q16&lt;=500,"Medium","High"))</f>
        <v>Medium</v>
      </c>
      <c r="W16" s="3" t="n">
        <f aca="false">D16-C16</f>
        <v>4</v>
      </c>
      <c r="X16" s="3" t="str">
        <f aca="false">TEXT(C16,"mmmm")</f>
        <v>January</v>
      </c>
      <c r="Y16" s="3" t="str">
        <f aca="false">LEFT(G16,1)&amp;MID(G16,FIND(" ",G16)+1,1)</f>
        <v>SK</v>
      </c>
    </row>
    <row r="17" customFormat="false" ht="15" hidden="false" customHeight="false" outlineLevel="0" collapsed="false">
      <c r="A17" s="3" t="n">
        <v>16</v>
      </c>
      <c r="B17" s="3" t="s">
        <v>161</v>
      </c>
      <c r="C17" s="4" t="s">
        <v>109</v>
      </c>
      <c r="D17" s="4" t="s">
        <v>162</v>
      </c>
      <c r="E17" s="3" t="s">
        <v>28</v>
      </c>
      <c r="F17" s="3" t="s">
        <v>163</v>
      </c>
      <c r="G17" s="3" t="s">
        <v>164</v>
      </c>
      <c r="H17" s="3" t="s">
        <v>56</v>
      </c>
      <c r="I17" s="3" t="s">
        <v>32</v>
      </c>
      <c r="J17" s="3" t="s">
        <v>104</v>
      </c>
      <c r="K17" s="3" t="s">
        <v>96</v>
      </c>
      <c r="L17" s="3" t="s">
        <v>59</v>
      </c>
      <c r="M17" s="3" t="s">
        <v>165</v>
      </c>
      <c r="N17" s="3" t="s">
        <v>89</v>
      </c>
      <c r="O17" s="3" t="s">
        <v>166</v>
      </c>
      <c r="P17" s="3" t="s">
        <v>167</v>
      </c>
      <c r="Q17" s="5" t="n">
        <v>1346.65</v>
      </c>
      <c r="R17" s="3" t="n">
        <v>4</v>
      </c>
      <c r="S17" s="6" t="n">
        <v>0</v>
      </c>
      <c r="T17" s="5" t="n">
        <v>399.83</v>
      </c>
      <c r="U17" s="3" t="str">
        <f aca="false">IF(T17&lt;0,"Loss",IF(T17=0,"Break-even","Profit"))</f>
        <v>Profit</v>
      </c>
      <c r="V17" s="3" t="str">
        <f aca="false">IF(Q17&lt;100,"Low",IF(Q17&lt;=500,"Medium","High"))</f>
        <v>High</v>
      </c>
      <c r="W17" s="3" t="n">
        <f aca="false">D17-C17</f>
        <v>3</v>
      </c>
      <c r="X17" s="3" t="str">
        <f aca="false">TEXT(C17,"mmmm")</f>
        <v>January</v>
      </c>
      <c r="Y17" s="3" t="str">
        <f aca="false">LEFT(G17,1)&amp;MID(G17,FIND(" ",G17)+1,1)</f>
        <v>PA</v>
      </c>
    </row>
    <row r="18" customFormat="false" ht="15" hidden="false" customHeight="false" outlineLevel="0" collapsed="false">
      <c r="A18" s="3" t="n">
        <v>17</v>
      </c>
      <c r="B18" s="3" t="s">
        <v>168</v>
      </c>
      <c r="C18" s="4" t="s">
        <v>101</v>
      </c>
      <c r="D18" s="4" t="s">
        <v>117</v>
      </c>
      <c r="E18" s="3" t="s">
        <v>42</v>
      </c>
      <c r="F18" s="3" t="s">
        <v>169</v>
      </c>
      <c r="G18" s="3" t="s">
        <v>170</v>
      </c>
      <c r="H18" s="3" t="s">
        <v>45</v>
      </c>
      <c r="I18" s="3" t="s">
        <v>32</v>
      </c>
      <c r="J18" s="3" t="s">
        <v>171</v>
      </c>
      <c r="K18" s="3" t="s">
        <v>172</v>
      </c>
      <c r="L18" s="3" t="s">
        <v>157</v>
      </c>
      <c r="M18" s="3" t="s">
        <v>173</v>
      </c>
      <c r="N18" s="3" t="s">
        <v>89</v>
      </c>
      <c r="O18" s="3" t="s">
        <v>174</v>
      </c>
      <c r="P18" s="3" t="s">
        <v>175</v>
      </c>
      <c r="Q18" s="5" t="n">
        <v>4249.78</v>
      </c>
      <c r="R18" s="3" t="n">
        <v>14</v>
      </c>
      <c r="S18" s="6" t="n">
        <v>0.1</v>
      </c>
      <c r="T18" s="5" t="n">
        <v>183.05</v>
      </c>
      <c r="U18" s="3" t="str">
        <f aca="false">IF(T18&lt;0,"Loss",IF(T18=0,"Break-even","Profit"))</f>
        <v>Profit</v>
      </c>
      <c r="V18" s="3" t="str">
        <f aca="false">IF(Q18&lt;100,"Low",IF(Q18&lt;=500,"Medium","High"))</f>
        <v>High</v>
      </c>
      <c r="W18" s="3" t="n">
        <f aca="false">D18-C18</f>
        <v>1</v>
      </c>
      <c r="X18" s="3" t="str">
        <f aca="false">TEXT(C18,"mmmm")</f>
        <v>January</v>
      </c>
      <c r="Y18" s="3" t="str">
        <f aca="false">LEFT(G18,1)&amp;MID(G18,FIND(" ",G18)+1,1)</f>
        <v>PK</v>
      </c>
    </row>
    <row r="19" customFormat="false" ht="15" hidden="false" customHeight="false" outlineLevel="0" collapsed="false">
      <c r="A19" s="3" t="n">
        <v>18</v>
      </c>
      <c r="B19" s="3" t="s">
        <v>176</v>
      </c>
      <c r="C19" s="4" t="s">
        <v>101</v>
      </c>
      <c r="D19" s="4" t="s">
        <v>130</v>
      </c>
      <c r="E19" s="3" t="s">
        <v>28</v>
      </c>
      <c r="F19" s="3" t="s">
        <v>177</v>
      </c>
      <c r="G19" s="3" t="s">
        <v>178</v>
      </c>
      <c r="H19" s="3" t="s">
        <v>31</v>
      </c>
      <c r="I19" s="3" t="s">
        <v>32</v>
      </c>
      <c r="J19" s="3" t="s">
        <v>179</v>
      </c>
      <c r="K19" s="3" t="s">
        <v>47</v>
      </c>
      <c r="L19" s="3" t="s">
        <v>35</v>
      </c>
      <c r="M19" s="3" t="s">
        <v>105</v>
      </c>
      <c r="N19" s="3" t="s">
        <v>49</v>
      </c>
      <c r="O19" s="3" t="s">
        <v>106</v>
      </c>
      <c r="P19" s="3" t="s">
        <v>107</v>
      </c>
      <c r="Q19" s="5" t="n">
        <v>250.53</v>
      </c>
      <c r="R19" s="3" t="n">
        <v>8</v>
      </c>
      <c r="S19" s="6" t="n">
        <v>0.1</v>
      </c>
      <c r="T19" s="5" t="n">
        <v>-32.16</v>
      </c>
      <c r="U19" s="3" t="str">
        <f aca="false">IF(T19&lt;0,"Loss",IF(T19=0,"Break-even","Profit"))</f>
        <v>Loss</v>
      </c>
      <c r="V19" s="3" t="str">
        <f aca="false">IF(Q19&lt;100,"Low",IF(Q19&lt;=500,"Medium","High"))</f>
        <v>Medium</v>
      </c>
      <c r="W19" s="3" t="n">
        <f aca="false">D19-C19</f>
        <v>3</v>
      </c>
      <c r="X19" s="3" t="str">
        <f aca="false">TEXT(C19,"mmmm")</f>
        <v>January</v>
      </c>
      <c r="Y19" s="3" t="str">
        <f aca="false">LEFT(G19,1)&amp;MID(G19,FIND(" ",G19)+1,1)</f>
        <v>RB</v>
      </c>
    </row>
    <row r="20" customFormat="false" ht="15" hidden="false" customHeight="false" outlineLevel="0" collapsed="false">
      <c r="A20" s="3" t="n">
        <v>19</v>
      </c>
      <c r="B20" s="3" t="s">
        <v>180</v>
      </c>
      <c r="C20" s="4" t="s">
        <v>162</v>
      </c>
      <c r="D20" s="4" t="s">
        <v>181</v>
      </c>
      <c r="E20" s="3" t="s">
        <v>28</v>
      </c>
      <c r="F20" s="3" t="s">
        <v>182</v>
      </c>
      <c r="G20" s="3" t="s">
        <v>183</v>
      </c>
      <c r="H20" s="3" t="s">
        <v>31</v>
      </c>
      <c r="I20" s="3" t="s">
        <v>32</v>
      </c>
      <c r="J20" s="3" t="s">
        <v>77</v>
      </c>
      <c r="K20" s="3" t="s">
        <v>78</v>
      </c>
      <c r="L20" s="3" t="s">
        <v>59</v>
      </c>
      <c r="M20" s="3" t="s">
        <v>149</v>
      </c>
      <c r="N20" s="3" t="s">
        <v>49</v>
      </c>
      <c r="O20" s="3" t="s">
        <v>150</v>
      </c>
      <c r="P20" s="3" t="s">
        <v>151</v>
      </c>
      <c r="Q20" s="5" t="n">
        <v>82.99</v>
      </c>
      <c r="R20" s="3" t="n">
        <v>1</v>
      </c>
      <c r="S20" s="6" t="n">
        <v>0</v>
      </c>
      <c r="T20" s="5" t="n">
        <v>-6</v>
      </c>
      <c r="U20" s="3" t="str">
        <f aca="false">IF(T20&lt;0,"Loss",IF(T20=0,"Break-even","Profit"))</f>
        <v>Loss</v>
      </c>
      <c r="V20" s="3" t="str">
        <f aca="false">IF(Q20&lt;100,"Low",IF(Q20&lt;=500,"Medium","High"))</f>
        <v>Low</v>
      </c>
      <c r="W20" s="3" t="n">
        <f aca="false">D20-C20</f>
        <v>7</v>
      </c>
      <c r="X20" s="3" t="str">
        <f aca="false">TEXT(C20,"mmmm")</f>
        <v>January</v>
      </c>
      <c r="Y20" s="3" t="str">
        <f aca="false">LEFT(G20,1)&amp;MID(G20,FIND(" ",G20)+1,1)</f>
        <v>CN</v>
      </c>
    </row>
    <row r="21" customFormat="false" ht="15" hidden="false" customHeight="false" outlineLevel="0" collapsed="false">
      <c r="A21" s="3" t="n">
        <v>20</v>
      </c>
      <c r="B21" s="3" t="s">
        <v>184</v>
      </c>
      <c r="C21" s="4" t="s">
        <v>162</v>
      </c>
      <c r="D21" s="4" t="s">
        <v>185</v>
      </c>
      <c r="E21" s="3" t="s">
        <v>28</v>
      </c>
      <c r="F21" s="3" t="s">
        <v>186</v>
      </c>
      <c r="G21" s="3" t="s">
        <v>187</v>
      </c>
      <c r="H21" s="3" t="s">
        <v>45</v>
      </c>
      <c r="I21" s="3" t="s">
        <v>32</v>
      </c>
      <c r="J21" s="3" t="s">
        <v>188</v>
      </c>
      <c r="K21" s="3" t="s">
        <v>189</v>
      </c>
      <c r="L21" s="3" t="s">
        <v>59</v>
      </c>
      <c r="M21" s="3" t="s">
        <v>190</v>
      </c>
      <c r="N21" s="3" t="s">
        <v>49</v>
      </c>
      <c r="O21" s="3" t="s">
        <v>150</v>
      </c>
      <c r="P21" s="3" t="s">
        <v>191</v>
      </c>
      <c r="Q21" s="5" t="n">
        <v>570.54</v>
      </c>
      <c r="R21" s="3" t="n">
        <v>7</v>
      </c>
      <c r="S21" s="6" t="n">
        <v>0</v>
      </c>
      <c r="T21" s="5" t="n">
        <v>5.12</v>
      </c>
      <c r="U21" s="3" t="str">
        <f aca="false">IF(T21&lt;0,"Loss",IF(T21=0,"Break-even","Profit"))</f>
        <v>Profit</v>
      </c>
      <c r="V21" s="3" t="str">
        <f aca="false">IF(Q21&lt;100,"Low",IF(Q21&lt;=500,"Medium","High"))</f>
        <v>High</v>
      </c>
      <c r="W21" s="3" t="n">
        <f aca="false">D21-C21</f>
        <v>4</v>
      </c>
      <c r="X21" s="3" t="str">
        <f aca="false">TEXT(C21,"mmmm")</f>
        <v>January</v>
      </c>
      <c r="Y21" s="3" t="str">
        <f aca="false">LEFT(G21,1)&amp;MID(G21,FIND(" ",G21)+1,1)</f>
        <v>PW</v>
      </c>
    </row>
    <row r="22" customFormat="false" ht="15" hidden="false" customHeight="false" outlineLevel="0" collapsed="false">
      <c r="A22" s="3" t="n">
        <v>21</v>
      </c>
      <c r="B22" s="3" t="s">
        <v>192</v>
      </c>
      <c r="C22" s="4" t="s">
        <v>130</v>
      </c>
      <c r="D22" s="4" t="s">
        <v>185</v>
      </c>
      <c r="E22" s="3" t="s">
        <v>28</v>
      </c>
      <c r="F22" s="3" t="s">
        <v>193</v>
      </c>
      <c r="G22" s="3" t="s">
        <v>194</v>
      </c>
      <c r="H22" s="3" t="s">
        <v>56</v>
      </c>
      <c r="I22" s="3" t="s">
        <v>32</v>
      </c>
      <c r="J22" s="3" t="s">
        <v>188</v>
      </c>
      <c r="K22" s="3" t="s">
        <v>189</v>
      </c>
      <c r="L22" s="3" t="s">
        <v>59</v>
      </c>
      <c r="M22" s="3" t="s">
        <v>195</v>
      </c>
      <c r="N22" s="3" t="s">
        <v>37</v>
      </c>
      <c r="O22" s="3" t="s">
        <v>196</v>
      </c>
      <c r="P22" s="3" t="s">
        <v>197</v>
      </c>
      <c r="Q22" s="5" t="n">
        <v>3141.04</v>
      </c>
      <c r="R22" s="3" t="n">
        <v>13</v>
      </c>
      <c r="S22" s="6" t="n">
        <v>0.2</v>
      </c>
      <c r="T22" s="5" t="n">
        <v>318.77</v>
      </c>
      <c r="U22" s="3" t="str">
        <f aca="false">IF(T22&lt;0,"Loss",IF(T22=0,"Break-even","Profit"))</f>
        <v>Profit</v>
      </c>
      <c r="V22" s="3" t="str">
        <f aca="false">IF(Q22&lt;100,"Low",IF(Q22&lt;=500,"Medium","High"))</f>
        <v>High</v>
      </c>
      <c r="W22" s="3" t="n">
        <f aca="false">D22-C22</f>
        <v>3</v>
      </c>
      <c r="X22" s="3" t="str">
        <f aca="false">TEXT(C22,"mmmm")</f>
        <v>January</v>
      </c>
      <c r="Y22" s="3" t="str">
        <f aca="false">LEFT(G22,1)&amp;MID(G22,FIND(" ",G22)+1,1)</f>
        <v>PB</v>
      </c>
    </row>
    <row r="23" customFormat="false" ht="15" hidden="false" customHeight="false" outlineLevel="0" collapsed="false">
      <c r="A23" s="3" t="n">
        <v>22</v>
      </c>
      <c r="B23" s="3" t="s">
        <v>198</v>
      </c>
      <c r="C23" s="4" t="s">
        <v>130</v>
      </c>
      <c r="D23" s="4" t="s">
        <v>130</v>
      </c>
      <c r="E23" s="3" t="s">
        <v>53</v>
      </c>
      <c r="F23" s="3" t="s">
        <v>199</v>
      </c>
      <c r="G23" s="3" t="s">
        <v>200</v>
      </c>
      <c r="H23" s="3" t="s">
        <v>45</v>
      </c>
      <c r="I23" s="3" t="s">
        <v>32</v>
      </c>
      <c r="J23" s="3" t="s">
        <v>201</v>
      </c>
      <c r="K23" s="3" t="s">
        <v>202</v>
      </c>
      <c r="L23" s="3" t="s">
        <v>35</v>
      </c>
      <c r="M23" s="3" t="s">
        <v>158</v>
      </c>
      <c r="N23" s="3" t="s">
        <v>49</v>
      </c>
      <c r="O23" s="3" t="s">
        <v>159</v>
      </c>
      <c r="P23" s="3" t="s">
        <v>160</v>
      </c>
      <c r="Q23" s="5" t="n">
        <v>348.53</v>
      </c>
      <c r="R23" s="3" t="n">
        <v>4</v>
      </c>
      <c r="S23" s="6" t="n">
        <v>0.4</v>
      </c>
      <c r="T23" s="5" t="n">
        <v>-103.53</v>
      </c>
      <c r="U23" s="3" t="str">
        <f aca="false">IF(T23&lt;0,"Loss",IF(T23=0,"Break-even","Profit"))</f>
        <v>Loss</v>
      </c>
      <c r="V23" s="3" t="str">
        <f aca="false">IF(Q23&lt;100,"Low",IF(Q23&lt;=500,"Medium","High"))</f>
        <v>Medium</v>
      </c>
      <c r="W23" s="3" t="n">
        <f aca="false">D23-C23</f>
        <v>0</v>
      </c>
      <c r="X23" s="3" t="str">
        <f aca="false">TEXT(C23,"mmmm")</f>
        <v>January</v>
      </c>
      <c r="Y23" s="3" t="str">
        <f aca="false">LEFT(G23,1)&amp;MID(G23,FIND(" ",G23)+1,1)</f>
        <v>MK</v>
      </c>
    </row>
    <row r="24" customFormat="false" ht="15" hidden="false" customHeight="false" outlineLevel="0" collapsed="false">
      <c r="A24" s="3" t="n">
        <v>23</v>
      </c>
      <c r="B24" s="3" t="s">
        <v>203</v>
      </c>
      <c r="C24" s="4" t="s">
        <v>204</v>
      </c>
      <c r="D24" s="4" t="s">
        <v>205</v>
      </c>
      <c r="E24" s="3" t="s">
        <v>28</v>
      </c>
      <c r="F24" s="3" t="s">
        <v>206</v>
      </c>
      <c r="G24" s="3" t="s">
        <v>207</v>
      </c>
      <c r="H24" s="3" t="s">
        <v>56</v>
      </c>
      <c r="I24" s="3" t="s">
        <v>32</v>
      </c>
      <c r="J24" s="3" t="s">
        <v>208</v>
      </c>
      <c r="K24" s="3" t="s">
        <v>134</v>
      </c>
      <c r="L24" s="3" t="s">
        <v>69</v>
      </c>
      <c r="M24" s="3" t="s">
        <v>209</v>
      </c>
      <c r="N24" s="3" t="s">
        <v>49</v>
      </c>
      <c r="O24" s="3" t="s">
        <v>106</v>
      </c>
      <c r="P24" s="3" t="s">
        <v>210</v>
      </c>
      <c r="Q24" s="5" t="n">
        <v>458.65</v>
      </c>
      <c r="R24" s="3" t="n">
        <v>12</v>
      </c>
      <c r="S24" s="6" t="n">
        <v>0</v>
      </c>
      <c r="T24" s="5" t="n">
        <v>63.73</v>
      </c>
      <c r="U24" s="3" t="str">
        <f aca="false">IF(T24&lt;0,"Loss",IF(T24=0,"Break-even","Profit"))</f>
        <v>Profit</v>
      </c>
      <c r="V24" s="3" t="str">
        <f aca="false">IF(Q24&lt;100,"Low",IF(Q24&lt;=500,"Medium","High"))</f>
        <v>Medium</v>
      </c>
      <c r="W24" s="3" t="n">
        <f aca="false">D24-C24</f>
        <v>3</v>
      </c>
      <c r="X24" s="3" t="str">
        <f aca="false">TEXT(C24,"mmmm")</f>
        <v>January</v>
      </c>
      <c r="Y24" s="3" t="str">
        <f aca="false">LEFT(G24,1)&amp;MID(G24,FIND(" ",G24)+1,1)</f>
        <v>DJ</v>
      </c>
    </row>
    <row r="25" customFormat="false" ht="15" hidden="false" customHeight="false" outlineLevel="0" collapsed="false">
      <c r="A25" s="3" t="n">
        <v>24</v>
      </c>
      <c r="B25" s="3" t="s">
        <v>211</v>
      </c>
      <c r="C25" s="4" t="s">
        <v>204</v>
      </c>
      <c r="D25" s="4" t="s">
        <v>212</v>
      </c>
      <c r="E25" s="3" t="s">
        <v>28</v>
      </c>
      <c r="F25" s="3" t="s">
        <v>213</v>
      </c>
      <c r="G25" s="3" t="s">
        <v>214</v>
      </c>
      <c r="H25" s="3" t="s">
        <v>56</v>
      </c>
      <c r="I25" s="3" t="s">
        <v>32</v>
      </c>
      <c r="J25" s="3" t="s">
        <v>215</v>
      </c>
      <c r="K25" s="3" t="s">
        <v>34</v>
      </c>
      <c r="L25" s="3" t="s">
        <v>35</v>
      </c>
      <c r="M25" s="3" t="s">
        <v>114</v>
      </c>
      <c r="N25" s="3" t="s">
        <v>49</v>
      </c>
      <c r="O25" s="3" t="s">
        <v>61</v>
      </c>
      <c r="P25" s="3" t="s">
        <v>115</v>
      </c>
      <c r="Q25" s="5" t="n">
        <v>1114.82</v>
      </c>
      <c r="R25" s="3" t="n">
        <v>12</v>
      </c>
      <c r="S25" s="6" t="n">
        <v>0.2</v>
      </c>
      <c r="T25" s="5" t="n">
        <v>218.47</v>
      </c>
      <c r="U25" s="3" t="str">
        <f aca="false">IF(T25&lt;0,"Loss",IF(T25=0,"Break-even","Profit"))</f>
        <v>Profit</v>
      </c>
      <c r="V25" s="3" t="str">
        <f aca="false">IF(Q25&lt;100,"Low",IF(Q25&lt;=500,"Medium","High"))</f>
        <v>High</v>
      </c>
      <c r="W25" s="3" t="n">
        <f aca="false">D25-C25</f>
        <v>6</v>
      </c>
      <c r="X25" s="3" t="str">
        <f aca="false">TEXT(C25,"mmmm")</f>
        <v>January</v>
      </c>
      <c r="Y25" s="3" t="str">
        <f aca="false">LEFT(G25,1)&amp;MID(G25,FIND(" ",G25)+1,1)</f>
        <v>PR</v>
      </c>
    </row>
    <row r="26" customFormat="false" ht="15" hidden="false" customHeight="false" outlineLevel="0" collapsed="false">
      <c r="A26" s="3" t="n">
        <v>25</v>
      </c>
      <c r="B26" s="3" t="s">
        <v>216</v>
      </c>
      <c r="C26" s="4" t="s">
        <v>204</v>
      </c>
      <c r="D26" s="4" t="s">
        <v>185</v>
      </c>
      <c r="E26" s="3" t="s">
        <v>84</v>
      </c>
      <c r="F26" s="3" t="s">
        <v>217</v>
      </c>
      <c r="G26" s="3" t="s">
        <v>218</v>
      </c>
      <c r="H26" s="3" t="s">
        <v>56</v>
      </c>
      <c r="I26" s="3" t="s">
        <v>32</v>
      </c>
      <c r="J26" s="3" t="s">
        <v>104</v>
      </c>
      <c r="K26" s="3" t="s">
        <v>96</v>
      </c>
      <c r="L26" s="3" t="s">
        <v>59</v>
      </c>
      <c r="M26" s="3" t="s">
        <v>219</v>
      </c>
      <c r="N26" s="3" t="s">
        <v>49</v>
      </c>
      <c r="O26" s="3" t="s">
        <v>220</v>
      </c>
      <c r="P26" s="3" t="s">
        <v>221</v>
      </c>
      <c r="Q26" s="5" t="n">
        <v>523.74</v>
      </c>
      <c r="R26" s="3" t="n">
        <v>14</v>
      </c>
      <c r="S26" s="6" t="n">
        <v>0</v>
      </c>
      <c r="T26" s="5" t="n">
        <v>68.12</v>
      </c>
      <c r="U26" s="3" t="str">
        <f aca="false">IF(T26&lt;0,"Loss",IF(T26=0,"Break-even","Profit"))</f>
        <v>Profit</v>
      </c>
      <c r="V26" s="3" t="str">
        <f aca="false">IF(Q26&lt;100,"Low",IF(Q26&lt;=500,"Medium","High"))</f>
        <v>High</v>
      </c>
      <c r="W26" s="3" t="n">
        <f aca="false">D26-C26</f>
        <v>2</v>
      </c>
      <c r="X26" s="3" t="str">
        <f aca="false">TEXT(C26,"mmmm")</f>
        <v>January</v>
      </c>
      <c r="Y26" s="3" t="str">
        <f aca="false">LEFT(G26,1)&amp;MID(G26,FIND(" ",G26)+1,1)</f>
        <v>SM</v>
      </c>
    </row>
    <row r="27" customFormat="false" ht="15" hidden="false" customHeight="false" outlineLevel="0" collapsed="false">
      <c r="A27" s="3" t="n">
        <v>26</v>
      </c>
      <c r="B27" s="3" t="s">
        <v>222</v>
      </c>
      <c r="C27" s="4" t="s">
        <v>204</v>
      </c>
      <c r="D27" s="4" t="s">
        <v>139</v>
      </c>
      <c r="E27" s="3" t="s">
        <v>42</v>
      </c>
      <c r="F27" s="3" t="s">
        <v>223</v>
      </c>
      <c r="G27" s="3" t="s">
        <v>224</v>
      </c>
      <c r="H27" s="3" t="s">
        <v>31</v>
      </c>
      <c r="I27" s="3" t="s">
        <v>32</v>
      </c>
      <c r="J27" s="3" t="s">
        <v>171</v>
      </c>
      <c r="K27" s="3" t="s">
        <v>172</v>
      </c>
      <c r="L27" s="3" t="s">
        <v>157</v>
      </c>
      <c r="M27" s="3" t="s">
        <v>225</v>
      </c>
      <c r="N27" s="3" t="s">
        <v>37</v>
      </c>
      <c r="O27" s="3" t="s">
        <v>196</v>
      </c>
      <c r="P27" s="3" t="s">
        <v>226</v>
      </c>
      <c r="Q27" s="5" t="n">
        <v>3354.17</v>
      </c>
      <c r="R27" s="3" t="n">
        <v>10</v>
      </c>
      <c r="S27" s="6" t="n">
        <v>0</v>
      </c>
      <c r="T27" s="5" t="n">
        <v>-584.46</v>
      </c>
      <c r="U27" s="3" t="str">
        <f aca="false">IF(T27&lt;0,"Loss",IF(T27=0,"Break-even","Profit"))</f>
        <v>Loss</v>
      </c>
      <c r="V27" s="3" t="str">
        <f aca="false">IF(Q27&lt;100,"Low",IF(Q27&lt;=500,"Medium","High"))</f>
        <v>High</v>
      </c>
      <c r="W27" s="3" t="n">
        <f aca="false">D27-C27</f>
        <v>1</v>
      </c>
      <c r="X27" s="3" t="str">
        <f aca="false">TEXT(C27,"mmmm")</f>
        <v>January</v>
      </c>
      <c r="Y27" s="3" t="str">
        <f aca="false">LEFT(G27,1)&amp;MID(G27,FIND(" ",G27)+1,1)</f>
        <v>RK</v>
      </c>
    </row>
    <row r="28" customFormat="false" ht="15" hidden="false" customHeight="false" outlineLevel="0" collapsed="false">
      <c r="A28" s="3" t="n">
        <v>27</v>
      </c>
      <c r="B28" s="3" t="s">
        <v>227</v>
      </c>
      <c r="C28" s="4" t="s">
        <v>139</v>
      </c>
      <c r="D28" s="4" t="s">
        <v>139</v>
      </c>
      <c r="E28" s="3" t="s">
        <v>53</v>
      </c>
      <c r="F28" s="3" t="s">
        <v>228</v>
      </c>
      <c r="G28" s="3" t="s">
        <v>229</v>
      </c>
      <c r="H28" s="3" t="s">
        <v>45</v>
      </c>
      <c r="I28" s="3" t="s">
        <v>32</v>
      </c>
      <c r="J28" s="3" t="s">
        <v>133</v>
      </c>
      <c r="K28" s="3" t="s">
        <v>134</v>
      </c>
      <c r="L28" s="3" t="s">
        <v>69</v>
      </c>
      <c r="M28" s="3" t="s">
        <v>60</v>
      </c>
      <c r="N28" s="3" t="s">
        <v>49</v>
      </c>
      <c r="O28" s="3" t="s">
        <v>61</v>
      </c>
      <c r="P28" s="3" t="s">
        <v>62</v>
      </c>
      <c r="Q28" s="5" t="n">
        <v>735.08</v>
      </c>
      <c r="R28" s="3" t="n">
        <v>12</v>
      </c>
      <c r="S28" s="6" t="n">
        <v>0</v>
      </c>
      <c r="T28" s="5" t="n">
        <v>167.33</v>
      </c>
      <c r="U28" s="3" t="str">
        <f aca="false">IF(T28&lt;0,"Loss",IF(T28=0,"Break-even","Profit"))</f>
        <v>Profit</v>
      </c>
      <c r="V28" s="3" t="str">
        <f aca="false">IF(Q28&lt;100,"Low",IF(Q28&lt;=500,"Medium","High"))</f>
        <v>High</v>
      </c>
      <c r="W28" s="3" t="n">
        <f aca="false">D28-C28</f>
        <v>0</v>
      </c>
      <c r="X28" s="3" t="str">
        <f aca="false">TEXT(C28,"mmmm")</f>
        <v>January</v>
      </c>
      <c r="Y28" s="3" t="str">
        <f aca="false">LEFT(G28,1)&amp;MID(G28,FIND(" ",G28)+1,1)</f>
        <v>ST</v>
      </c>
    </row>
    <row r="29" customFormat="false" ht="15" hidden="false" customHeight="false" outlineLevel="0" collapsed="false">
      <c r="A29" s="3" t="n">
        <v>28</v>
      </c>
      <c r="B29" s="3" t="s">
        <v>230</v>
      </c>
      <c r="C29" s="4" t="s">
        <v>139</v>
      </c>
      <c r="D29" s="4" t="s">
        <v>231</v>
      </c>
      <c r="E29" s="3" t="s">
        <v>28</v>
      </c>
      <c r="F29" s="3" t="s">
        <v>232</v>
      </c>
      <c r="G29" s="3" t="s">
        <v>233</v>
      </c>
      <c r="H29" s="3" t="s">
        <v>56</v>
      </c>
      <c r="I29" s="3" t="s">
        <v>32</v>
      </c>
      <c r="J29" s="3" t="s">
        <v>46</v>
      </c>
      <c r="K29" s="3" t="s">
        <v>47</v>
      </c>
      <c r="L29" s="3" t="s">
        <v>35</v>
      </c>
      <c r="M29" s="3" t="s">
        <v>48</v>
      </c>
      <c r="N29" s="3" t="s">
        <v>49</v>
      </c>
      <c r="O29" s="3" t="s">
        <v>50</v>
      </c>
      <c r="P29" s="3" t="s">
        <v>51</v>
      </c>
      <c r="Q29" s="5" t="n">
        <v>897.93</v>
      </c>
      <c r="R29" s="3" t="n">
        <v>11</v>
      </c>
      <c r="S29" s="6" t="n">
        <v>0.2</v>
      </c>
      <c r="T29" s="5" t="n">
        <v>-116.56</v>
      </c>
      <c r="U29" s="3" t="str">
        <f aca="false">IF(T29&lt;0,"Loss",IF(T29=0,"Break-even","Profit"))</f>
        <v>Loss</v>
      </c>
      <c r="V29" s="3" t="str">
        <f aca="false">IF(Q29&lt;100,"Low",IF(Q29&lt;=500,"Medium","High"))</f>
        <v>High</v>
      </c>
      <c r="W29" s="3" t="n">
        <f aca="false">D29-C29</f>
        <v>6</v>
      </c>
      <c r="X29" s="3" t="str">
        <f aca="false">TEXT(C29,"mmmm")</f>
        <v>January</v>
      </c>
      <c r="Y29" s="3" t="str">
        <f aca="false">LEFT(G29,1)&amp;MID(G29,FIND(" ",G29)+1,1)</f>
        <v>PN</v>
      </c>
    </row>
    <row r="30" customFormat="false" ht="15" hidden="false" customHeight="false" outlineLevel="0" collapsed="false">
      <c r="A30" s="3" t="n">
        <v>29</v>
      </c>
      <c r="B30" s="3" t="s">
        <v>234</v>
      </c>
      <c r="C30" s="4" t="s">
        <v>181</v>
      </c>
      <c r="D30" s="4" t="s">
        <v>212</v>
      </c>
      <c r="E30" s="3" t="s">
        <v>42</v>
      </c>
      <c r="F30" s="3" t="s">
        <v>235</v>
      </c>
      <c r="G30" s="3" t="s">
        <v>236</v>
      </c>
      <c r="H30" s="3" t="s">
        <v>45</v>
      </c>
      <c r="I30" s="3" t="s">
        <v>32</v>
      </c>
      <c r="J30" s="3" t="s">
        <v>208</v>
      </c>
      <c r="K30" s="3" t="s">
        <v>134</v>
      </c>
      <c r="L30" s="3" t="s">
        <v>69</v>
      </c>
      <c r="M30" s="3" t="s">
        <v>237</v>
      </c>
      <c r="N30" s="3" t="s">
        <v>49</v>
      </c>
      <c r="O30" s="3" t="s">
        <v>220</v>
      </c>
      <c r="P30" s="3" t="s">
        <v>238</v>
      </c>
      <c r="Q30" s="5" t="n">
        <v>995.58</v>
      </c>
      <c r="R30" s="3" t="n">
        <v>14</v>
      </c>
      <c r="S30" s="6" t="n">
        <v>0.1</v>
      </c>
      <c r="T30" s="5" t="n">
        <v>-75.11</v>
      </c>
      <c r="U30" s="3" t="str">
        <f aca="false">IF(T30&lt;0,"Loss",IF(T30=0,"Break-even","Profit"))</f>
        <v>Loss</v>
      </c>
      <c r="V30" s="3" t="str">
        <f aca="false">IF(Q30&lt;100,"Low",IF(Q30&lt;=500,"Medium","High"))</f>
        <v>High</v>
      </c>
      <c r="W30" s="3" t="n">
        <f aca="false">D30-C30</f>
        <v>1</v>
      </c>
      <c r="X30" s="3" t="str">
        <f aca="false">TEXT(C30,"mmmm")</f>
        <v>January</v>
      </c>
      <c r="Y30" s="3" t="str">
        <f aca="false">LEFT(G30,1)&amp;MID(G30,FIND(" ",G30)+1,1)</f>
        <v>WR</v>
      </c>
    </row>
    <row r="31" customFormat="false" ht="15" hidden="false" customHeight="false" outlineLevel="0" collapsed="false">
      <c r="A31" s="3" t="n">
        <v>30</v>
      </c>
      <c r="B31" s="3" t="s">
        <v>239</v>
      </c>
      <c r="C31" s="4" t="s">
        <v>212</v>
      </c>
      <c r="D31" s="4" t="s">
        <v>240</v>
      </c>
      <c r="E31" s="3" t="s">
        <v>28</v>
      </c>
      <c r="F31" s="3" t="s">
        <v>241</v>
      </c>
      <c r="G31" s="3" t="s">
        <v>242</v>
      </c>
      <c r="H31" s="3" t="s">
        <v>31</v>
      </c>
      <c r="I31" s="3" t="s">
        <v>32</v>
      </c>
      <c r="J31" s="3" t="s">
        <v>243</v>
      </c>
      <c r="K31" s="3" t="s">
        <v>244</v>
      </c>
      <c r="L31" s="3" t="s">
        <v>157</v>
      </c>
      <c r="M31" s="3" t="s">
        <v>127</v>
      </c>
      <c r="N31" s="3" t="s">
        <v>49</v>
      </c>
      <c r="O31" s="3" t="s">
        <v>61</v>
      </c>
      <c r="P31" s="3" t="s">
        <v>128</v>
      </c>
      <c r="Q31" s="5" t="n">
        <v>147.74</v>
      </c>
      <c r="R31" s="3" t="n">
        <v>3</v>
      </c>
      <c r="S31" s="6" t="n">
        <v>0</v>
      </c>
      <c r="T31" s="5" t="n">
        <v>35.98</v>
      </c>
      <c r="U31" s="3" t="str">
        <f aca="false">IF(T31&lt;0,"Loss",IF(T31=0,"Break-even","Profit"))</f>
        <v>Profit</v>
      </c>
      <c r="V31" s="3" t="str">
        <f aca="false">IF(Q31&lt;100,"Low",IF(Q31&lt;=500,"Medium","High"))</f>
        <v>Medium</v>
      </c>
      <c r="W31" s="3" t="n">
        <f aca="false">D31-C31</f>
        <v>6</v>
      </c>
      <c r="X31" s="3" t="str">
        <f aca="false">TEXT(C31,"mmmm")</f>
        <v>January</v>
      </c>
      <c r="Y31" s="3" t="str">
        <f aca="false">LEFT(G31,1)&amp;MID(G31,FIND(" ",G31)+1,1)</f>
        <v>AC</v>
      </c>
    </row>
    <row r="32" customFormat="false" ht="15" hidden="false" customHeight="false" outlineLevel="0" collapsed="false">
      <c r="A32" s="3" t="n">
        <v>31</v>
      </c>
      <c r="B32" s="3" t="s">
        <v>245</v>
      </c>
      <c r="C32" s="4" t="s">
        <v>231</v>
      </c>
      <c r="D32" s="4" t="s">
        <v>240</v>
      </c>
      <c r="E32" s="3" t="s">
        <v>28</v>
      </c>
      <c r="F32" s="3" t="s">
        <v>246</v>
      </c>
      <c r="G32" s="3" t="s">
        <v>247</v>
      </c>
      <c r="H32" s="3" t="s">
        <v>45</v>
      </c>
      <c r="I32" s="3" t="s">
        <v>32</v>
      </c>
      <c r="J32" s="3" t="s">
        <v>133</v>
      </c>
      <c r="K32" s="3" t="s">
        <v>134</v>
      </c>
      <c r="L32" s="3" t="s">
        <v>69</v>
      </c>
      <c r="M32" s="3" t="s">
        <v>190</v>
      </c>
      <c r="N32" s="3" t="s">
        <v>49</v>
      </c>
      <c r="O32" s="3" t="s">
        <v>150</v>
      </c>
      <c r="P32" s="3" t="s">
        <v>191</v>
      </c>
      <c r="Q32" s="5" t="n">
        <v>653.25</v>
      </c>
      <c r="R32" s="3" t="n">
        <v>7</v>
      </c>
      <c r="S32" s="6" t="n">
        <v>0.3</v>
      </c>
      <c r="T32" s="5" t="n">
        <v>-192.65</v>
      </c>
      <c r="U32" s="3" t="str">
        <f aca="false">IF(T32&lt;0,"Loss",IF(T32=0,"Break-even","Profit"))</f>
        <v>Loss</v>
      </c>
      <c r="V32" s="3" t="str">
        <f aca="false">IF(Q32&lt;100,"Low",IF(Q32&lt;=500,"Medium","High"))</f>
        <v>High</v>
      </c>
      <c r="W32" s="3" t="n">
        <f aca="false">D32-C32</f>
        <v>5</v>
      </c>
      <c r="X32" s="3" t="str">
        <f aca="false">TEXT(C32,"mmmm")</f>
        <v>January</v>
      </c>
      <c r="Y32" s="3" t="str">
        <f aca="false">LEFT(G32,1)&amp;MID(G32,FIND(" ",G32)+1,1)</f>
        <v>JN</v>
      </c>
    </row>
    <row r="33" customFormat="false" ht="15" hidden="false" customHeight="false" outlineLevel="0" collapsed="false">
      <c r="A33" s="3" t="n">
        <v>32</v>
      </c>
      <c r="B33" s="3" t="s">
        <v>248</v>
      </c>
      <c r="C33" s="4" t="s">
        <v>231</v>
      </c>
      <c r="D33" s="4" t="s">
        <v>249</v>
      </c>
      <c r="E33" s="3" t="s">
        <v>28</v>
      </c>
      <c r="F33" s="3" t="s">
        <v>250</v>
      </c>
      <c r="G33" s="3" t="s">
        <v>251</v>
      </c>
      <c r="H33" s="3" t="s">
        <v>31</v>
      </c>
      <c r="I33" s="3" t="s">
        <v>32</v>
      </c>
      <c r="J33" s="3" t="s">
        <v>252</v>
      </c>
      <c r="K33" s="3" t="s">
        <v>172</v>
      </c>
      <c r="L33" s="3" t="s">
        <v>157</v>
      </c>
      <c r="M33" s="3" t="s">
        <v>253</v>
      </c>
      <c r="N33" s="3" t="s">
        <v>89</v>
      </c>
      <c r="O33" s="3" t="s">
        <v>90</v>
      </c>
      <c r="P33" s="3" t="s">
        <v>254</v>
      </c>
      <c r="Q33" s="5" t="n">
        <v>4521.87</v>
      </c>
      <c r="R33" s="3" t="n">
        <v>13</v>
      </c>
      <c r="S33" s="6" t="n">
        <v>0.5</v>
      </c>
      <c r="T33" s="5" t="n">
        <v>119.92</v>
      </c>
      <c r="U33" s="3" t="str">
        <f aca="false">IF(T33&lt;0,"Loss",IF(T33=0,"Break-even","Profit"))</f>
        <v>Profit</v>
      </c>
      <c r="V33" s="3" t="str">
        <f aca="false">IF(Q33&lt;100,"Low",IF(Q33&lt;=500,"Medium","High"))</f>
        <v>High</v>
      </c>
      <c r="W33" s="3" t="n">
        <f aca="false">D33-C33</f>
        <v>7</v>
      </c>
      <c r="X33" s="3" t="str">
        <f aca="false">TEXT(C33,"mmmm")</f>
        <v>January</v>
      </c>
      <c r="Y33" s="3" t="str">
        <f aca="false">LEFT(G33,1)&amp;MID(G33,FIND(" ",G33)+1,1)</f>
        <v>JK</v>
      </c>
    </row>
    <row r="34" customFormat="false" ht="15" hidden="false" customHeight="false" outlineLevel="0" collapsed="false">
      <c r="A34" s="3" t="n">
        <v>33</v>
      </c>
      <c r="B34" s="3" t="s">
        <v>255</v>
      </c>
      <c r="C34" s="4" t="s">
        <v>231</v>
      </c>
      <c r="D34" s="4" t="s">
        <v>256</v>
      </c>
      <c r="E34" s="3" t="s">
        <v>42</v>
      </c>
      <c r="F34" s="3" t="s">
        <v>257</v>
      </c>
      <c r="G34" s="3" t="s">
        <v>258</v>
      </c>
      <c r="H34" s="3" t="s">
        <v>45</v>
      </c>
      <c r="I34" s="3" t="s">
        <v>32</v>
      </c>
      <c r="J34" s="3" t="s">
        <v>87</v>
      </c>
      <c r="K34" s="3" t="s">
        <v>68</v>
      </c>
      <c r="L34" s="3" t="s">
        <v>69</v>
      </c>
      <c r="M34" s="3" t="s">
        <v>259</v>
      </c>
      <c r="N34" s="3" t="s">
        <v>89</v>
      </c>
      <c r="O34" s="3" t="s">
        <v>174</v>
      </c>
      <c r="P34" s="3" t="s">
        <v>260</v>
      </c>
      <c r="Q34" s="5" t="n">
        <v>6790.73</v>
      </c>
      <c r="R34" s="3" t="n">
        <v>10</v>
      </c>
      <c r="S34" s="6" t="n">
        <v>0.1</v>
      </c>
      <c r="T34" s="5" t="n">
        <v>595.45</v>
      </c>
      <c r="U34" s="3" t="str">
        <f aca="false">IF(T34&lt;0,"Loss",IF(T34=0,"Break-even","Profit"))</f>
        <v>Profit</v>
      </c>
      <c r="V34" s="3" t="str">
        <f aca="false">IF(Q34&lt;100,"Low",IF(Q34&lt;=500,"Medium","High"))</f>
        <v>High</v>
      </c>
      <c r="W34" s="3" t="n">
        <f aca="false">D34-C34</f>
        <v>2</v>
      </c>
      <c r="X34" s="3" t="str">
        <f aca="false">TEXT(C34,"mmmm")</f>
        <v>January</v>
      </c>
      <c r="Y34" s="3" t="str">
        <f aca="false">LEFT(G34,1)&amp;MID(G34,FIND(" ",G34)+1,1)</f>
        <v>MJ</v>
      </c>
    </row>
    <row r="35" customFormat="false" ht="15" hidden="false" customHeight="false" outlineLevel="0" collapsed="false">
      <c r="A35" s="3" t="n">
        <v>34</v>
      </c>
      <c r="B35" s="3" t="s">
        <v>261</v>
      </c>
      <c r="C35" s="4" t="s">
        <v>262</v>
      </c>
      <c r="D35" s="4" t="s">
        <v>240</v>
      </c>
      <c r="E35" s="3" t="s">
        <v>42</v>
      </c>
      <c r="F35" s="3" t="s">
        <v>263</v>
      </c>
      <c r="G35" s="3" t="s">
        <v>264</v>
      </c>
      <c r="H35" s="3" t="s">
        <v>56</v>
      </c>
      <c r="I35" s="3" t="s">
        <v>32</v>
      </c>
      <c r="J35" s="3" t="s">
        <v>148</v>
      </c>
      <c r="K35" s="3" t="s">
        <v>78</v>
      </c>
      <c r="L35" s="3" t="s">
        <v>59</v>
      </c>
      <c r="M35" s="3" t="s">
        <v>48</v>
      </c>
      <c r="N35" s="3" t="s">
        <v>49</v>
      </c>
      <c r="O35" s="3" t="s">
        <v>50</v>
      </c>
      <c r="P35" s="3" t="s">
        <v>51</v>
      </c>
      <c r="Q35" s="5" t="n">
        <v>125.89</v>
      </c>
      <c r="R35" s="3" t="n">
        <v>7</v>
      </c>
      <c r="S35" s="6" t="n">
        <v>0.5</v>
      </c>
      <c r="T35" s="5" t="n">
        <v>14.2</v>
      </c>
      <c r="U35" s="3" t="str">
        <f aca="false">IF(T35&lt;0,"Loss",IF(T35=0,"Break-even","Profit"))</f>
        <v>Profit</v>
      </c>
      <c r="V35" s="3" t="str">
        <f aca="false">IF(Q35&lt;100,"Low",IF(Q35&lt;=500,"Medium","High"))</f>
        <v>Medium</v>
      </c>
      <c r="W35" s="3" t="n">
        <f aca="false">D35-C35</f>
        <v>2</v>
      </c>
      <c r="X35" s="3" t="str">
        <f aca="false">TEXT(C35,"mmmm")</f>
        <v>January</v>
      </c>
      <c r="Y35" s="3" t="str">
        <f aca="false">LEFT(G35,1)&amp;MID(G35,FIND(" ",G35)+1,1)</f>
        <v>MB</v>
      </c>
    </row>
    <row r="36" customFormat="false" ht="15" hidden="false" customHeight="false" outlineLevel="0" collapsed="false">
      <c r="A36" s="3" t="n">
        <v>35</v>
      </c>
      <c r="B36" s="3" t="s">
        <v>265</v>
      </c>
      <c r="C36" s="4" t="s">
        <v>262</v>
      </c>
      <c r="D36" s="4" t="s">
        <v>266</v>
      </c>
      <c r="E36" s="3" t="s">
        <v>28</v>
      </c>
      <c r="F36" s="3" t="s">
        <v>267</v>
      </c>
      <c r="G36" s="3" t="s">
        <v>268</v>
      </c>
      <c r="H36" s="3" t="s">
        <v>56</v>
      </c>
      <c r="I36" s="3" t="s">
        <v>32</v>
      </c>
      <c r="J36" s="3" t="s">
        <v>104</v>
      </c>
      <c r="K36" s="3" t="s">
        <v>96</v>
      </c>
      <c r="L36" s="3" t="s">
        <v>59</v>
      </c>
      <c r="M36" s="3" t="s">
        <v>269</v>
      </c>
      <c r="N36" s="3" t="s">
        <v>89</v>
      </c>
      <c r="O36" s="3" t="s">
        <v>174</v>
      </c>
      <c r="P36" s="3" t="s">
        <v>270</v>
      </c>
      <c r="Q36" s="5" t="n">
        <v>5951.15</v>
      </c>
      <c r="R36" s="3" t="n">
        <v>10</v>
      </c>
      <c r="S36" s="6" t="n">
        <v>0.2</v>
      </c>
      <c r="T36" s="5" t="n">
        <v>781.74</v>
      </c>
      <c r="U36" s="3" t="str">
        <f aca="false">IF(T36&lt;0,"Loss",IF(T36=0,"Break-even","Profit"))</f>
        <v>Profit</v>
      </c>
      <c r="V36" s="3" t="str">
        <f aca="false">IF(Q36&lt;100,"Low",IF(Q36&lt;=500,"Medium","High"))</f>
        <v>High</v>
      </c>
      <c r="W36" s="3" t="n">
        <f aca="false">D36-C36</f>
        <v>6</v>
      </c>
      <c r="X36" s="3" t="str">
        <f aca="false">TEXT(C36,"mmmm")</f>
        <v>January</v>
      </c>
      <c r="Y36" s="3" t="str">
        <f aca="false">LEFT(G36,1)&amp;MID(G36,FIND(" ",G36)+1,1)</f>
        <v>MA</v>
      </c>
    </row>
    <row r="37" customFormat="false" ht="15" hidden="false" customHeight="false" outlineLevel="0" collapsed="false">
      <c r="A37" s="3" t="n">
        <v>36</v>
      </c>
      <c r="B37" s="3" t="s">
        <v>271</v>
      </c>
      <c r="C37" s="4" t="s">
        <v>272</v>
      </c>
      <c r="D37" s="4" t="s">
        <v>249</v>
      </c>
      <c r="E37" s="3" t="s">
        <v>28</v>
      </c>
      <c r="F37" s="3" t="s">
        <v>273</v>
      </c>
      <c r="G37" s="3" t="s">
        <v>274</v>
      </c>
      <c r="H37" s="3" t="s">
        <v>56</v>
      </c>
      <c r="I37" s="3" t="s">
        <v>32</v>
      </c>
      <c r="J37" s="3" t="s">
        <v>77</v>
      </c>
      <c r="K37" s="3" t="s">
        <v>78</v>
      </c>
      <c r="L37" s="3" t="s">
        <v>59</v>
      </c>
      <c r="M37" s="3" t="s">
        <v>97</v>
      </c>
      <c r="N37" s="3" t="s">
        <v>89</v>
      </c>
      <c r="O37" s="3" t="s">
        <v>90</v>
      </c>
      <c r="P37" s="3" t="s">
        <v>98</v>
      </c>
      <c r="Q37" s="5" t="n">
        <v>3321.9</v>
      </c>
      <c r="R37" s="3" t="n">
        <v>5</v>
      </c>
      <c r="S37" s="6" t="n">
        <v>0.1</v>
      </c>
      <c r="T37" s="5" t="n">
        <v>734.07</v>
      </c>
      <c r="U37" s="3" t="str">
        <f aca="false">IF(T37&lt;0,"Loss",IF(T37=0,"Break-even","Profit"))</f>
        <v>Profit</v>
      </c>
      <c r="V37" s="3" t="str">
        <f aca="false">IF(Q37&lt;100,"Low",IF(Q37&lt;=500,"Medium","High"))</f>
        <v>High</v>
      </c>
      <c r="W37" s="3" t="n">
        <f aca="false">D37-C37</f>
        <v>3</v>
      </c>
      <c r="X37" s="3" t="str">
        <f aca="false">TEXT(C37,"mmmm")</f>
        <v>January</v>
      </c>
      <c r="Y37" s="3" t="str">
        <f aca="false">LEFT(G37,1)&amp;MID(G37,FIND(" ",G37)+1,1)</f>
        <v>LJ</v>
      </c>
    </row>
    <row r="38" customFormat="false" ht="15" hidden="false" customHeight="false" outlineLevel="0" collapsed="false">
      <c r="A38" s="3" t="n">
        <v>37</v>
      </c>
      <c r="B38" s="3" t="s">
        <v>275</v>
      </c>
      <c r="C38" s="4" t="s">
        <v>276</v>
      </c>
      <c r="D38" s="4" t="s">
        <v>277</v>
      </c>
      <c r="E38" s="3" t="s">
        <v>28</v>
      </c>
      <c r="F38" s="3" t="s">
        <v>278</v>
      </c>
      <c r="G38" s="3" t="s">
        <v>279</v>
      </c>
      <c r="H38" s="3" t="s">
        <v>56</v>
      </c>
      <c r="I38" s="3" t="s">
        <v>32</v>
      </c>
      <c r="J38" s="3" t="s">
        <v>77</v>
      </c>
      <c r="K38" s="3" t="s">
        <v>78</v>
      </c>
      <c r="L38" s="3" t="s">
        <v>59</v>
      </c>
      <c r="M38" s="3" t="s">
        <v>280</v>
      </c>
      <c r="N38" s="3" t="s">
        <v>89</v>
      </c>
      <c r="O38" s="3" t="s">
        <v>166</v>
      </c>
      <c r="P38" s="3" t="s">
        <v>281</v>
      </c>
      <c r="Q38" s="5" t="n">
        <v>327.43</v>
      </c>
      <c r="R38" s="3" t="n">
        <v>7</v>
      </c>
      <c r="S38" s="6" t="n">
        <v>0</v>
      </c>
      <c r="T38" s="5" t="n">
        <v>76.86</v>
      </c>
      <c r="U38" s="3" t="str">
        <f aca="false">IF(T38&lt;0,"Loss",IF(T38=0,"Break-even","Profit"))</f>
        <v>Profit</v>
      </c>
      <c r="V38" s="3" t="str">
        <f aca="false">IF(Q38&lt;100,"Low",IF(Q38&lt;=500,"Medium","High"))</f>
        <v>Medium</v>
      </c>
      <c r="W38" s="3" t="n">
        <f aca="false">D38-C38</f>
        <v>7</v>
      </c>
      <c r="X38" s="3" t="str">
        <f aca="false">TEXT(C38,"mmmm")</f>
        <v>January</v>
      </c>
      <c r="Y38" s="3" t="str">
        <f aca="false">LEFT(G38,1)&amp;MID(G38,FIND(" ",G38)+1,1)</f>
        <v>FC</v>
      </c>
    </row>
    <row r="39" customFormat="false" ht="15" hidden="false" customHeight="false" outlineLevel="0" collapsed="false">
      <c r="A39" s="3" t="n">
        <v>38</v>
      </c>
      <c r="B39" s="3" t="s">
        <v>282</v>
      </c>
      <c r="C39" s="4" t="s">
        <v>249</v>
      </c>
      <c r="D39" s="4" t="s">
        <v>277</v>
      </c>
      <c r="E39" s="3" t="s">
        <v>28</v>
      </c>
      <c r="F39" s="3" t="s">
        <v>283</v>
      </c>
      <c r="G39" s="3" t="s">
        <v>284</v>
      </c>
      <c r="H39" s="3" t="s">
        <v>56</v>
      </c>
      <c r="I39" s="3" t="s">
        <v>32</v>
      </c>
      <c r="J39" s="3" t="s">
        <v>285</v>
      </c>
      <c r="K39" s="3" t="s">
        <v>202</v>
      </c>
      <c r="L39" s="3" t="s">
        <v>35</v>
      </c>
      <c r="M39" s="3" t="s">
        <v>209</v>
      </c>
      <c r="N39" s="3" t="s">
        <v>49</v>
      </c>
      <c r="O39" s="3" t="s">
        <v>106</v>
      </c>
      <c r="P39" s="3" t="s">
        <v>210</v>
      </c>
      <c r="Q39" s="5" t="n">
        <v>540.73</v>
      </c>
      <c r="R39" s="3" t="n">
        <v>5</v>
      </c>
      <c r="S39" s="6" t="n">
        <v>0</v>
      </c>
      <c r="T39" s="5" t="n">
        <v>40.01</v>
      </c>
      <c r="U39" s="3" t="str">
        <f aca="false">IF(T39&lt;0,"Loss",IF(T39=0,"Break-even","Profit"))</f>
        <v>Profit</v>
      </c>
      <c r="V39" s="3" t="str">
        <f aca="false">IF(Q39&lt;100,"Low",IF(Q39&lt;=500,"Medium","High"))</f>
        <v>High</v>
      </c>
      <c r="W39" s="3" t="n">
        <f aca="false">D39-C39</f>
        <v>6</v>
      </c>
      <c r="X39" s="3" t="str">
        <f aca="false">TEXT(C39,"mmmm")</f>
        <v>January</v>
      </c>
      <c r="Y39" s="3" t="str">
        <f aca="false">LEFT(G39,1)&amp;MID(G39,FIND(" ",G39)+1,1)</f>
        <v>OS</v>
      </c>
    </row>
    <row r="40" customFormat="false" ht="15" hidden="false" customHeight="false" outlineLevel="0" collapsed="false">
      <c r="A40" s="3" t="n">
        <v>39</v>
      </c>
      <c r="B40" s="3" t="s">
        <v>286</v>
      </c>
      <c r="C40" s="4" t="s">
        <v>266</v>
      </c>
      <c r="D40" s="4" t="s">
        <v>287</v>
      </c>
      <c r="E40" s="3" t="s">
        <v>84</v>
      </c>
      <c r="F40" s="3" t="s">
        <v>288</v>
      </c>
      <c r="G40" s="3" t="s">
        <v>289</v>
      </c>
      <c r="H40" s="3" t="s">
        <v>56</v>
      </c>
      <c r="I40" s="3" t="s">
        <v>32</v>
      </c>
      <c r="J40" s="3" t="s">
        <v>252</v>
      </c>
      <c r="K40" s="3" t="s">
        <v>172</v>
      </c>
      <c r="L40" s="3" t="s">
        <v>157</v>
      </c>
      <c r="M40" s="3" t="s">
        <v>290</v>
      </c>
      <c r="N40" s="3" t="s">
        <v>37</v>
      </c>
      <c r="O40" s="3" t="s">
        <v>38</v>
      </c>
      <c r="P40" s="3" t="s">
        <v>291</v>
      </c>
      <c r="Q40" s="5" t="n">
        <v>8798.57</v>
      </c>
      <c r="R40" s="3" t="n">
        <v>11</v>
      </c>
      <c r="S40" s="6" t="n">
        <v>0.1</v>
      </c>
      <c r="T40" s="5" t="n">
        <v>-2162.04</v>
      </c>
      <c r="U40" s="3" t="str">
        <f aca="false">IF(T40&lt;0,"Loss",IF(T40=0,"Break-even","Profit"))</f>
        <v>Loss</v>
      </c>
      <c r="V40" s="3" t="str">
        <f aca="false">IF(Q40&lt;100,"Low",IF(Q40&lt;=500,"Medium","High"))</f>
        <v>High</v>
      </c>
      <c r="W40" s="3" t="n">
        <f aca="false">D40-C40</f>
        <v>2</v>
      </c>
      <c r="X40" s="3" t="str">
        <f aca="false">TEXT(C40,"mmmm")</f>
        <v>February</v>
      </c>
      <c r="Y40" s="3" t="str">
        <f aca="false">LEFT(G40,1)&amp;MID(G40,FIND(" ",G40)+1,1)</f>
        <v>JJ</v>
      </c>
    </row>
    <row r="41" customFormat="false" ht="15" hidden="false" customHeight="false" outlineLevel="0" collapsed="false">
      <c r="A41" s="3" t="n">
        <v>40</v>
      </c>
      <c r="B41" s="3" t="s">
        <v>292</v>
      </c>
      <c r="C41" s="4" t="s">
        <v>287</v>
      </c>
      <c r="D41" s="4" t="s">
        <v>287</v>
      </c>
      <c r="E41" s="3" t="s">
        <v>53</v>
      </c>
      <c r="F41" s="3" t="s">
        <v>293</v>
      </c>
      <c r="G41" s="3" t="s">
        <v>294</v>
      </c>
      <c r="H41" s="3" t="s">
        <v>31</v>
      </c>
      <c r="I41" s="3" t="s">
        <v>32</v>
      </c>
      <c r="J41" s="3" t="s">
        <v>95</v>
      </c>
      <c r="K41" s="3" t="s">
        <v>96</v>
      </c>
      <c r="L41" s="3" t="s">
        <v>59</v>
      </c>
      <c r="M41" s="3" t="s">
        <v>60</v>
      </c>
      <c r="N41" s="3" t="s">
        <v>49</v>
      </c>
      <c r="O41" s="3" t="s">
        <v>61</v>
      </c>
      <c r="P41" s="3" t="s">
        <v>62</v>
      </c>
      <c r="Q41" s="5" t="n">
        <v>75.92</v>
      </c>
      <c r="R41" s="3" t="n">
        <v>3</v>
      </c>
      <c r="S41" s="6" t="n">
        <v>0.1</v>
      </c>
      <c r="T41" s="5" t="n">
        <v>20.09</v>
      </c>
      <c r="U41" s="3" t="str">
        <f aca="false">IF(T41&lt;0,"Loss",IF(T41=0,"Break-even","Profit"))</f>
        <v>Profit</v>
      </c>
      <c r="V41" s="3" t="str">
        <f aca="false">IF(Q41&lt;100,"Low",IF(Q41&lt;=500,"Medium","High"))</f>
        <v>Low</v>
      </c>
      <c r="W41" s="3" t="n">
        <f aca="false">D41-C41</f>
        <v>0</v>
      </c>
      <c r="X41" s="3" t="str">
        <f aca="false">TEXT(C41,"mmmm")</f>
        <v>February</v>
      </c>
      <c r="Y41" s="3" t="str">
        <f aca="false">LEFT(G41,1)&amp;MID(G41,FIND(" ",G41)+1,1)</f>
        <v>LB</v>
      </c>
    </row>
    <row r="42" customFormat="false" ht="15" hidden="false" customHeight="false" outlineLevel="0" collapsed="false">
      <c r="A42" s="3" t="n">
        <v>41</v>
      </c>
      <c r="B42" s="3" t="s">
        <v>295</v>
      </c>
      <c r="C42" s="4" t="s">
        <v>287</v>
      </c>
      <c r="D42" s="4" t="s">
        <v>296</v>
      </c>
      <c r="E42" s="3" t="s">
        <v>28</v>
      </c>
      <c r="F42" s="3" t="s">
        <v>297</v>
      </c>
      <c r="G42" s="3" t="s">
        <v>298</v>
      </c>
      <c r="H42" s="3" t="s">
        <v>56</v>
      </c>
      <c r="I42" s="3" t="s">
        <v>32</v>
      </c>
      <c r="J42" s="3" t="s">
        <v>299</v>
      </c>
      <c r="K42" s="3" t="s">
        <v>189</v>
      </c>
      <c r="L42" s="3" t="s">
        <v>59</v>
      </c>
      <c r="M42" s="3" t="s">
        <v>300</v>
      </c>
      <c r="N42" s="3" t="s">
        <v>49</v>
      </c>
      <c r="O42" s="3" t="s">
        <v>143</v>
      </c>
      <c r="P42" s="3" t="s">
        <v>301</v>
      </c>
      <c r="Q42" s="5" t="n">
        <v>32.72</v>
      </c>
      <c r="R42" s="3" t="n">
        <v>2</v>
      </c>
      <c r="S42" s="6" t="n">
        <v>0.2</v>
      </c>
      <c r="T42" s="5" t="n">
        <v>2.34</v>
      </c>
      <c r="U42" s="3" t="str">
        <f aca="false">IF(T42&lt;0,"Loss",IF(T42=0,"Break-even","Profit"))</f>
        <v>Profit</v>
      </c>
      <c r="V42" s="3" t="str">
        <f aca="false">IF(Q42&lt;100,"Low",IF(Q42&lt;=500,"Medium","High"))</f>
        <v>Low</v>
      </c>
      <c r="W42" s="3" t="n">
        <f aca="false">D42-C42</f>
        <v>6</v>
      </c>
      <c r="X42" s="3" t="str">
        <f aca="false">TEXT(C42,"mmmm")</f>
        <v>February</v>
      </c>
      <c r="Y42" s="3" t="str">
        <f aca="false">LEFT(G42,1)&amp;MID(G42,FIND(" ",G42)+1,1)</f>
        <v>PK</v>
      </c>
    </row>
    <row r="43" customFormat="false" ht="15" hidden="false" customHeight="false" outlineLevel="0" collapsed="false">
      <c r="A43" s="3" t="n">
        <v>42</v>
      </c>
      <c r="B43" s="3" t="s">
        <v>302</v>
      </c>
      <c r="C43" s="4" t="s">
        <v>303</v>
      </c>
      <c r="D43" s="4" t="s">
        <v>296</v>
      </c>
      <c r="E43" s="3" t="s">
        <v>28</v>
      </c>
      <c r="F43" s="3" t="s">
        <v>304</v>
      </c>
      <c r="G43" s="3" t="s">
        <v>305</v>
      </c>
      <c r="H43" s="3" t="s">
        <v>56</v>
      </c>
      <c r="I43" s="3" t="s">
        <v>32</v>
      </c>
      <c r="J43" s="3" t="s">
        <v>306</v>
      </c>
      <c r="K43" s="3" t="s">
        <v>307</v>
      </c>
      <c r="L43" s="3" t="s">
        <v>69</v>
      </c>
      <c r="M43" s="3" t="s">
        <v>70</v>
      </c>
      <c r="N43" s="3" t="s">
        <v>37</v>
      </c>
      <c r="O43" s="3" t="s">
        <v>71</v>
      </c>
      <c r="P43" s="3" t="s">
        <v>72</v>
      </c>
      <c r="Q43" s="5" t="n">
        <v>1000.51</v>
      </c>
      <c r="R43" s="3" t="n">
        <v>13</v>
      </c>
      <c r="S43" s="6" t="n">
        <v>0.2</v>
      </c>
      <c r="T43" s="5" t="n">
        <v>-259.56</v>
      </c>
      <c r="U43" s="3" t="str">
        <f aca="false">IF(T43&lt;0,"Loss",IF(T43=0,"Break-even","Profit"))</f>
        <v>Loss</v>
      </c>
      <c r="V43" s="3" t="str">
        <f aca="false">IF(Q43&lt;100,"Low",IF(Q43&lt;=500,"Medium","High"))</f>
        <v>High</v>
      </c>
      <c r="W43" s="3" t="n">
        <f aca="false">D43-C43</f>
        <v>3</v>
      </c>
      <c r="X43" s="3" t="str">
        <f aca="false">TEXT(C43,"mmmm")</f>
        <v>February</v>
      </c>
      <c r="Y43" s="3" t="str">
        <f aca="false">LEFT(G43,1)&amp;MID(G43,FIND(" ",G43)+1,1)</f>
        <v>DW</v>
      </c>
    </row>
    <row r="44" customFormat="false" ht="15" hidden="false" customHeight="false" outlineLevel="0" collapsed="false">
      <c r="A44" s="3" t="n">
        <v>43</v>
      </c>
      <c r="B44" s="3" t="s">
        <v>308</v>
      </c>
      <c r="C44" s="4" t="s">
        <v>303</v>
      </c>
      <c r="D44" s="4" t="s">
        <v>309</v>
      </c>
      <c r="E44" s="3" t="s">
        <v>28</v>
      </c>
      <c r="F44" s="3" t="s">
        <v>310</v>
      </c>
      <c r="G44" s="3" t="s">
        <v>311</v>
      </c>
      <c r="H44" s="3" t="s">
        <v>56</v>
      </c>
      <c r="I44" s="3" t="s">
        <v>32</v>
      </c>
      <c r="J44" s="3" t="s">
        <v>306</v>
      </c>
      <c r="K44" s="3" t="s">
        <v>307</v>
      </c>
      <c r="L44" s="3" t="s">
        <v>69</v>
      </c>
      <c r="M44" s="3" t="s">
        <v>237</v>
      </c>
      <c r="N44" s="3" t="s">
        <v>49</v>
      </c>
      <c r="O44" s="3" t="s">
        <v>220</v>
      </c>
      <c r="P44" s="3" t="s">
        <v>238</v>
      </c>
      <c r="Q44" s="5" t="n">
        <v>337.27</v>
      </c>
      <c r="R44" s="3" t="n">
        <v>8</v>
      </c>
      <c r="S44" s="6" t="n">
        <v>0</v>
      </c>
      <c r="T44" s="5" t="n">
        <v>93.3</v>
      </c>
      <c r="U44" s="3" t="str">
        <f aca="false">IF(T44&lt;0,"Loss",IF(T44=0,"Break-even","Profit"))</f>
        <v>Profit</v>
      </c>
      <c r="V44" s="3" t="str">
        <f aca="false">IF(Q44&lt;100,"Low",IF(Q44&lt;=500,"Medium","High"))</f>
        <v>Medium</v>
      </c>
      <c r="W44" s="3" t="n">
        <f aca="false">D44-C44</f>
        <v>4</v>
      </c>
      <c r="X44" s="3" t="str">
        <f aca="false">TEXT(C44,"mmmm")</f>
        <v>February</v>
      </c>
      <c r="Y44" s="3" t="str">
        <f aca="false">LEFT(G44,1)&amp;MID(G44,FIND(" ",G44)+1,1)</f>
        <v>FD</v>
      </c>
    </row>
    <row r="45" customFormat="false" ht="15" hidden="false" customHeight="false" outlineLevel="0" collapsed="false">
      <c r="A45" s="3" t="n">
        <v>44</v>
      </c>
      <c r="B45" s="3" t="s">
        <v>312</v>
      </c>
      <c r="C45" s="4" t="s">
        <v>303</v>
      </c>
      <c r="D45" s="4" t="s">
        <v>309</v>
      </c>
      <c r="E45" s="3" t="s">
        <v>84</v>
      </c>
      <c r="F45" s="3" t="s">
        <v>313</v>
      </c>
      <c r="G45" s="3" t="s">
        <v>314</v>
      </c>
      <c r="H45" s="3" t="s">
        <v>56</v>
      </c>
      <c r="I45" s="3" t="s">
        <v>32</v>
      </c>
      <c r="J45" s="3" t="s">
        <v>315</v>
      </c>
      <c r="K45" s="3" t="s">
        <v>58</v>
      </c>
      <c r="L45" s="3" t="s">
        <v>59</v>
      </c>
      <c r="M45" s="3" t="s">
        <v>316</v>
      </c>
      <c r="N45" s="3" t="s">
        <v>49</v>
      </c>
      <c r="O45" s="3" t="s">
        <v>143</v>
      </c>
      <c r="P45" s="3" t="s">
        <v>317</v>
      </c>
      <c r="Q45" s="5" t="n">
        <v>174.03</v>
      </c>
      <c r="R45" s="3" t="n">
        <v>6</v>
      </c>
      <c r="S45" s="6" t="n">
        <v>0.2</v>
      </c>
      <c r="T45" s="5" t="n">
        <v>51.82</v>
      </c>
      <c r="U45" s="3" t="str">
        <f aca="false">IF(T45&lt;0,"Loss",IF(T45=0,"Break-even","Profit"))</f>
        <v>Profit</v>
      </c>
      <c r="V45" s="3" t="str">
        <f aca="false">IF(Q45&lt;100,"Low",IF(Q45&lt;=500,"Medium","High"))</f>
        <v>Medium</v>
      </c>
      <c r="W45" s="3" t="n">
        <f aca="false">D45-C45</f>
        <v>4</v>
      </c>
      <c r="X45" s="3" t="str">
        <f aca="false">TEXT(C45,"mmmm")</f>
        <v>February</v>
      </c>
      <c r="Y45" s="3" t="str">
        <f aca="false">LEFT(G45,1)&amp;MID(G45,FIND(" ",G45)+1,1)</f>
        <v>JK</v>
      </c>
    </row>
    <row r="46" customFormat="false" ht="15" hidden="false" customHeight="false" outlineLevel="0" collapsed="false">
      <c r="A46" s="3" t="n">
        <v>45</v>
      </c>
      <c r="B46" s="3" t="s">
        <v>318</v>
      </c>
      <c r="C46" s="4" t="s">
        <v>319</v>
      </c>
      <c r="D46" s="4" t="s">
        <v>309</v>
      </c>
      <c r="E46" s="3" t="s">
        <v>84</v>
      </c>
      <c r="F46" s="3" t="s">
        <v>320</v>
      </c>
      <c r="G46" s="3" t="s">
        <v>321</v>
      </c>
      <c r="H46" s="3" t="s">
        <v>56</v>
      </c>
      <c r="I46" s="3" t="s">
        <v>32</v>
      </c>
      <c r="J46" s="3" t="s">
        <v>315</v>
      </c>
      <c r="K46" s="3" t="s">
        <v>58</v>
      </c>
      <c r="L46" s="3" t="s">
        <v>59</v>
      </c>
      <c r="M46" s="3" t="s">
        <v>322</v>
      </c>
      <c r="N46" s="3" t="s">
        <v>89</v>
      </c>
      <c r="O46" s="3" t="s">
        <v>323</v>
      </c>
      <c r="P46" s="3" t="s">
        <v>324</v>
      </c>
      <c r="Q46" s="5" t="n">
        <v>4487.99</v>
      </c>
      <c r="R46" s="3" t="n">
        <v>7</v>
      </c>
      <c r="S46" s="6" t="n">
        <v>0</v>
      </c>
      <c r="T46" s="5" t="n">
        <v>1244.92</v>
      </c>
      <c r="U46" s="3" t="str">
        <f aca="false">IF(T46&lt;0,"Loss",IF(T46=0,"Break-even","Profit"))</f>
        <v>Profit</v>
      </c>
      <c r="V46" s="3" t="str">
        <f aca="false">IF(Q46&lt;100,"Low",IF(Q46&lt;=500,"Medium","High"))</f>
        <v>High</v>
      </c>
      <c r="W46" s="3" t="n">
        <f aca="false">D46-C46</f>
        <v>3</v>
      </c>
      <c r="X46" s="3" t="str">
        <f aca="false">TEXT(C46,"mmmm")</f>
        <v>February</v>
      </c>
      <c r="Y46" s="3" t="str">
        <f aca="false">LEFT(G46,1)&amp;MID(G46,FIND(" ",G46)+1,1)</f>
        <v>OW</v>
      </c>
    </row>
    <row r="47" customFormat="false" ht="15" hidden="false" customHeight="false" outlineLevel="0" collapsed="false">
      <c r="A47" s="3" t="n">
        <v>46</v>
      </c>
      <c r="B47" s="3" t="s">
        <v>325</v>
      </c>
      <c r="C47" s="4" t="s">
        <v>319</v>
      </c>
      <c r="D47" s="4" t="s">
        <v>326</v>
      </c>
      <c r="E47" s="3" t="s">
        <v>28</v>
      </c>
      <c r="F47" s="3" t="s">
        <v>327</v>
      </c>
      <c r="G47" s="3" t="s">
        <v>328</v>
      </c>
      <c r="H47" s="3" t="s">
        <v>45</v>
      </c>
      <c r="I47" s="3" t="s">
        <v>32</v>
      </c>
      <c r="J47" s="3" t="s">
        <v>329</v>
      </c>
      <c r="K47" s="3" t="s">
        <v>156</v>
      </c>
      <c r="L47" s="3" t="s">
        <v>157</v>
      </c>
      <c r="M47" s="3" t="s">
        <v>135</v>
      </c>
      <c r="N47" s="3" t="s">
        <v>37</v>
      </c>
      <c r="O47" s="3" t="s">
        <v>136</v>
      </c>
      <c r="P47" s="3" t="s">
        <v>137</v>
      </c>
      <c r="Q47" s="5" t="n">
        <v>9869.98</v>
      </c>
      <c r="R47" s="3" t="n">
        <v>12</v>
      </c>
      <c r="S47" s="6" t="n">
        <v>0</v>
      </c>
      <c r="T47" s="5" t="n">
        <v>-917.17</v>
      </c>
      <c r="U47" s="3" t="str">
        <f aca="false">IF(T47&lt;0,"Loss",IF(T47=0,"Break-even","Profit"))</f>
        <v>Loss</v>
      </c>
      <c r="V47" s="3" t="str">
        <f aca="false">IF(Q47&lt;100,"Low",IF(Q47&lt;=500,"Medium","High"))</f>
        <v>High</v>
      </c>
      <c r="W47" s="3" t="n">
        <f aca="false">D47-C47</f>
        <v>7</v>
      </c>
      <c r="X47" s="3" t="str">
        <f aca="false">TEXT(C47,"mmmm")</f>
        <v>February</v>
      </c>
      <c r="Y47" s="3" t="str">
        <f aca="false">LEFT(G47,1)&amp;MID(G47,FIND(" ",G47)+1,1)</f>
        <v>EW</v>
      </c>
    </row>
    <row r="48" customFormat="false" ht="15" hidden="false" customHeight="false" outlineLevel="0" collapsed="false">
      <c r="A48" s="3" t="n">
        <v>47</v>
      </c>
      <c r="B48" s="3" t="s">
        <v>330</v>
      </c>
      <c r="C48" s="4" t="s">
        <v>319</v>
      </c>
      <c r="D48" s="4" t="s">
        <v>331</v>
      </c>
      <c r="E48" s="3" t="s">
        <v>84</v>
      </c>
      <c r="F48" s="3" t="s">
        <v>332</v>
      </c>
      <c r="G48" s="3" t="s">
        <v>333</v>
      </c>
      <c r="H48" s="3" t="s">
        <v>31</v>
      </c>
      <c r="I48" s="3" t="s">
        <v>32</v>
      </c>
      <c r="J48" s="3" t="s">
        <v>57</v>
      </c>
      <c r="K48" s="3" t="s">
        <v>58</v>
      </c>
      <c r="L48" s="3" t="s">
        <v>59</v>
      </c>
      <c r="M48" s="3" t="s">
        <v>334</v>
      </c>
      <c r="N48" s="3" t="s">
        <v>37</v>
      </c>
      <c r="O48" s="3" t="s">
        <v>136</v>
      </c>
      <c r="P48" s="3" t="s">
        <v>335</v>
      </c>
      <c r="Q48" s="5" t="n">
        <v>1106.47</v>
      </c>
      <c r="R48" s="3" t="n">
        <v>1</v>
      </c>
      <c r="S48" s="6" t="n">
        <v>0.1</v>
      </c>
      <c r="T48" s="5" t="n">
        <v>296.66</v>
      </c>
      <c r="U48" s="3" t="str">
        <f aca="false">IF(T48&lt;0,"Loss",IF(T48=0,"Break-even","Profit"))</f>
        <v>Profit</v>
      </c>
      <c r="V48" s="3" t="str">
        <f aca="false">IF(Q48&lt;100,"Low",IF(Q48&lt;=500,"Medium","High"))</f>
        <v>High</v>
      </c>
      <c r="W48" s="3" t="n">
        <f aca="false">D48-C48</f>
        <v>4</v>
      </c>
      <c r="X48" s="3" t="str">
        <f aca="false">TEXT(C48,"mmmm")</f>
        <v>February</v>
      </c>
      <c r="Y48" s="3" t="str">
        <f aca="false">LEFT(G48,1)&amp;MID(G48,FIND(" ",G48)+1,1)</f>
        <v>AM</v>
      </c>
    </row>
    <row r="49" customFormat="false" ht="15" hidden="false" customHeight="false" outlineLevel="0" collapsed="false">
      <c r="A49" s="3" t="n">
        <v>48</v>
      </c>
      <c r="B49" s="3" t="s">
        <v>336</v>
      </c>
      <c r="C49" s="4" t="s">
        <v>337</v>
      </c>
      <c r="D49" s="4" t="s">
        <v>331</v>
      </c>
      <c r="E49" s="3" t="s">
        <v>84</v>
      </c>
      <c r="F49" s="3" t="s">
        <v>338</v>
      </c>
      <c r="G49" s="3" t="s">
        <v>339</v>
      </c>
      <c r="H49" s="3" t="s">
        <v>45</v>
      </c>
      <c r="I49" s="3" t="s">
        <v>32</v>
      </c>
      <c r="J49" s="3" t="s">
        <v>243</v>
      </c>
      <c r="K49" s="3" t="s">
        <v>244</v>
      </c>
      <c r="L49" s="3" t="s">
        <v>157</v>
      </c>
      <c r="M49" s="3" t="s">
        <v>142</v>
      </c>
      <c r="N49" s="3" t="s">
        <v>49</v>
      </c>
      <c r="O49" s="3" t="s">
        <v>143</v>
      </c>
      <c r="P49" s="3" t="s">
        <v>144</v>
      </c>
      <c r="Q49" s="5" t="n">
        <v>522.31</v>
      </c>
      <c r="R49" s="3" t="n">
        <v>8</v>
      </c>
      <c r="S49" s="6" t="n">
        <v>0</v>
      </c>
      <c r="T49" s="5" t="n">
        <v>87.81</v>
      </c>
      <c r="U49" s="3" t="str">
        <f aca="false">IF(T49&lt;0,"Loss",IF(T49=0,"Break-even","Profit"))</f>
        <v>Profit</v>
      </c>
      <c r="V49" s="3" t="str">
        <f aca="false">IF(Q49&lt;100,"Low",IF(Q49&lt;=500,"Medium","High"))</f>
        <v>High</v>
      </c>
      <c r="W49" s="3" t="n">
        <f aca="false">D49-C49</f>
        <v>3</v>
      </c>
      <c r="X49" s="3" t="str">
        <f aca="false">TEXT(C49,"mmmm")</f>
        <v>February</v>
      </c>
      <c r="Y49" s="3" t="str">
        <f aca="false">LEFT(G49,1)&amp;MID(G49,FIND(" ",G49)+1,1)</f>
        <v>DS</v>
      </c>
    </row>
    <row r="50" customFormat="false" ht="15" hidden="false" customHeight="false" outlineLevel="0" collapsed="false">
      <c r="A50" s="3" t="n">
        <v>49</v>
      </c>
      <c r="B50" s="3" t="s">
        <v>340</v>
      </c>
      <c r="C50" s="4" t="s">
        <v>296</v>
      </c>
      <c r="D50" s="4" t="s">
        <v>341</v>
      </c>
      <c r="E50" s="3" t="s">
        <v>28</v>
      </c>
      <c r="F50" s="3" t="s">
        <v>342</v>
      </c>
      <c r="G50" s="3" t="s">
        <v>343</v>
      </c>
      <c r="H50" s="3" t="s">
        <v>56</v>
      </c>
      <c r="I50" s="3" t="s">
        <v>32</v>
      </c>
      <c r="J50" s="3" t="s">
        <v>57</v>
      </c>
      <c r="K50" s="3" t="s">
        <v>58</v>
      </c>
      <c r="L50" s="3" t="s">
        <v>59</v>
      </c>
      <c r="M50" s="3" t="s">
        <v>225</v>
      </c>
      <c r="N50" s="3" t="s">
        <v>37</v>
      </c>
      <c r="O50" s="3" t="s">
        <v>196</v>
      </c>
      <c r="P50" s="3" t="s">
        <v>226</v>
      </c>
      <c r="Q50" s="5" t="n">
        <v>2347.58</v>
      </c>
      <c r="R50" s="3" t="n">
        <v>2</v>
      </c>
      <c r="S50" s="6" t="n">
        <v>0.1</v>
      </c>
      <c r="T50" s="5" t="n">
        <v>436.29</v>
      </c>
      <c r="U50" s="3" t="str">
        <f aca="false">IF(T50&lt;0,"Loss",IF(T50=0,"Break-even","Profit"))</f>
        <v>Profit</v>
      </c>
      <c r="V50" s="3" t="str">
        <f aca="false">IF(Q50&lt;100,"Low",IF(Q50&lt;=500,"Medium","High"))</f>
        <v>High</v>
      </c>
      <c r="W50" s="3" t="n">
        <f aca="false">D50-C50</f>
        <v>7</v>
      </c>
      <c r="X50" s="3" t="str">
        <f aca="false">TEXT(C50,"mmmm")</f>
        <v>February</v>
      </c>
      <c r="Y50" s="3" t="str">
        <f aca="false">LEFT(G50,1)&amp;MID(G50,FIND(" ",G50)+1,1)</f>
        <v>JN</v>
      </c>
    </row>
    <row r="51" customFormat="false" ht="15" hidden="false" customHeight="false" outlineLevel="0" collapsed="false">
      <c r="A51" s="3" t="n">
        <v>50</v>
      </c>
      <c r="B51" s="3" t="s">
        <v>63</v>
      </c>
      <c r="C51" s="4" t="s">
        <v>309</v>
      </c>
      <c r="D51" s="4" t="s">
        <v>344</v>
      </c>
      <c r="E51" s="3" t="s">
        <v>28</v>
      </c>
      <c r="F51" s="3" t="s">
        <v>345</v>
      </c>
      <c r="G51" s="3" t="s">
        <v>346</v>
      </c>
      <c r="H51" s="3" t="s">
        <v>45</v>
      </c>
      <c r="I51" s="3" t="s">
        <v>32</v>
      </c>
      <c r="J51" s="3" t="s">
        <v>87</v>
      </c>
      <c r="K51" s="3" t="s">
        <v>68</v>
      </c>
      <c r="L51" s="3" t="s">
        <v>69</v>
      </c>
      <c r="M51" s="3" t="s">
        <v>347</v>
      </c>
      <c r="N51" s="3" t="s">
        <v>49</v>
      </c>
      <c r="O51" s="3" t="s">
        <v>220</v>
      </c>
      <c r="P51" s="3" t="s">
        <v>348</v>
      </c>
      <c r="Q51" s="5" t="n">
        <v>1195.48</v>
      </c>
      <c r="R51" s="3" t="n">
        <v>12</v>
      </c>
      <c r="S51" s="6" t="n">
        <v>0.4</v>
      </c>
      <c r="T51" s="5" t="n">
        <v>-281.82</v>
      </c>
      <c r="U51" s="3" t="str">
        <f aca="false">IF(T51&lt;0,"Loss",IF(T51=0,"Break-even","Profit"))</f>
        <v>Loss</v>
      </c>
      <c r="V51" s="3" t="str">
        <f aca="false">IF(Q51&lt;100,"Low",IF(Q51&lt;=500,"Medium","High"))</f>
        <v>High</v>
      </c>
      <c r="W51" s="3" t="n">
        <f aca="false">D51-C51</f>
        <v>5</v>
      </c>
      <c r="X51" s="3" t="str">
        <f aca="false">TEXT(C51,"mmmm")</f>
        <v>February</v>
      </c>
      <c r="Y51" s="3" t="str">
        <f aca="false">LEFT(G51,1)&amp;MID(G51,FIND(" ",G51)+1,1)</f>
        <v>OS</v>
      </c>
    </row>
    <row r="52" customFormat="false" ht="15" hidden="false" customHeight="false" outlineLevel="0" collapsed="false">
      <c r="A52" s="3" t="n">
        <v>51</v>
      </c>
      <c r="B52" s="3" t="s">
        <v>349</v>
      </c>
      <c r="C52" s="4" t="s">
        <v>331</v>
      </c>
      <c r="D52" s="4" t="s">
        <v>326</v>
      </c>
      <c r="E52" s="3" t="s">
        <v>28</v>
      </c>
      <c r="F52" s="3" t="s">
        <v>350</v>
      </c>
      <c r="G52" s="3" t="s">
        <v>351</v>
      </c>
      <c r="H52" s="3" t="s">
        <v>31</v>
      </c>
      <c r="I52" s="3" t="s">
        <v>32</v>
      </c>
      <c r="J52" s="3" t="s">
        <v>120</v>
      </c>
      <c r="K52" s="3" t="s">
        <v>113</v>
      </c>
      <c r="L52" s="3" t="s">
        <v>69</v>
      </c>
      <c r="M52" s="3" t="s">
        <v>149</v>
      </c>
      <c r="N52" s="3" t="s">
        <v>49</v>
      </c>
      <c r="O52" s="3" t="s">
        <v>150</v>
      </c>
      <c r="P52" s="3" t="s">
        <v>151</v>
      </c>
      <c r="Q52" s="5" t="n">
        <v>1231.45</v>
      </c>
      <c r="R52" s="3" t="n">
        <v>12</v>
      </c>
      <c r="S52" s="6" t="n">
        <v>0</v>
      </c>
      <c r="T52" s="5" t="n">
        <v>253.44</v>
      </c>
      <c r="U52" s="3" t="str">
        <f aca="false">IF(T52&lt;0,"Loss",IF(T52=0,"Break-even","Profit"))</f>
        <v>Profit</v>
      </c>
      <c r="V52" s="3" t="str">
        <f aca="false">IF(Q52&lt;100,"Low",IF(Q52&lt;=500,"Medium","High"))</f>
        <v>High</v>
      </c>
      <c r="W52" s="3" t="n">
        <f aca="false">D52-C52</f>
        <v>3</v>
      </c>
      <c r="X52" s="3" t="str">
        <f aca="false">TEXT(C52,"mmmm")</f>
        <v>February</v>
      </c>
      <c r="Y52" s="3" t="str">
        <f aca="false">LEFT(G52,1)&amp;MID(G52,FIND(" ",G52)+1,1)</f>
        <v>PA</v>
      </c>
    </row>
    <row r="53" customFormat="false" ht="15" hidden="false" customHeight="false" outlineLevel="0" collapsed="false">
      <c r="A53" s="3" t="n">
        <v>52</v>
      </c>
      <c r="B53" s="3" t="s">
        <v>352</v>
      </c>
      <c r="C53" s="4" t="s">
        <v>331</v>
      </c>
      <c r="D53" s="4" t="s">
        <v>353</v>
      </c>
      <c r="E53" s="3" t="s">
        <v>28</v>
      </c>
      <c r="F53" s="3" t="s">
        <v>354</v>
      </c>
      <c r="G53" s="3" t="s">
        <v>355</v>
      </c>
      <c r="H53" s="3" t="s">
        <v>56</v>
      </c>
      <c r="I53" s="3" t="s">
        <v>32</v>
      </c>
      <c r="J53" s="3" t="s">
        <v>133</v>
      </c>
      <c r="K53" s="3" t="s">
        <v>134</v>
      </c>
      <c r="L53" s="3" t="s">
        <v>69</v>
      </c>
      <c r="M53" s="3" t="s">
        <v>269</v>
      </c>
      <c r="N53" s="3" t="s">
        <v>89</v>
      </c>
      <c r="O53" s="3" t="s">
        <v>174</v>
      </c>
      <c r="P53" s="3" t="s">
        <v>270</v>
      </c>
      <c r="Q53" s="5" t="n">
        <v>1568.26</v>
      </c>
      <c r="R53" s="3" t="n">
        <v>8</v>
      </c>
      <c r="S53" s="6" t="n">
        <v>0.4</v>
      </c>
      <c r="T53" s="5" t="n">
        <v>-344.72</v>
      </c>
      <c r="U53" s="3" t="str">
        <f aca="false">IF(T53&lt;0,"Loss",IF(T53=0,"Break-even","Profit"))</f>
        <v>Loss</v>
      </c>
      <c r="V53" s="3" t="str">
        <f aca="false">IF(Q53&lt;100,"Low",IF(Q53&lt;=500,"Medium","High"))</f>
        <v>High</v>
      </c>
      <c r="W53" s="3" t="n">
        <f aca="false">D53-C53</f>
        <v>6</v>
      </c>
      <c r="X53" s="3" t="str">
        <f aca="false">TEXT(C53,"mmmm")</f>
        <v>February</v>
      </c>
      <c r="Y53" s="3" t="str">
        <f aca="false">LEFT(G53,1)&amp;MID(G53,FIND(" ",G53)+1,1)</f>
        <v>JW</v>
      </c>
    </row>
    <row r="54" customFormat="false" ht="15" hidden="false" customHeight="false" outlineLevel="0" collapsed="false">
      <c r="A54" s="3" t="n">
        <v>53</v>
      </c>
      <c r="B54" s="3" t="s">
        <v>356</v>
      </c>
      <c r="C54" s="4" t="s">
        <v>357</v>
      </c>
      <c r="D54" s="4" t="s">
        <v>358</v>
      </c>
      <c r="E54" s="3" t="s">
        <v>28</v>
      </c>
      <c r="F54" s="3" t="s">
        <v>359</v>
      </c>
      <c r="G54" s="3" t="s">
        <v>360</v>
      </c>
      <c r="H54" s="3" t="s">
        <v>56</v>
      </c>
      <c r="I54" s="3" t="s">
        <v>32</v>
      </c>
      <c r="J54" s="3" t="s">
        <v>33</v>
      </c>
      <c r="K54" s="3" t="s">
        <v>34</v>
      </c>
      <c r="L54" s="3" t="s">
        <v>35</v>
      </c>
      <c r="M54" s="3" t="s">
        <v>316</v>
      </c>
      <c r="N54" s="3" t="s">
        <v>49</v>
      </c>
      <c r="O54" s="3" t="s">
        <v>143</v>
      </c>
      <c r="P54" s="3" t="s">
        <v>317</v>
      </c>
      <c r="Q54" s="5" t="n">
        <v>520.66</v>
      </c>
      <c r="R54" s="3" t="n">
        <v>9</v>
      </c>
      <c r="S54" s="6" t="n">
        <v>0.2</v>
      </c>
      <c r="T54" s="5" t="n">
        <v>65.05</v>
      </c>
      <c r="U54" s="3" t="str">
        <f aca="false">IF(T54&lt;0,"Loss",IF(T54=0,"Break-even","Profit"))</f>
        <v>Profit</v>
      </c>
      <c r="V54" s="3" t="str">
        <f aca="false">IF(Q54&lt;100,"Low",IF(Q54&lt;=500,"Medium","High"))</f>
        <v>High</v>
      </c>
      <c r="W54" s="3" t="n">
        <f aca="false">D54-C54</f>
        <v>7</v>
      </c>
      <c r="X54" s="3" t="str">
        <f aca="false">TEXT(C54,"mmmm")</f>
        <v>February</v>
      </c>
      <c r="Y54" s="3" t="str">
        <f aca="false">LEFT(G54,1)&amp;MID(G54,FIND(" ",G54)+1,1)</f>
        <v>MM</v>
      </c>
    </row>
    <row r="55" customFormat="false" ht="15" hidden="false" customHeight="false" outlineLevel="0" collapsed="false">
      <c r="A55" s="3" t="n">
        <v>54</v>
      </c>
      <c r="B55" s="3" t="s">
        <v>361</v>
      </c>
      <c r="C55" s="4" t="s">
        <v>357</v>
      </c>
      <c r="D55" s="4" t="s">
        <v>358</v>
      </c>
      <c r="E55" s="3" t="s">
        <v>28</v>
      </c>
      <c r="F55" s="3" t="s">
        <v>362</v>
      </c>
      <c r="G55" s="3" t="s">
        <v>363</v>
      </c>
      <c r="H55" s="3" t="s">
        <v>31</v>
      </c>
      <c r="I55" s="3" t="s">
        <v>32</v>
      </c>
      <c r="J55" s="3" t="s">
        <v>306</v>
      </c>
      <c r="K55" s="3" t="s">
        <v>307</v>
      </c>
      <c r="L55" s="3" t="s">
        <v>69</v>
      </c>
      <c r="M55" s="3" t="s">
        <v>259</v>
      </c>
      <c r="N55" s="3" t="s">
        <v>89</v>
      </c>
      <c r="O55" s="3" t="s">
        <v>174</v>
      </c>
      <c r="P55" s="3" t="s">
        <v>260</v>
      </c>
      <c r="Q55" s="5" t="n">
        <v>5561.37</v>
      </c>
      <c r="R55" s="3" t="n">
        <v>12</v>
      </c>
      <c r="S55" s="6" t="n">
        <v>0.2</v>
      </c>
      <c r="T55" s="5" t="n">
        <v>-351.9</v>
      </c>
      <c r="U55" s="3" t="str">
        <f aca="false">IF(T55&lt;0,"Loss",IF(T55=0,"Break-even","Profit"))</f>
        <v>Loss</v>
      </c>
      <c r="V55" s="3" t="str">
        <f aca="false">IF(Q55&lt;100,"Low",IF(Q55&lt;=500,"Medium","High"))</f>
        <v>High</v>
      </c>
      <c r="W55" s="3" t="n">
        <f aca="false">D55-C55</f>
        <v>7</v>
      </c>
      <c r="X55" s="3" t="str">
        <f aca="false">TEXT(C55,"mmmm")</f>
        <v>February</v>
      </c>
      <c r="Y55" s="3" t="str">
        <f aca="false">LEFT(G55,1)&amp;MID(G55,FIND(" ",G55)+1,1)</f>
        <v>WB</v>
      </c>
    </row>
    <row r="56" customFormat="false" ht="15" hidden="false" customHeight="false" outlineLevel="0" collapsed="false">
      <c r="A56" s="3" t="n">
        <v>55</v>
      </c>
      <c r="B56" s="3" t="s">
        <v>364</v>
      </c>
      <c r="C56" s="4" t="s">
        <v>357</v>
      </c>
      <c r="D56" s="4" t="s">
        <v>344</v>
      </c>
      <c r="E56" s="3" t="s">
        <v>84</v>
      </c>
      <c r="F56" s="3" t="s">
        <v>342</v>
      </c>
      <c r="G56" s="3" t="s">
        <v>343</v>
      </c>
      <c r="H56" s="3" t="s">
        <v>56</v>
      </c>
      <c r="I56" s="3" t="s">
        <v>32</v>
      </c>
      <c r="J56" s="3" t="s">
        <v>365</v>
      </c>
      <c r="K56" s="3" t="s">
        <v>366</v>
      </c>
      <c r="L56" s="3" t="s">
        <v>157</v>
      </c>
      <c r="M56" s="3" t="s">
        <v>195</v>
      </c>
      <c r="N56" s="3" t="s">
        <v>37</v>
      </c>
      <c r="O56" s="3" t="s">
        <v>196</v>
      </c>
      <c r="P56" s="3" t="s">
        <v>197</v>
      </c>
      <c r="Q56" s="5" t="n">
        <v>1377.53</v>
      </c>
      <c r="R56" s="3" t="n">
        <v>2</v>
      </c>
      <c r="S56" s="6" t="n">
        <v>0.3</v>
      </c>
      <c r="T56" s="5" t="n">
        <v>381.46</v>
      </c>
      <c r="U56" s="3" t="str">
        <f aca="false">IF(T56&lt;0,"Loss",IF(T56=0,"Break-even","Profit"))</f>
        <v>Profit</v>
      </c>
      <c r="V56" s="3" t="str">
        <f aca="false">IF(Q56&lt;100,"Low",IF(Q56&lt;=500,"Medium","High"))</f>
        <v>High</v>
      </c>
      <c r="W56" s="3" t="n">
        <f aca="false">D56-C56</f>
        <v>3</v>
      </c>
      <c r="X56" s="3" t="str">
        <f aca="false">TEXT(C56,"mmmm")</f>
        <v>February</v>
      </c>
      <c r="Y56" s="3" t="str">
        <f aca="false">LEFT(G56,1)&amp;MID(G56,FIND(" ",G56)+1,1)</f>
        <v>JN</v>
      </c>
    </row>
    <row r="57" customFormat="false" ht="15" hidden="false" customHeight="false" outlineLevel="0" collapsed="false">
      <c r="A57" s="3" t="n">
        <v>56</v>
      </c>
      <c r="B57" s="3" t="s">
        <v>367</v>
      </c>
      <c r="C57" s="4" t="s">
        <v>357</v>
      </c>
      <c r="D57" s="4" t="s">
        <v>344</v>
      </c>
      <c r="E57" s="3" t="s">
        <v>28</v>
      </c>
      <c r="F57" s="3" t="s">
        <v>368</v>
      </c>
      <c r="G57" s="3" t="s">
        <v>369</v>
      </c>
      <c r="H57" s="3" t="s">
        <v>56</v>
      </c>
      <c r="I57" s="3" t="s">
        <v>32</v>
      </c>
      <c r="J57" s="3" t="s">
        <v>33</v>
      </c>
      <c r="K57" s="3" t="s">
        <v>34</v>
      </c>
      <c r="L57" s="3" t="s">
        <v>35</v>
      </c>
      <c r="M57" s="3" t="s">
        <v>48</v>
      </c>
      <c r="N57" s="3" t="s">
        <v>49</v>
      </c>
      <c r="O57" s="3" t="s">
        <v>50</v>
      </c>
      <c r="P57" s="3" t="s">
        <v>51</v>
      </c>
      <c r="Q57" s="5" t="n">
        <v>915.7</v>
      </c>
      <c r="R57" s="3" t="n">
        <v>10</v>
      </c>
      <c r="S57" s="6" t="n">
        <v>0.4</v>
      </c>
      <c r="T57" s="5" t="n">
        <v>-154.35</v>
      </c>
      <c r="U57" s="3" t="str">
        <f aca="false">IF(T57&lt;0,"Loss",IF(T57=0,"Break-even","Profit"))</f>
        <v>Loss</v>
      </c>
      <c r="V57" s="3" t="str">
        <f aca="false">IF(Q57&lt;100,"Low",IF(Q57&lt;=500,"Medium","High"))</f>
        <v>High</v>
      </c>
      <c r="W57" s="3" t="n">
        <f aca="false">D57-C57</f>
        <v>3</v>
      </c>
      <c r="X57" s="3" t="str">
        <f aca="false">TEXT(C57,"mmmm")</f>
        <v>February</v>
      </c>
      <c r="Y57" s="3" t="str">
        <f aca="false">LEFT(G57,1)&amp;MID(G57,FIND(" ",G57)+1,1)</f>
        <v>AS</v>
      </c>
    </row>
    <row r="58" customFormat="false" ht="15" hidden="false" customHeight="false" outlineLevel="0" collapsed="false">
      <c r="A58" s="3" t="n">
        <v>57</v>
      </c>
      <c r="B58" s="3" t="s">
        <v>370</v>
      </c>
      <c r="C58" s="4" t="s">
        <v>371</v>
      </c>
      <c r="D58" s="4" t="s">
        <v>341</v>
      </c>
      <c r="E58" s="3" t="s">
        <v>28</v>
      </c>
      <c r="F58" s="3" t="s">
        <v>372</v>
      </c>
      <c r="G58" s="3" t="s">
        <v>373</v>
      </c>
      <c r="H58" s="3" t="s">
        <v>45</v>
      </c>
      <c r="I58" s="3" t="s">
        <v>32</v>
      </c>
      <c r="J58" s="3" t="s">
        <v>252</v>
      </c>
      <c r="K58" s="3" t="s">
        <v>172</v>
      </c>
      <c r="L58" s="3" t="s">
        <v>157</v>
      </c>
      <c r="M58" s="3" t="s">
        <v>142</v>
      </c>
      <c r="N58" s="3" t="s">
        <v>49</v>
      </c>
      <c r="O58" s="3" t="s">
        <v>143</v>
      </c>
      <c r="P58" s="3" t="s">
        <v>144</v>
      </c>
      <c r="Q58" s="5" t="n">
        <v>766.06</v>
      </c>
      <c r="R58" s="3" t="n">
        <v>10</v>
      </c>
      <c r="S58" s="6" t="n">
        <v>0.5</v>
      </c>
      <c r="T58" s="5" t="n">
        <v>185.92</v>
      </c>
      <c r="U58" s="3" t="str">
        <f aca="false">IF(T58&lt;0,"Loss",IF(T58=0,"Break-even","Profit"))</f>
        <v>Profit</v>
      </c>
      <c r="V58" s="3" t="str">
        <f aca="false">IF(Q58&lt;100,"Low",IF(Q58&lt;=500,"Medium","High"))</f>
        <v>High</v>
      </c>
      <c r="W58" s="3" t="n">
        <f aca="false">D58-C58</f>
        <v>3</v>
      </c>
      <c r="X58" s="3" t="str">
        <f aca="false">TEXT(C58,"mmmm")</f>
        <v>February</v>
      </c>
      <c r="Y58" s="3" t="str">
        <f aca="false">LEFT(G58,1)&amp;MID(G58,FIND(" ",G58)+1,1)</f>
        <v>RN</v>
      </c>
    </row>
    <row r="59" customFormat="false" ht="15" hidden="false" customHeight="false" outlineLevel="0" collapsed="false">
      <c r="A59" s="3" t="n">
        <v>58</v>
      </c>
      <c r="B59" s="3" t="s">
        <v>374</v>
      </c>
      <c r="C59" s="4" t="s">
        <v>326</v>
      </c>
      <c r="D59" s="4" t="s">
        <v>353</v>
      </c>
      <c r="E59" s="3" t="s">
        <v>28</v>
      </c>
      <c r="F59" s="3" t="s">
        <v>375</v>
      </c>
      <c r="G59" s="3" t="s">
        <v>376</v>
      </c>
      <c r="H59" s="3" t="s">
        <v>45</v>
      </c>
      <c r="I59" s="3" t="s">
        <v>32</v>
      </c>
      <c r="J59" s="3" t="s">
        <v>57</v>
      </c>
      <c r="K59" s="3" t="s">
        <v>58</v>
      </c>
      <c r="L59" s="3" t="s">
        <v>59</v>
      </c>
      <c r="M59" s="3" t="s">
        <v>48</v>
      </c>
      <c r="N59" s="3" t="s">
        <v>49</v>
      </c>
      <c r="O59" s="3" t="s">
        <v>50</v>
      </c>
      <c r="P59" s="3" t="s">
        <v>51</v>
      </c>
      <c r="Q59" s="5" t="n">
        <v>862.59</v>
      </c>
      <c r="R59" s="3" t="n">
        <v>10</v>
      </c>
      <c r="S59" s="6" t="n">
        <v>0.2</v>
      </c>
      <c r="T59" s="5" t="n">
        <v>152.67</v>
      </c>
      <c r="U59" s="3" t="str">
        <f aca="false">IF(T59&lt;0,"Loss",IF(T59=0,"Break-even","Profit"))</f>
        <v>Profit</v>
      </c>
      <c r="V59" s="3" t="str">
        <f aca="false">IF(Q59&lt;100,"Low",IF(Q59&lt;=500,"Medium","High"))</f>
        <v>High</v>
      </c>
      <c r="W59" s="3" t="n">
        <f aca="false">D59-C59</f>
        <v>3</v>
      </c>
      <c r="X59" s="3" t="str">
        <f aca="false">TEXT(C59,"mmmm")</f>
        <v>February</v>
      </c>
      <c r="Y59" s="3" t="str">
        <f aca="false">LEFT(G59,1)&amp;MID(G59,FIND(" ",G59)+1,1)</f>
        <v>MN</v>
      </c>
    </row>
    <row r="60" customFormat="false" ht="15" hidden="false" customHeight="false" outlineLevel="0" collapsed="false">
      <c r="A60" s="3" t="n">
        <v>59</v>
      </c>
      <c r="B60" s="3" t="s">
        <v>377</v>
      </c>
      <c r="C60" s="4" t="s">
        <v>344</v>
      </c>
      <c r="D60" s="4" t="s">
        <v>378</v>
      </c>
      <c r="E60" s="3" t="s">
        <v>28</v>
      </c>
      <c r="F60" s="3" t="s">
        <v>379</v>
      </c>
      <c r="G60" s="3" t="s">
        <v>380</v>
      </c>
      <c r="H60" s="3" t="s">
        <v>45</v>
      </c>
      <c r="I60" s="3" t="s">
        <v>32</v>
      </c>
      <c r="J60" s="3" t="s">
        <v>381</v>
      </c>
      <c r="K60" s="3" t="s">
        <v>58</v>
      </c>
      <c r="L60" s="3" t="s">
        <v>59</v>
      </c>
      <c r="M60" s="3" t="s">
        <v>165</v>
      </c>
      <c r="N60" s="3" t="s">
        <v>89</v>
      </c>
      <c r="O60" s="3" t="s">
        <v>166</v>
      </c>
      <c r="P60" s="3" t="s">
        <v>167</v>
      </c>
      <c r="Q60" s="5" t="n">
        <v>2516.06</v>
      </c>
      <c r="R60" s="3" t="n">
        <v>8</v>
      </c>
      <c r="S60" s="6" t="n">
        <v>0.4</v>
      </c>
      <c r="T60" s="5" t="n">
        <v>560.66</v>
      </c>
      <c r="U60" s="3" t="str">
        <f aca="false">IF(T60&lt;0,"Loss",IF(T60=0,"Break-even","Profit"))</f>
        <v>Profit</v>
      </c>
      <c r="V60" s="3" t="str">
        <f aca="false">IF(Q60&lt;100,"Low",IF(Q60&lt;=500,"Medium","High"))</f>
        <v>High</v>
      </c>
      <c r="W60" s="3" t="n">
        <f aca="false">D60-C60</f>
        <v>7</v>
      </c>
      <c r="X60" s="3" t="str">
        <f aca="false">TEXT(C60,"mmmm")</f>
        <v>February</v>
      </c>
      <c r="Y60" s="3" t="str">
        <f aca="false">LEFT(G60,1)&amp;MID(G60,FIND(" ",G60)+1,1)</f>
        <v>MG</v>
      </c>
    </row>
    <row r="61" customFormat="false" ht="15" hidden="false" customHeight="false" outlineLevel="0" collapsed="false">
      <c r="A61" s="3" t="n">
        <v>60</v>
      </c>
      <c r="B61" s="3" t="s">
        <v>382</v>
      </c>
      <c r="C61" s="4" t="s">
        <v>344</v>
      </c>
      <c r="D61" s="4" t="s">
        <v>383</v>
      </c>
      <c r="E61" s="3" t="s">
        <v>84</v>
      </c>
      <c r="F61" s="3" t="s">
        <v>384</v>
      </c>
      <c r="G61" s="3" t="s">
        <v>385</v>
      </c>
      <c r="H61" s="3" t="s">
        <v>31</v>
      </c>
      <c r="I61" s="3" t="s">
        <v>32</v>
      </c>
      <c r="J61" s="3" t="s">
        <v>386</v>
      </c>
      <c r="K61" s="3" t="s">
        <v>387</v>
      </c>
      <c r="L61" s="3" t="s">
        <v>35</v>
      </c>
      <c r="M61" s="3" t="s">
        <v>195</v>
      </c>
      <c r="N61" s="3" t="s">
        <v>37</v>
      </c>
      <c r="O61" s="3" t="s">
        <v>196</v>
      </c>
      <c r="P61" s="3" t="s">
        <v>197</v>
      </c>
      <c r="Q61" s="5" t="n">
        <v>16704.77</v>
      </c>
      <c r="R61" s="3" t="n">
        <v>13</v>
      </c>
      <c r="S61" s="6" t="n">
        <v>0.4</v>
      </c>
      <c r="T61" s="5" t="n">
        <v>-5478.19</v>
      </c>
      <c r="U61" s="3" t="str">
        <f aca="false">IF(T61&lt;0,"Loss",IF(T61=0,"Break-even","Profit"))</f>
        <v>Loss</v>
      </c>
      <c r="V61" s="3" t="str">
        <f aca="false">IF(Q61&lt;100,"Low",IF(Q61&lt;=500,"Medium","High"))</f>
        <v>High</v>
      </c>
      <c r="W61" s="3" t="n">
        <f aca="false">D61-C61</f>
        <v>3</v>
      </c>
      <c r="X61" s="3" t="str">
        <f aca="false">TEXT(C61,"mmmm")</f>
        <v>February</v>
      </c>
      <c r="Y61" s="3" t="str">
        <f aca="false">LEFT(G61,1)&amp;MID(G61,FIND(" ",G61)+1,1)</f>
        <v>DJ</v>
      </c>
    </row>
    <row r="62" customFormat="false" ht="15" hidden="false" customHeight="false" outlineLevel="0" collapsed="false">
      <c r="A62" s="3" t="n">
        <v>61</v>
      </c>
      <c r="B62" s="3" t="s">
        <v>388</v>
      </c>
      <c r="C62" s="4" t="s">
        <v>341</v>
      </c>
      <c r="D62" s="4" t="s">
        <v>353</v>
      </c>
      <c r="E62" s="3" t="s">
        <v>42</v>
      </c>
      <c r="F62" s="3" t="s">
        <v>372</v>
      </c>
      <c r="G62" s="3" t="s">
        <v>373</v>
      </c>
      <c r="H62" s="3" t="s">
        <v>56</v>
      </c>
      <c r="I62" s="3" t="s">
        <v>32</v>
      </c>
      <c r="J62" s="3" t="s">
        <v>208</v>
      </c>
      <c r="K62" s="3" t="s">
        <v>134</v>
      </c>
      <c r="L62" s="3" t="s">
        <v>69</v>
      </c>
      <c r="M62" s="3" t="s">
        <v>165</v>
      </c>
      <c r="N62" s="3" t="s">
        <v>89</v>
      </c>
      <c r="O62" s="3" t="s">
        <v>166</v>
      </c>
      <c r="P62" s="3" t="s">
        <v>167</v>
      </c>
      <c r="Q62" s="5" t="n">
        <v>2486.97</v>
      </c>
      <c r="R62" s="3" t="n">
        <v>3</v>
      </c>
      <c r="S62" s="6" t="n">
        <v>0.1</v>
      </c>
      <c r="T62" s="5" t="n">
        <v>701.31</v>
      </c>
      <c r="U62" s="3" t="str">
        <f aca="false">IF(T62&lt;0,"Loss",IF(T62=0,"Break-even","Profit"))</f>
        <v>Profit</v>
      </c>
      <c r="V62" s="3" t="str">
        <f aca="false">IF(Q62&lt;100,"Low",IF(Q62&lt;=500,"Medium","High"))</f>
        <v>High</v>
      </c>
      <c r="W62" s="3" t="n">
        <f aca="false">D62-C62</f>
        <v>1</v>
      </c>
      <c r="X62" s="3" t="str">
        <f aca="false">TEXT(C62,"mmmm")</f>
        <v>February</v>
      </c>
      <c r="Y62" s="3" t="str">
        <f aca="false">LEFT(G62,1)&amp;MID(G62,FIND(" ",G62)+1,1)</f>
        <v>RN</v>
      </c>
    </row>
    <row r="63" customFormat="false" ht="15" hidden="false" customHeight="false" outlineLevel="0" collapsed="false">
      <c r="A63" s="3" t="n">
        <v>62</v>
      </c>
      <c r="B63" s="3" t="s">
        <v>389</v>
      </c>
      <c r="C63" s="4" t="s">
        <v>353</v>
      </c>
      <c r="D63" s="4" t="s">
        <v>378</v>
      </c>
      <c r="E63" s="3" t="s">
        <v>28</v>
      </c>
      <c r="F63" s="3" t="s">
        <v>390</v>
      </c>
      <c r="G63" s="3" t="s">
        <v>391</v>
      </c>
      <c r="H63" s="3" t="s">
        <v>56</v>
      </c>
      <c r="I63" s="3" t="s">
        <v>32</v>
      </c>
      <c r="J63" s="3" t="s">
        <v>381</v>
      </c>
      <c r="K63" s="3" t="s">
        <v>58</v>
      </c>
      <c r="L63" s="3" t="s">
        <v>59</v>
      </c>
      <c r="M63" s="3" t="s">
        <v>149</v>
      </c>
      <c r="N63" s="3" t="s">
        <v>49</v>
      </c>
      <c r="O63" s="3" t="s">
        <v>150</v>
      </c>
      <c r="P63" s="3" t="s">
        <v>151</v>
      </c>
      <c r="Q63" s="5" t="n">
        <v>272.13</v>
      </c>
      <c r="R63" s="3" t="n">
        <v>12</v>
      </c>
      <c r="S63" s="6" t="n">
        <v>0</v>
      </c>
      <c r="T63" s="5" t="n">
        <v>-44.42</v>
      </c>
      <c r="U63" s="3" t="str">
        <f aca="false">IF(T63&lt;0,"Loss",IF(T63=0,"Break-even","Profit"))</f>
        <v>Loss</v>
      </c>
      <c r="V63" s="3" t="str">
        <f aca="false">IF(Q63&lt;100,"Low",IF(Q63&lt;=500,"Medium","High"))</f>
        <v>Medium</v>
      </c>
      <c r="W63" s="3" t="n">
        <f aca="false">D63-C63</f>
        <v>5</v>
      </c>
      <c r="X63" s="3" t="str">
        <f aca="false">TEXT(C63,"mmmm")</f>
        <v>February</v>
      </c>
      <c r="Y63" s="3" t="str">
        <f aca="false">LEFT(G63,1)&amp;MID(G63,FIND(" ",G63)+1,1)</f>
        <v>MA</v>
      </c>
    </row>
    <row r="64" customFormat="false" ht="15" hidden="false" customHeight="false" outlineLevel="0" collapsed="false">
      <c r="A64" s="3" t="n">
        <v>63</v>
      </c>
      <c r="B64" s="3" t="s">
        <v>392</v>
      </c>
      <c r="C64" s="4" t="s">
        <v>353</v>
      </c>
      <c r="D64" s="4" t="s">
        <v>378</v>
      </c>
      <c r="E64" s="3" t="s">
        <v>28</v>
      </c>
      <c r="F64" s="3" t="s">
        <v>393</v>
      </c>
      <c r="G64" s="3" t="s">
        <v>394</v>
      </c>
      <c r="H64" s="3" t="s">
        <v>56</v>
      </c>
      <c r="I64" s="3" t="s">
        <v>32</v>
      </c>
      <c r="J64" s="3" t="s">
        <v>155</v>
      </c>
      <c r="K64" s="3" t="s">
        <v>156</v>
      </c>
      <c r="L64" s="3" t="s">
        <v>157</v>
      </c>
      <c r="M64" s="3" t="s">
        <v>209</v>
      </c>
      <c r="N64" s="3" t="s">
        <v>49</v>
      </c>
      <c r="O64" s="3" t="s">
        <v>106</v>
      </c>
      <c r="P64" s="3" t="s">
        <v>210</v>
      </c>
      <c r="Q64" s="5" t="n">
        <v>402.88</v>
      </c>
      <c r="R64" s="3" t="n">
        <v>11</v>
      </c>
      <c r="S64" s="6" t="n">
        <v>0.1</v>
      </c>
      <c r="T64" s="5" t="n">
        <v>60.75</v>
      </c>
      <c r="U64" s="3" t="str">
        <f aca="false">IF(T64&lt;0,"Loss",IF(T64=0,"Break-even","Profit"))</f>
        <v>Profit</v>
      </c>
      <c r="V64" s="3" t="str">
        <f aca="false">IF(Q64&lt;100,"Low",IF(Q64&lt;=500,"Medium","High"))</f>
        <v>Medium</v>
      </c>
      <c r="W64" s="3" t="n">
        <f aca="false">D64-C64</f>
        <v>5</v>
      </c>
      <c r="X64" s="3" t="str">
        <f aca="false">TEXT(C64,"mmmm")</f>
        <v>February</v>
      </c>
      <c r="Y64" s="3" t="str">
        <f aca="false">LEFT(G64,1)&amp;MID(G64,FIND(" ",G64)+1,1)</f>
        <v>LD</v>
      </c>
    </row>
    <row r="65" customFormat="false" ht="15" hidden="false" customHeight="false" outlineLevel="0" collapsed="false">
      <c r="A65" s="3" t="n">
        <v>64</v>
      </c>
      <c r="B65" s="3" t="s">
        <v>395</v>
      </c>
      <c r="C65" s="4" t="s">
        <v>383</v>
      </c>
      <c r="D65" s="4" t="s">
        <v>396</v>
      </c>
      <c r="E65" s="3" t="s">
        <v>28</v>
      </c>
      <c r="F65" s="3" t="s">
        <v>397</v>
      </c>
      <c r="G65" s="3" t="s">
        <v>398</v>
      </c>
      <c r="H65" s="3" t="s">
        <v>56</v>
      </c>
      <c r="I65" s="3" t="s">
        <v>32</v>
      </c>
      <c r="J65" s="3" t="s">
        <v>215</v>
      </c>
      <c r="K65" s="3" t="s">
        <v>34</v>
      </c>
      <c r="L65" s="3" t="s">
        <v>35</v>
      </c>
      <c r="M65" s="3" t="s">
        <v>70</v>
      </c>
      <c r="N65" s="3" t="s">
        <v>37</v>
      </c>
      <c r="O65" s="3" t="s">
        <v>71</v>
      </c>
      <c r="P65" s="3" t="s">
        <v>72</v>
      </c>
      <c r="Q65" s="5" t="n">
        <v>5549.31</v>
      </c>
      <c r="R65" s="3" t="n">
        <v>9</v>
      </c>
      <c r="S65" s="6" t="n">
        <v>0.4</v>
      </c>
      <c r="T65" s="5" t="n">
        <v>1305.66</v>
      </c>
      <c r="U65" s="3" t="str">
        <f aca="false">IF(T65&lt;0,"Loss",IF(T65=0,"Break-even","Profit"))</f>
        <v>Profit</v>
      </c>
      <c r="V65" s="3" t="str">
        <f aca="false">IF(Q65&lt;100,"Low",IF(Q65&lt;=500,"Medium","High"))</f>
        <v>High</v>
      </c>
      <c r="W65" s="3" t="n">
        <f aca="false">D65-C65</f>
        <v>7</v>
      </c>
      <c r="X65" s="3" t="str">
        <f aca="false">TEXT(C65,"mmmm")</f>
        <v>February</v>
      </c>
      <c r="Y65" s="3" t="str">
        <f aca="false">LEFT(G65,1)&amp;MID(G65,FIND(" ",G65)+1,1)</f>
        <v>DN</v>
      </c>
    </row>
    <row r="66" customFormat="false" ht="15" hidden="false" customHeight="false" outlineLevel="0" collapsed="false">
      <c r="A66" s="3" t="n">
        <v>65</v>
      </c>
      <c r="B66" s="3" t="s">
        <v>399</v>
      </c>
      <c r="C66" s="4" t="s">
        <v>383</v>
      </c>
      <c r="D66" s="4" t="s">
        <v>400</v>
      </c>
      <c r="E66" s="3" t="s">
        <v>28</v>
      </c>
      <c r="F66" s="3" t="s">
        <v>401</v>
      </c>
      <c r="G66" s="3" t="s">
        <v>402</v>
      </c>
      <c r="H66" s="3" t="s">
        <v>56</v>
      </c>
      <c r="I66" s="3" t="s">
        <v>32</v>
      </c>
      <c r="J66" s="3" t="s">
        <v>252</v>
      </c>
      <c r="K66" s="3" t="s">
        <v>172</v>
      </c>
      <c r="L66" s="3" t="s">
        <v>157</v>
      </c>
      <c r="M66" s="3" t="s">
        <v>347</v>
      </c>
      <c r="N66" s="3" t="s">
        <v>49</v>
      </c>
      <c r="O66" s="3" t="s">
        <v>220</v>
      </c>
      <c r="P66" s="3" t="s">
        <v>348</v>
      </c>
      <c r="Q66" s="5" t="n">
        <v>70.51</v>
      </c>
      <c r="R66" s="3" t="n">
        <v>2</v>
      </c>
      <c r="S66" s="6" t="n">
        <v>0</v>
      </c>
      <c r="T66" s="5" t="n">
        <v>-2.38</v>
      </c>
      <c r="U66" s="3" t="str">
        <f aca="false">IF(T66&lt;0,"Loss",IF(T66=0,"Break-even","Profit"))</f>
        <v>Loss</v>
      </c>
      <c r="V66" s="3" t="str">
        <f aca="false">IF(Q66&lt;100,"Low",IF(Q66&lt;=500,"Medium","High"))</f>
        <v>Low</v>
      </c>
      <c r="W66" s="3" t="n">
        <f aca="false">D66-C66</f>
        <v>5</v>
      </c>
      <c r="X66" s="3" t="str">
        <f aca="false">TEXT(C66,"mmmm")</f>
        <v>February</v>
      </c>
      <c r="Y66" s="3" t="str">
        <f aca="false">LEFT(G66,1)&amp;MID(G66,FIND(" ",G66)+1,1)</f>
        <v>PD</v>
      </c>
    </row>
    <row r="67" customFormat="false" ht="15" hidden="false" customHeight="false" outlineLevel="0" collapsed="false">
      <c r="A67" s="3" t="n">
        <v>66</v>
      </c>
      <c r="B67" s="3" t="s">
        <v>403</v>
      </c>
      <c r="C67" s="4" t="s">
        <v>358</v>
      </c>
      <c r="D67" s="4" t="s">
        <v>396</v>
      </c>
      <c r="E67" s="3" t="s">
        <v>28</v>
      </c>
      <c r="F67" s="3" t="s">
        <v>206</v>
      </c>
      <c r="G67" s="3" t="s">
        <v>207</v>
      </c>
      <c r="H67" s="3" t="s">
        <v>56</v>
      </c>
      <c r="I67" s="3" t="s">
        <v>32</v>
      </c>
      <c r="J67" s="3" t="s">
        <v>188</v>
      </c>
      <c r="K67" s="3" t="s">
        <v>189</v>
      </c>
      <c r="L67" s="3" t="s">
        <v>59</v>
      </c>
      <c r="M67" s="3" t="s">
        <v>404</v>
      </c>
      <c r="N67" s="3" t="s">
        <v>89</v>
      </c>
      <c r="O67" s="3" t="s">
        <v>166</v>
      </c>
      <c r="P67" s="3" t="s">
        <v>405</v>
      </c>
      <c r="Q67" s="5" t="n">
        <v>1360.08</v>
      </c>
      <c r="R67" s="3" t="n">
        <v>3</v>
      </c>
      <c r="S67" s="6" t="n">
        <v>0.3</v>
      </c>
      <c r="T67" s="5" t="n">
        <v>207.37</v>
      </c>
      <c r="U67" s="3" t="str">
        <f aca="false">IF(T67&lt;0,"Loss",IF(T67=0,"Break-even","Profit"))</f>
        <v>Profit</v>
      </c>
      <c r="V67" s="3" t="str">
        <f aca="false">IF(Q67&lt;100,"Low",IF(Q67&lt;=500,"Medium","High"))</f>
        <v>High</v>
      </c>
      <c r="W67" s="3" t="n">
        <f aca="false">D67-C67</f>
        <v>6</v>
      </c>
      <c r="X67" s="3" t="str">
        <f aca="false">TEXT(C67,"mmmm")</f>
        <v>February</v>
      </c>
      <c r="Y67" s="3" t="str">
        <f aca="false">LEFT(G67,1)&amp;MID(G67,FIND(" ",G67)+1,1)</f>
        <v>DJ</v>
      </c>
    </row>
    <row r="68" customFormat="false" ht="15" hidden="false" customHeight="false" outlineLevel="0" collapsed="false">
      <c r="A68" s="3" t="n">
        <v>67</v>
      </c>
      <c r="B68" s="3" t="s">
        <v>406</v>
      </c>
      <c r="C68" s="4" t="s">
        <v>407</v>
      </c>
      <c r="D68" s="4" t="s">
        <v>408</v>
      </c>
      <c r="E68" s="3" t="s">
        <v>28</v>
      </c>
      <c r="F68" s="3" t="s">
        <v>409</v>
      </c>
      <c r="G68" s="3" t="s">
        <v>410</v>
      </c>
      <c r="H68" s="3" t="s">
        <v>56</v>
      </c>
      <c r="I68" s="3" t="s">
        <v>32</v>
      </c>
      <c r="J68" s="3" t="s">
        <v>46</v>
      </c>
      <c r="K68" s="3" t="s">
        <v>47</v>
      </c>
      <c r="L68" s="3" t="s">
        <v>35</v>
      </c>
      <c r="M68" s="3" t="s">
        <v>237</v>
      </c>
      <c r="N68" s="3" t="s">
        <v>49</v>
      </c>
      <c r="O68" s="3" t="s">
        <v>220</v>
      </c>
      <c r="P68" s="3" t="s">
        <v>238</v>
      </c>
      <c r="Q68" s="5" t="n">
        <v>961.96</v>
      </c>
      <c r="R68" s="3" t="n">
        <v>13</v>
      </c>
      <c r="S68" s="6" t="n">
        <v>0.1</v>
      </c>
      <c r="T68" s="5" t="n">
        <v>-3.86</v>
      </c>
      <c r="U68" s="3" t="str">
        <f aca="false">IF(T68&lt;0,"Loss",IF(T68=0,"Break-even","Profit"))</f>
        <v>Loss</v>
      </c>
      <c r="V68" s="3" t="str">
        <f aca="false">IF(Q68&lt;100,"Low",IF(Q68&lt;=500,"Medium","High"))</f>
        <v>High</v>
      </c>
      <c r="W68" s="3" t="n">
        <f aca="false">D68-C68</f>
        <v>7</v>
      </c>
      <c r="X68" s="3" t="str">
        <f aca="false">TEXT(C68,"mmmm")</f>
        <v>February</v>
      </c>
      <c r="Y68" s="3" t="str">
        <f aca="false">LEFT(G68,1)&amp;MID(G68,FIND(" ",G68)+1,1)</f>
        <v>CT</v>
      </c>
    </row>
    <row r="69" customFormat="false" ht="15" hidden="false" customHeight="false" outlineLevel="0" collapsed="false">
      <c r="A69" s="3" t="n">
        <v>68</v>
      </c>
      <c r="B69" s="3" t="s">
        <v>92</v>
      </c>
      <c r="C69" s="4" t="s">
        <v>407</v>
      </c>
      <c r="D69" s="4" t="s">
        <v>396</v>
      </c>
      <c r="E69" s="3" t="s">
        <v>28</v>
      </c>
      <c r="F69" s="3" t="s">
        <v>320</v>
      </c>
      <c r="G69" s="3" t="s">
        <v>321</v>
      </c>
      <c r="H69" s="3" t="s">
        <v>56</v>
      </c>
      <c r="I69" s="3" t="s">
        <v>32</v>
      </c>
      <c r="J69" s="3" t="s">
        <v>329</v>
      </c>
      <c r="K69" s="3" t="s">
        <v>156</v>
      </c>
      <c r="L69" s="3" t="s">
        <v>157</v>
      </c>
      <c r="M69" s="3" t="s">
        <v>79</v>
      </c>
      <c r="N69" s="3" t="s">
        <v>49</v>
      </c>
      <c r="O69" s="3" t="s">
        <v>80</v>
      </c>
      <c r="P69" s="3" t="s">
        <v>81</v>
      </c>
      <c r="Q69" s="5" t="n">
        <v>75.98</v>
      </c>
      <c r="R69" s="3" t="n">
        <v>13</v>
      </c>
      <c r="S69" s="6" t="n">
        <v>0.1</v>
      </c>
      <c r="T69" s="5" t="n">
        <v>15.1</v>
      </c>
      <c r="U69" s="3" t="str">
        <f aca="false">IF(T69&lt;0,"Loss",IF(T69=0,"Break-even","Profit"))</f>
        <v>Profit</v>
      </c>
      <c r="V69" s="3" t="str">
        <f aca="false">IF(Q69&lt;100,"Low",IF(Q69&lt;=500,"Medium","High"))</f>
        <v>Low</v>
      </c>
      <c r="W69" s="3" t="n">
        <f aca="false">D69-C69</f>
        <v>4</v>
      </c>
      <c r="X69" s="3" t="str">
        <f aca="false">TEXT(C69,"mmmm")</f>
        <v>February</v>
      </c>
      <c r="Y69" s="3" t="str">
        <f aca="false">LEFT(G69,1)&amp;MID(G69,FIND(" ",G69)+1,1)</f>
        <v>OW</v>
      </c>
    </row>
    <row r="70" customFormat="false" ht="15" hidden="false" customHeight="false" outlineLevel="0" collapsed="false">
      <c r="A70" s="3" t="n">
        <v>69</v>
      </c>
      <c r="B70" s="3" t="s">
        <v>411</v>
      </c>
      <c r="C70" s="4" t="s">
        <v>378</v>
      </c>
      <c r="D70" s="4" t="s">
        <v>400</v>
      </c>
      <c r="E70" s="3" t="s">
        <v>42</v>
      </c>
      <c r="F70" s="3" t="s">
        <v>412</v>
      </c>
      <c r="G70" s="3" t="s">
        <v>413</v>
      </c>
      <c r="H70" s="3" t="s">
        <v>45</v>
      </c>
      <c r="I70" s="3" t="s">
        <v>32</v>
      </c>
      <c r="J70" s="3" t="s">
        <v>386</v>
      </c>
      <c r="K70" s="3" t="s">
        <v>387</v>
      </c>
      <c r="L70" s="3" t="s">
        <v>35</v>
      </c>
      <c r="M70" s="3" t="s">
        <v>88</v>
      </c>
      <c r="N70" s="3" t="s">
        <v>89</v>
      </c>
      <c r="O70" s="3" t="s">
        <v>90</v>
      </c>
      <c r="P70" s="3" t="s">
        <v>91</v>
      </c>
      <c r="Q70" s="5" t="n">
        <v>4888.9</v>
      </c>
      <c r="R70" s="3" t="n">
        <v>10</v>
      </c>
      <c r="S70" s="6" t="n">
        <v>0.3</v>
      </c>
      <c r="T70" s="5" t="n">
        <v>252.95</v>
      </c>
      <c r="U70" s="3" t="str">
        <f aca="false">IF(T70&lt;0,"Loss",IF(T70=0,"Break-even","Profit"))</f>
        <v>Profit</v>
      </c>
      <c r="V70" s="3" t="str">
        <f aca="false">IF(Q70&lt;100,"Low",IF(Q70&lt;=500,"Medium","High"))</f>
        <v>High</v>
      </c>
      <c r="W70" s="3" t="n">
        <f aca="false">D70-C70</f>
        <v>1</v>
      </c>
      <c r="X70" s="3" t="str">
        <f aca="false">TEXT(C70,"mmmm")</f>
        <v>February</v>
      </c>
      <c r="Y70" s="3" t="str">
        <f aca="false">LEFT(G70,1)&amp;MID(G70,FIND(" ",G70)+1,1)</f>
        <v>LS</v>
      </c>
    </row>
    <row r="71" customFormat="false" ht="15" hidden="false" customHeight="false" outlineLevel="0" collapsed="false">
      <c r="A71" s="3" t="n">
        <v>70</v>
      </c>
      <c r="B71" s="3" t="s">
        <v>184</v>
      </c>
      <c r="C71" s="4" t="s">
        <v>378</v>
      </c>
      <c r="D71" s="4" t="s">
        <v>414</v>
      </c>
      <c r="E71" s="3" t="s">
        <v>28</v>
      </c>
      <c r="F71" s="3" t="s">
        <v>350</v>
      </c>
      <c r="G71" s="3" t="s">
        <v>351</v>
      </c>
      <c r="H71" s="3" t="s">
        <v>31</v>
      </c>
      <c r="I71" s="3" t="s">
        <v>32</v>
      </c>
      <c r="J71" s="3" t="s">
        <v>415</v>
      </c>
      <c r="K71" s="3" t="s">
        <v>202</v>
      </c>
      <c r="L71" s="3" t="s">
        <v>35</v>
      </c>
      <c r="M71" s="3" t="s">
        <v>88</v>
      </c>
      <c r="N71" s="3" t="s">
        <v>89</v>
      </c>
      <c r="O71" s="3" t="s">
        <v>90</v>
      </c>
      <c r="P71" s="3" t="s">
        <v>91</v>
      </c>
      <c r="Q71" s="5" t="n">
        <v>1449.62</v>
      </c>
      <c r="R71" s="3" t="n">
        <v>2</v>
      </c>
      <c r="S71" s="6" t="n">
        <v>0.4</v>
      </c>
      <c r="T71" s="5" t="n">
        <v>224.77</v>
      </c>
      <c r="U71" s="3" t="str">
        <f aca="false">IF(T71&lt;0,"Loss",IF(T71=0,"Break-even","Profit"))</f>
        <v>Profit</v>
      </c>
      <c r="V71" s="3" t="str">
        <f aca="false">IF(Q71&lt;100,"Low",IF(Q71&lt;=500,"Medium","High"))</f>
        <v>High</v>
      </c>
      <c r="W71" s="3" t="n">
        <f aca="false">D71-C71</f>
        <v>4</v>
      </c>
      <c r="X71" s="3" t="str">
        <f aca="false">TEXT(C71,"mmmm")</f>
        <v>February</v>
      </c>
      <c r="Y71" s="3" t="str">
        <f aca="false">LEFT(G71,1)&amp;MID(G71,FIND(" ",G71)+1,1)</f>
        <v>PA</v>
      </c>
    </row>
    <row r="72" customFormat="false" ht="15" hidden="false" customHeight="false" outlineLevel="0" collapsed="false">
      <c r="A72" s="3" t="n">
        <v>71</v>
      </c>
      <c r="B72" s="3" t="s">
        <v>416</v>
      </c>
      <c r="C72" s="4" t="s">
        <v>400</v>
      </c>
      <c r="D72" s="4" t="s">
        <v>417</v>
      </c>
      <c r="E72" s="3" t="s">
        <v>28</v>
      </c>
      <c r="F72" s="3" t="s">
        <v>418</v>
      </c>
      <c r="G72" s="3" t="s">
        <v>419</v>
      </c>
      <c r="H72" s="3" t="s">
        <v>56</v>
      </c>
      <c r="I72" s="3" t="s">
        <v>32</v>
      </c>
      <c r="J72" s="3" t="s">
        <v>243</v>
      </c>
      <c r="K72" s="3" t="s">
        <v>244</v>
      </c>
      <c r="L72" s="3" t="s">
        <v>157</v>
      </c>
      <c r="M72" s="3" t="s">
        <v>420</v>
      </c>
      <c r="N72" s="3" t="s">
        <v>49</v>
      </c>
      <c r="O72" s="3" t="s">
        <v>80</v>
      </c>
      <c r="P72" s="3" t="s">
        <v>421</v>
      </c>
      <c r="Q72" s="5" t="n">
        <v>1195.77</v>
      </c>
      <c r="R72" s="3" t="n">
        <v>12</v>
      </c>
      <c r="S72" s="6" t="n">
        <v>0.3</v>
      </c>
      <c r="T72" s="5" t="n">
        <v>247.48</v>
      </c>
      <c r="U72" s="3" t="str">
        <f aca="false">IF(T72&lt;0,"Loss",IF(T72=0,"Break-even","Profit"))</f>
        <v>Profit</v>
      </c>
      <c r="V72" s="3" t="str">
        <f aca="false">IF(Q72&lt;100,"Low",IF(Q72&lt;=500,"Medium","High"))</f>
        <v>High</v>
      </c>
      <c r="W72" s="3" t="n">
        <f aca="false">D72-C72</f>
        <v>4</v>
      </c>
      <c r="X72" s="3" t="str">
        <f aca="false">TEXT(C72,"mmmm")</f>
        <v>February</v>
      </c>
      <c r="Y72" s="3" t="str">
        <f aca="false">LEFT(G72,1)&amp;MID(G72,FIND(" ",G72)+1,1)</f>
        <v>PW</v>
      </c>
    </row>
    <row r="73" customFormat="false" ht="15" hidden="false" customHeight="false" outlineLevel="0" collapsed="false">
      <c r="A73" s="3" t="n">
        <v>72</v>
      </c>
      <c r="B73" s="3" t="s">
        <v>422</v>
      </c>
      <c r="C73" s="4" t="s">
        <v>400</v>
      </c>
      <c r="D73" s="4" t="s">
        <v>417</v>
      </c>
      <c r="E73" s="3" t="s">
        <v>84</v>
      </c>
      <c r="F73" s="3" t="s">
        <v>423</v>
      </c>
      <c r="G73" s="3" t="s">
        <v>424</v>
      </c>
      <c r="H73" s="3" t="s">
        <v>56</v>
      </c>
      <c r="I73" s="3" t="s">
        <v>32</v>
      </c>
      <c r="J73" s="3" t="s">
        <v>87</v>
      </c>
      <c r="K73" s="3" t="s">
        <v>68</v>
      </c>
      <c r="L73" s="3" t="s">
        <v>69</v>
      </c>
      <c r="M73" s="3" t="s">
        <v>114</v>
      </c>
      <c r="N73" s="3" t="s">
        <v>49</v>
      </c>
      <c r="O73" s="3" t="s">
        <v>61</v>
      </c>
      <c r="P73" s="3" t="s">
        <v>115</v>
      </c>
      <c r="Q73" s="5" t="n">
        <v>856.84</v>
      </c>
      <c r="R73" s="3" t="n">
        <v>10</v>
      </c>
      <c r="S73" s="6" t="n">
        <v>0</v>
      </c>
      <c r="T73" s="5" t="n">
        <v>251.82</v>
      </c>
      <c r="U73" s="3" t="str">
        <f aca="false">IF(T73&lt;0,"Loss",IF(T73=0,"Break-even","Profit"))</f>
        <v>Profit</v>
      </c>
      <c r="V73" s="3" t="str">
        <f aca="false">IF(Q73&lt;100,"Low",IF(Q73&lt;=500,"Medium","High"))</f>
        <v>High</v>
      </c>
      <c r="W73" s="3" t="n">
        <f aca="false">D73-C73</f>
        <v>4</v>
      </c>
      <c r="X73" s="3" t="str">
        <f aca="false">TEXT(C73,"mmmm")</f>
        <v>February</v>
      </c>
      <c r="Y73" s="3" t="str">
        <f aca="false">LEFT(G73,1)&amp;MID(G73,FIND(" ",G73)+1,1)</f>
        <v>MC</v>
      </c>
    </row>
    <row r="74" customFormat="false" ht="15" hidden="false" customHeight="false" outlineLevel="0" collapsed="false">
      <c r="A74" s="3" t="n">
        <v>73</v>
      </c>
      <c r="B74" s="3" t="s">
        <v>425</v>
      </c>
      <c r="C74" s="4" t="s">
        <v>400</v>
      </c>
      <c r="D74" s="4" t="s">
        <v>417</v>
      </c>
      <c r="E74" s="3" t="s">
        <v>84</v>
      </c>
      <c r="F74" s="3" t="s">
        <v>426</v>
      </c>
      <c r="G74" s="3" t="s">
        <v>427</v>
      </c>
      <c r="H74" s="3" t="s">
        <v>31</v>
      </c>
      <c r="I74" s="3" t="s">
        <v>32</v>
      </c>
      <c r="J74" s="3" t="s">
        <v>208</v>
      </c>
      <c r="K74" s="3" t="s">
        <v>134</v>
      </c>
      <c r="L74" s="3" t="s">
        <v>69</v>
      </c>
      <c r="M74" s="3" t="s">
        <v>158</v>
      </c>
      <c r="N74" s="3" t="s">
        <v>49</v>
      </c>
      <c r="O74" s="3" t="s">
        <v>159</v>
      </c>
      <c r="P74" s="3" t="s">
        <v>160</v>
      </c>
      <c r="Q74" s="5" t="n">
        <v>262.15</v>
      </c>
      <c r="R74" s="3" t="n">
        <v>3</v>
      </c>
      <c r="S74" s="6" t="n">
        <v>0.2</v>
      </c>
      <c r="T74" s="5" t="n">
        <v>-46.12</v>
      </c>
      <c r="U74" s="3" t="str">
        <f aca="false">IF(T74&lt;0,"Loss",IF(T74=0,"Break-even","Profit"))</f>
        <v>Loss</v>
      </c>
      <c r="V74" s="3" t="str">
        <f aca="false">IF(Q74&lt;100,"Low",IF(Q74&lt;=500,"Medium","High"))</f>
        <v>Medium</v>
      </c>
      <c r="W74" s="3" t="n">
        <f aca="false">D74-C74</f>
        <v>4</v>
      </c>
      <c r="X74" s="3" t="str">
        <f aca="false">TEXT(C74,"mmmm")</f>
        <v>February</v>
      </c>
      <c r="Y74" s="3" t="str">
        <f aca="false">LEFT(G74,1)&amp;MID(G74,FIND(" ",G74)+1,1)</f>
        <v>JG</v>
      </c>
    </row>
    <row r="75" customFormat="false" ht="15" hidden="false" customHeight="false" outlineLevel="0" collapsed="false">
      <c r="A75" s="3" t="n">
        <v>74</v>
      </c>
      <c r="B75" s="3" t="s">
        <v>428</v>
      </c>
      <c r="C75" s="4" t="s">
        <v>400</v>
      </c>
      <c r="D75" s="4" t="s">
        <v>429</v>
      </c>
      <c r="E75" s="3" t="s">
        <v>28</v>
      </c>
      <c r="F75" s="3" t="s">
        <v>430</v>
      </c>
      <c r="G75" s="3" t="s">
        <v>431</v>
      </c>
      <c r="H75" s="3" t="s">
        <v>56</v>
      </c>
      <c r="I75" s="3" t="s">
        <v>32</v>
      </c>
      <c r="J75" s="3" t="s">
        <v>171</v>
      </c>
      <c r="K75" s="3" t="s">
        <v>172</v>
      </c>
      <c r="L75" s="3" t="s">
        <v>157</v>
      </c>
      <c r="M75" s="3" t="s">
        <v>70</v>
      </c>
      <c r="N75" s="3" t="s">
        <v>37</v>
      </c>
      <c r="O75" s="3" t="s">
        <v>71</v>
      </c>
      <c r="P75" s="3" t="s">
        <v>72</v>
      </c>
      <c r="Q75" s="5" t="n">
        <v>2434.05</v>
      </c>
      <c r="R75" s="3" t="n">
        <v>6</v>
      </c>
      <c r="S75" s="6" t="n">
        <v>0</v>
      </c>
      <c r="T75" s="5" t="n">
        <v>-598.85</v>
      </c>
      <c r="U75" s="3" t="str">
        <f aca="false">IF(T75&lt;0,"Loss",IF(T75=0,"Break-even","Profit"))</f>
        <v>Loss</v>
      </c>
      <c r="V75" s="3" t="str">
        <f aca="false">IF(Q75&lt;100,"Low",IF(Q75&lt;=500,"Medium","High"))</f>
        <v>High</v>
      </c>
      <c r="W75" s="3" t="n">
        <f aca="false">D75-C75</f>
        <v>6</v>
      </c>
      <c r="X75" s="3" t="str">
        <f aca="false">TEXT(C75,"mmmm")</f>
        <v>February</v>
      </c>
      <c r="Y75" s="3" t="str">
        <f aca="false">LEFT(G75,1)&amp;MID(G75,FIND(" ",G75)+1,1)</f>
        <v>SM</v>
      </c>
    </row>
    <row r="76" customFormat="false" ht="15" hidden="false" customHeight="false" outlineLevel="0" collapsed="false">
      <c r="A76" s="3" t="n">
        <v>75</v>
      </c>
      <c r="B76" s="3" t="s">
        <v>432</v>
      </c>
      <c r="C76" s="4" t="s">
        <v>433</v>
      </c>
      <c r="D76" s="4" t="s">
        <v>414</v>
      </c>
      <c r="E76" s="3" t="s">
        <v>84</v>
      </c>
      <c r="F76" s="3" t="s">
        <v>434</v>
      </c>
      <c r="G76" s="3" t="s">
        <v>435</v>
      </c>
      <c r="H76" s="3" t="s">
        <v>31</v>
      </c>
      <c r="I76" s="3" t="s">
        <v>32</v>
      </c>
      <c r="J76" s="3" t="s">
        <v>33</v>
      </c>
      <c r="K76" s="3" t="s">
        <v>34</v>
      </c>
      <c r="L76" s="3" t="s">
        <v>35</v>
      </c>
      <c r="M76" s="3" t="s">
        <v>70</v>
      </c>
      <c r="N76" s="3" t="s">
        <v>37</v>
      </c>
      <c r="O76" s="3" t="s">
        <v>71</v>
      </c>
      <c r="P76" s="3" t="s">
        <v>72</v>
      </c>
      <c r="Q76" s="5" t="n">
        <v>5936.96</v>
      </c>
      <c r="R76" s="3" t="n">
        <v>14</v>
      </c>
      <c r="S76" s="6" t="n">
        <v>0.3</v>
      </c>
      <c r="T76" s="5" t="n">
        <v>-488.22</v>
      </c>
      <c r="U76" s="3" t="str">
        <f aca="false">IF(T76&lt;0,"Loss",IF(T76=0,"Break-even","Profit"))</f>
        <v>Loss</v>
      </c>
      <c r="V76" s="3" t="str">
        <f aca="false">IF(Q76&lt;100,"Low",IF(Q76&lt;=500,"Medium","High"))</f>
        <v>High</v>
      </c>
      <c r="W76" s="3" t="n">
        <f aca="false">D76-C76</f>
        <v>2</v>
      </c>
      <c r="X76" s="3" t="str">
        <f aca="false">TEXT(C76,"mmmm")</f>
        <v>February</v>
      </c>
      <c r="Y76" s="3" t="str">
        <f aca="false">LEFT(G76,1)&amp;MID(G76,FIND(" ",G76)+1,1)</f>
        <v>JC</v>
      </c>
    </row>
    <row r="77" customFormat="false" ht="15" hidden="false" customHeight="false" outlineLevel="0" collapsed="false">
      <c r="A77" s="3" t="n">
        <v>76</v>
      </c>
      <c r="B77" s="3" t="s">
        <v>436</v>
      </c>
      <c r="C77" s="4" t="s">
        <v>433</v>
      </c>
      <c r="D77" s="4" t="s">
        <v>437</v>
      </c>
      <c r="E77" s="3" t="s">
        <v>28</v>
      </c>
      <c r="F77" s="3" t="s">
        <v>438</v>
      </c>
      <c r="G77" s="3" t="s">
        <v>439</v>
      </c>
      <c r="H77" s="3" t="s">
        <v>31</v>
      </c>
      <c r="I77" s="3" t="s">
        <v>32</v>
      </c>
      <c r="J77" s="3" t="s">
        <v>179</v>
      </c>
      <c r="K77" s="3" t="s">
        <v>47</v>
      </c>
      <c r="L77" s="3" t="s">
        <v>35</v>
      </c>
      <c r="M77" s="3" t="s">
        <v>88</v>
      </c>
      <c r="N77" s="3" t="s">
        <v>89</v>
      </c>
      <c r="O77" s="3" t="s">
        <v>90</v>
      </c>
      <c r="P77" s="3" t="s">
        <v>91</v>
      </c>
      <c r="Q77" s="5" t="n">
        <v>1844.63</v>
      </c>
      <c r="R77" s="3" t="n">
        <v>10</v>
      </c>
      <c r="S77" s="6" t="n">
        <v>0.1</v>
      </c>
      <c r="T77" s="5" t="n">
        <v>396.05</v>
      </c>
      <c r="U77" s="3" t="str">
        <f aca="false">IF(T77&lt;0,"Loss",IF(T77=0,"Break-even","Profit"))</f>
        <v>Profit</v>
      </c>
      <c r="V77" s="3" t="str">
        <f aca="false">IF(Q77&lt;100,"Low",IF(Q77&lt;=500,"Medium","High"))</f>
        <v>High</v>
      </c>
      <c r="W77" s="3" t="n">
        <f aca="false">D77-C77</f>
        <v>7</v>
      </c>
      <c r="X77" s="3" t="str">
        <f aca="false">TEXT(C77,"mmmm")</f>
        <v>February</v>
      </c>
      <c r="Y77" s="3" t="str">
        <f aca="false">LEFT(G77,1)&amp;MID(G77,FIND(" ",G77)+1,1)</f>
        <v>JB</v>
      </c>
    </row>
    <row r="78" customFormat="false" ht="15" hidden="false" customHeight="false" outlineLevel="0" collapsed="false">
      <c r="A78" s="3" t="n">
        <v>77</v>
      </c>
      <c r="B78" s="3" t="s">
        <v>440</v>
      </c>
      <c r="C78" s="4" t="s">
        <v>433</v>
      </c>
      <c r="D78" s="4" t="s">
        <v>429</v>
      </c>
      <c r="E78" s="3" t="s">
        <v>28</v>
      </c>
      <c r="F78" s="3" t="s">
        <v>441</v>
      </c>
      <c r="G78" s="3" t="s">
        <v>442</v>
      </c>
      <c r="H78" s="3" t="s">
        <v>56</v>
      </c>
      <c r="I78" s="3" t="s">
        <v>32</v>
      </c>
      <c r="J78" s="3" t="s">
        <v>306</v>
      </c>
      <c r="K78" s="3" t="s">
        <v>307</v>
      </c>
      <c r="L78" s="3" t="s">
        <v>69</v>
      </c>
      <c r="M78" s="3" t="s">
        <v>121</v>
      </c>
      <c r="N78" s="3" t="s">
        <v>49</v>
      </c>
      <c r="O78" s="3" t="s">
        <v>50</v>
      </c>
      <c r="P78" s="3" t="s">
        <v>122</v>
      </c>
      <c r="Q78" s="5" t="n">
        <v>569.21</v>
      </c>
      <c r="R78" s="3" t="n">
        <v>9</v>
      </c>
      <c r="S78" s="6" t="n">
        <v>0.3</v>
      </c>
      <c r="T78" s="5" t="n">
        <v>-31.49</v>
      </c>
      <c r="U78" s="3" t="str">
        <f aca="false">IF(T78&lt;0,"Loss",IF(T78=0,"Break-even","Profit"))</f>
        <v>Loss</v>
      </c>
      <c r="V78" s="3" t="str">
        <f aca="false">IF(Q78&lt;100,"Low",IF(Q78&lt;=500,"Medium","High"))</f>
        <v>High</v>
      </c>
      <c r="W78" s="3" t="n">
        <f aca="false">D78-C78</f>
        <v>5</v>
      </c>
      <c r="X78" s="3" t="str">
        <f aca="false">TEXT(C78,"mmmm")</f>
        <v>February</v>
      </c>
      <c r="Y78" s="3" t="str">
        <f aca="false">LEFT(G78,1)&amp;MID(G78,FIND(" ",G78)+1,1)</f>
        <v>AK</v>
      </c>
    </row>
    <row r="79" customFormat="false" ht="15" hidden="false" customHeight="false" outlineLevel="0" collapsed="false">
      <c r="A79" s="3" t="n">
        <v>78</v>
      </c>
      <c r="B79" s="3" t="s">
        <v>443</v>
      </c>
      <c r="C79" s="4" t="s">
        <v>396</v>
      </c>
      <c r="D79" s="4" t="s">
        <v>417</v>
      </c>
      <c r="E79" s="3" t="s">
        <v>84</v>
      </c>
      <c r="F79" s="3" t="s">
        <v>177</v>
      </c>
      <c r="G79" s="3" t="s">
        <v>178</v>
      </c>
      <c r="H79" s="3" t="s">
        <v>56</v>
      </c>
      <c r="I79" s="3" t="s">
        <v>32</v>
      </c>
      <c r="J79" s="3" t="s">
        <v>120</v>
      </c>
      <c r="K79" s="3" t="s">
        <v>113</v>
      </c>
      <c r="L79" s="3" t="s">
        <v>69</v>
      </c>
      <c r="M79" s="3" t="s">
        <v>347</v>
      </c>
      <c r="N79" s="3" t="s">
        <v>49</v>
      </c>
      <c r="O79" s="3" t="s">
        <v>220</v>
      </c>
      <c r="P79" s="3" t="s">
        <v>348</v>
      </c>
      <c r="Q79" s="5" t="n">
        <v>719.15</v>
      </c>
      <c r="R79" s="3" t="n">
        <v>12</v>
      </c>
      <c r="S79" s="6" t="n">
        <v>0.4</v>
      </c>
      <c r="T79" s="5" t="n">
        <v>173.21</v>
      </c>
      <c r="U79" s="3" t="str">
        <f aca="false">IF(T79&lt;0,"Loss",IF(T79=0,"Break-even","Profit"))</f>
        <v>Profit</v>
      </c>
      <c r="V79" s="3" t="str">
        <f aca="false">IF(Q79&lt;100,"Low",IF(Q79&lt;=500,"Medium","High"))</f>
        <v>High</v>
      </c>
      <c r="W79" s="3" t="n">
        <f aca="false">D79-C79</f>
        <v>2</v>
      </c>
      <c r="X79" s="3" t="str">
        <f aca="false">TEXT(C79,"mmmm")</f>
        <v>February</v>
      </c>
      <c r="Y79" s="3" t="str">
        <f aca="false">LEFT(G79,1)&amp;MID(G79,FIND(" ",G79)+1,1)</f>
        <v>RB</v>
      </c>
    </row>
    <row r="80" customFormat="false" ht="15" hidden="false" customHeight="false" outlineLevel="0" collapsed="false">
      <c r="A80" s="3" t="n">
        <v>79</v>
      </c>
      <c r="B80" s="3" t="s">
        <v>444</v>
      </c>
      <c r="C80" s="4" t="s">
        <v>396</v>
      </c>
      <c r="D80" s="4" t="s">
        <v>408</v>
      </c>
      <c r="E80" s="3" t="s">
        <v>28</v>
      </c>
      <c r="F80" s="3" t="s">
        <v>445</v>
      </c>
      <c r="G80" s="3" t="s">
        <v>446</v>
      </c>
      <c r="H80" s="3" t="s">
        <v>56</v>
      </c>
      <c r="I80" s="3" t="s">
        <v>32</v>
      </c>
      <c r="J80" s="3" t="s">
        <v>133</v>
      </c>
      <c r="K80" s="3" t="s">
        <v>134</v>
      </c>
      <c r="L80" s="3" t="s">
        <v>69</v>
      </c>
      <c r="M80" s="3" t="s">
        <v>447</v>
      </c>
      <c r="N80" s="3" t="s">
        <v>89</v>
      </c>
      <c r="O80" s="3" t="s">
        <v>323</v>
      </c>
      <c r="P80" s="3" t="s">
        <v>448</v>
      </c>
      <c r="Q80" s="5" t="n">
        <v>1453.92</v>
      </c>
      <c r="R80" s="3" t="n">
        <v>3</v>
      </c>
      <c r="S80" s="6" t="n">
        <v>0</v>
      </c>
      <c r="T80" s="5" t="n">
        <v>-151.27</v>
      </c>
      <c r="U80" s="3" t="str">
        <f aca="false">IF(T80&lt;0,"Loss",IF(T80=0,"Break-even","Profit"))</f>
        <v>Loss</v>
      </c>
      <c r="V80" s="3" t="str">
        <f aca="false">IF(Q80&lt;100,"Low",IF(Q80&lt;=500,"Medium","High"))</f>
        <v>High</v>
      </c>
      <c r="W80" s="3" t="n">
        <f aca="false">D80-C80</f>
        <v>3</v>
      </c>
      <c r="X80" s="3" t="str">
        <f aca="false">TEXT(C80,"mmmm")</f>
        <v>February</v>
      </c>
      <c r="Y80" s="3" t="str">
        <f aca="false">LEFT(G80,1)&amp;MID(G80,FIND(" ",G80)+1,1)</f>
        <v>JN</v>
      </c>
    </row>
    <row r="81" customFormat="false" ht="15" hidden="false" customHeight="false" outlineLevel="0" collapsed="false">
      <c r="A81" s="3" t="n">
        <v>80</v>
      </c>
      <c r="B81" s="3" t="s">
        <v>449</v>
      </c>
      <c r="C81" s="4" t="s">
        <v>429</v>
      </c>
      <c r="D81" s="4" t="s">
        <v>450</v>
      </c>
      <c r="E81" s="3" t="s">
        <v>84</v>
      </c>
      <c r="F81" s="3" t="s">
        <v>451</v>
      </c>
      <c r="G81" s="3" t="s">
        <v>452</v>
      </c>
      <c r="H81" s="3" t="s">
        <v>56</v>
      </c>
      <c r="I81" s="3" t="s">
        <v>32</v>
      </c>
      <c r="J81" s="3" t="s">
        <v>415</v>
      </c>
      <c r="K81" s="3" t="s">
        <v>202</v>
      </c>
      <c r="L81" s="3" t="s">
        <v>35</v>
      </c>
      <c r="M81" s="3" t="s">
        <v>97</v>
      </c>
      <c r="N81" s="3" t="s">
        <v>89</v>
      </c>
      <c r="O81" s="3" t="s">
        <v>90</v>
      </c>
      <c r="P81" s="3" t="s">
        <v>98</v>
      </c>
      <c r="Q81" s="5" t="n">
        <v>2243.48</v>
      </c>
      <c r="R81" s="3" t="n">
        <v>9</v>
      </c>
      <c r="S81" s="6" t="n">
        <v>0.3</v>
      </c>
      <c r="T81" s="5" t="n">
        <v>-649.81</v>
      </c>
      <c r="U81" s="3" t="str">
        <f aca="false">IF(T81&lt;0,"Loss",IF(T81=0,"Break-even","Profit"))</f>
        <v>Loss</v>
      </c>
      <c r="V81" s="3" t="str">
        <f aca="false">IF(Q81&lt;100,"Low",IF(Q81&lt;=500,"Medium","High"))</f>
        <v>High</v>
      </c>
      <c r="W81" s="3" t="n">
        <f aca="false">D81-C81</f>
        <v>3</v>
      </c>
      <c r="X81" s="3" t="str">
        <f aca="false">TEXT(C81,"mmmm")</f>
        <v>March</v>
      </c>
      <c r="Y81" s="3" t="str">
        <f aca="false">LEFT(G81,1)&amp;MID(G81,FIND(" ",G81)+1,1)</f>
        <v>AR</v>
      </c>
    </row>
    <row r="82" customFormat="false" ht="15" hidden="false" customHeight="false" outlineLevel="0" collapsed="false">
      <c r="A82" s="3" t="n">
        <v>81</v>
      </c>
      <c r="B82" s="3" t="s">
        <v>453</v>
      </c>
      <c r="C82" s="4" t="s">
        <v>429</v>
      </c>
      <c r="D82" s="4" t="s">
        <v>437</v>
      </c>
      <c r="E82" s="3" t="s">
        <v>42</v>
      </c>
      <c r="F82" s="3" t="s">
        <v>454</v>
      </c>
      <c r="G82" s="3" t="s">
        <v>455</v>
      </c>
      <c r="H82" s="3" t="s">
        <v>31</v>
      </c>
      <c r="I82" s="3" t="s">
        <v>32</v>
      </c>
      <c r="J82" s="3" t="s">
        <v>365</v>
      </c>
      <c r="K82" s="3" t="s">
        <v>366</v>
      </c>
      <c r="L82" s="3" t="s">
        <v>157</v>
      </c>
      <c r="M82" s="3" t="s">
        <v>165</v>
      </c>
      <c r="N82" s="3" t="s">
        <v>89</v>
      </c>
      <c r="O82" s="3" t="s">
        <v>166</v>
      </c>
      <c r="P82" s="3" t="s">
        <v>167</v>
      </c>
      <c r="Q82" s="5" t="n">
        <v>1519.74</v>
      </c>
      <c r="R82" s="3" t="n">
        <v>7</v>
      </c>
      <c r="S82" s="6" t="n">
        <v>0.4</v>
      </c>
      <c r="T82" s="5" t="n">
        <v>-201.26</v>
      </c>
      <c r="U82" s="3" t="str">
        <f aca="false">IF(T82&lt;0,"Loss",IF(T82=0,"Break-even","Profit"))</f>
        <v>Loss</v>
      </c>
      <c r="V82" s="3" t="str">
        <f aca="false">IF(Q82&lt;100,"Low",IF(Q82&lt;=500,"Medium","High"))</f>
        <v>High</v>
      </c>
      <c r="W82" s="3" t="n">
        <f aca="false">D82-C82</f>
        <v>2</v>
      </c>
      <c r="X82" s="3" t="str">
        <f aca="false">TEXT(C82,"mmmm")</f>
        <v>March</v>
      </c>
      <c r="Y82" s="3" t="str">
        <f aca="false">LEFT(G82,1)&amp;MID(G82,FIND(" ",G82)+1,1)</f>
        <v>OD</v>
      </c>
    </row>
    <row r="83" customFormat="false" ht="15" hidden="false" customHeight="false" outlineLevel="0" collapsed="false">
      <c r="A83" s="3" t="n">
        <v>82</v>
      </c>
      <c r="B83" s="3" t="s">
        <v>456</v>
      </c>
      <c r="C83" s="4" t="s">
        <v>457</v>
      </c>
      <c r="D83" s="4" t="s">
        <v>458</v>
      </c>
      <c r="E83" s="3" t="s">
        <v>28</v>
      </c>
      <c r="F83" s="3" t="s">
        <v>459</v>
      </c>
      <c r="G83" s="3" t="s">
        <v>460</v>
      </c>
      <c r="H83" s="3" t="s">
        <v>31</v>
      </c>
      <c r="I83" s="3" t="s">
        <v>32</v>
      </c>
      <c r="J83" s="3" t="s">
        <v>243</v>
      </c>
      <c r="K83" s="3" t="s">
        <v>244</v>
      </c>
      <c r="L83" s="3" t="s">
        <v>157</v>
      </c>
      <c r="M83" s="3" t="s">
        <v>461</v>
      </c>
      <c r="N83" s="3" t="s">
        <v>37</v>
      </c>
      <c r="O83" s="3" t="s">
        <v>71</v>
      </c>
      <c r="P83" s="3" t="s">
        <v>462</v>
      </c>
      <c r="Q83" s="5" t="n">
        <v>7396.74</v>
      </c>
      <c r="R83" s="3" t="n">
        <v>7</v>
      </c>
      <c r="S83" s="6" t="n">
        <v>0.1</v>
      </c>
      <c r="T83" s="5" t="n">
        <v>-1295.14</v>
      </c>
      <c r="U83" s="3" t="str">
        <f aca="false">IF(T83&lt;0,"Loss",IF(T83=0,"Break-even","Profit"))</f>
        <v>Loss</v>
      </c>
      <c r="V83" s="3" t="str">
        <f aca="false">IF(Q83&lt;100,"Low",IF(Q83&lt;=500,"Medium","High"))</f>
        <v>High</v>
      </c>
      <c r="W83" s="3" t="n">
        <f aca="false">D83-C83</f>
        <v>5</v>
      </c>
      <c r="X83" s="3" t="str">
        <f aca="false">TEXT(C83,"mmmm")</f>
        <v>March</v>
      </c>
      <c r="Y83" s="3" t="str">
        <f aca="false">LEFT(G83,1)&amp;MID(G83,FIND(" ",G83)+1,1)</f>
        <v>MJ</v>
      </c>
    </row>
    <row r="84" customFormat="false" ht="15" hidden="false" customHeight="false" outlineLevel="0" collapsed="false">
      <c r="A84" s="3" t="n">
        <v>83</v>
      </c>
      <c r="B84" s="3" t="s">
        <v>463</v>
      </c>
      <c r="C84" s="4" t="s">
        <v>437</v>
      </c>
      <c r="D84" s="4" t="s">
        <v>464</v>
      </c>
      <c r="E84" s="3" t="s">
        <v>28</v>
      </c>
      <c r="F84" s="3" t="s">
        <v>465</v>
      </c>
      <c r="G84" s="3" t="s">
        <v>466</v>
      </c>
      <c r="H84" s="3" t="s">
        <v>56</v>
      </c>
      <c r="I84" s="3" t="s">
        <v>32</v>
      </c>
      <c r="J84" s="3" t="s">
        <v>365</v>
      </c>
      <c r="K84" s="3" t="s">
        <v>366</v>
      </c>
      <c r="L84" s="3" t="s">
        <v>157</v>
      </c>
      <c r="M84" s="3" t="s">
        <v>300</v>
      </c>
      <c r="N84" s="3" t="s">
        <v>49</v>
      </c>
      <c r="O84" s="3" t="s">
        <v>143</v>
      </c>
      <c r="P84" s="3" t="s">
        <v>301</v>
      </c>
      <c r="Q84" s="5" t="n">
        <v>346.28</v>
      </c>
      <c r="R84" s="3" t="n">
        <v>10</v>
      </c>
      <c r="S84" s="6" t="n">
        <v>0.2</v>
      </c>
      <c r="T84" s="5" t="n">
        <v>-91.13</v>
      </c>
      <c r="U84" s="3" t="str">
        <f aca="false">IF(T84&lt;0,"Loss",IF(T84=0,"Break-even","Profit"))</f>
        <v>Loss</v>
      </c>
      <c r="V84" s="3" t="str">
        <f aca="false">IF(Q84&lt;100,"Low",IF(Q84&lt;=500,"Medium","High"))</f>
        <v>Medium</v>
      </c>
      <c r="W84" s="3" t="n">
        <f aca="false">D84-C84</f>
        <v>7</v>
      </c>
      <c r="X84" s="3" t="str">
        <f aca="false">TEXT(C84,"mmmm")</f>
        <v>March</v>
      </c>
      <c r="Y84" s="3" t="str">
        <f aca="false">LEFT(G84,1)&amp;MID(G84,FIND(" ",G84)+1,1)</f>
        <v>PJ</v>
      </c>
    </row>
    <row r="85" customFormat="false" ht="15" hidden="false" customHeight="false" outlineLevel="0" collapsed="false">
      <c r="A85" s="3" t="n">
        <v>84</v>
      </c>
      <c r="B85" s="3" t="s">
        <v>467</v>
      </c>
      <c r="C85" s="4" t="s">
        <v>468</v>
      </c>
      <c r="D85" s="4" t="s">
        <v>464</v>
      </c>
      <c r="E85" s="3" t="s">
        <v>28</v>
      </c>
      <c r="F85" s="3" t="s">
        <v>338</v>
      </c>
      <c r="G85" s="3" t="s">
        <v>469</v>
      </c>
      <c r="H85" s="3" t="s">
        <v>31</v>
      </c>
      <c r="I85" s="3" t="s">
        <v>32</v>
      </c>
      <c r="J85" s="3" t="s">
        <v>77</v>
      </c>
      <c r="K85" s="3" t="s">
        <v>78</v>
      </c>
      <c r="L85" s="3" t="s">
        <v>59</v>
      </c>
      <c r="M85" s="3" t="s">
        <v>470</v>
      </c>
      <c r="N85" s="3" t="s">
        <v>49</v>
      </c>
      <c r="O85" s="3" t="s">
        <v>159</v>
      </c>
      <c r="P85" s="3" t="s">
        <v>471</v>
      </c>
      <c r="Q85" s="5" t="n">
        <v>97.97</v>
      </c>
      <c r="R85" s="3" t="n">
        <v>8</v>
      </c>
      <c r="S85" s="6" t="n">
        <v>0</v>
      </c>
      <c r="T85" s="5" t="n">
        <v>-10.07</v>
      </c>
      <c r="U85" s="3" t="str">
        <f aca="false">IF(T85&lt;0,"Loss",IF(T85=0,"Break-even","Profit"))</f>
        <v>Loss</v>
      </c>
      <c r="V85" s="3" t="str">
        <f aca="false">IF(Q85&lt;100,"Low",IF(Q85&lt;=500,"Medium","High"))</f>
        <v>Low</v>
      </c>
      <c r="W85" s="3" t="n">
        <f aca="false">D85-C85</f>
        <v>5</v>
      </c>
      <c r="X85" s="3" t="str">
        <f aca="false">TEXT(C85,"mmmm")</f>
        <v>March</v>
      </c>
      <c r="Y85" s="3" t="str">
        <f aca="false">LEFT(G85,1)&amp;MID(G85,FIND(" ",G85)+1,1)</f>
        <v>WJ</v>
      </c>
    </row>
    <row r="86" customFormat="false" ht="15" hidden="false" customHeight="false" outlineLevel="0" collapsed="false">
      <c r="A86" s="3" t="n">
        <v>85</v>
      </c>
      <c r="B86" s="3" t="s">
        <v>472</v>
      </c>
      <c r="C86" s="4" t="s">
        <v>468</v>
      </c>
      <c r="D86" s="4" t="s">
        <v>473</v>
      </c>
      <c r="E86" s="3" t="s">
        <v>28</v>
      </c>
      <c r="F86" s="3" t="s">
        <v>474</v>
      </c>
      <c r="G86" s="3" t="s">
        <v>475</v>
      </c>
      <c r="H86" s="3" t="s">
        <v>56</v>
      </c>
      <c r="I86" s="3" t="s">
        <v>32</v>
      </c>
      <c r="J86" s="3" t="s">
        <v>476</v>
      </c>
      <c r="K86" s="3" t="s">
        <v>366</v>
      </c>
      <c r="L86" s="3" t="s">
        <v>157</v>
      </c>
      <c r="M86" s="3" t="s">
        <v>195</v>
      </c>
      <c r="N86" s="3" t="s">
        <v>37</v>
      </c>
      <c r="O86" s="3" t="s">
        <v>196</v>
      </c>
      <c r="P86" s="3" t="s">
        <v>197</v>
      </c>
      <c r="Q86" s="5" t="n">
        <v>19660.73</v>
      </c>
      <c r="R86" s="3" t="n">
        <v>11</v>
      </c>
      <c r="S86" s="6" t="n">
        <v>0</v>
      </c>
      <c r="T86" s="5" t="n">
        <v>-3412.94</v>
      </c>
      <c r="U86" s="3" t="str">
        <f aca="false">IF(T86&lt;0,"Loss",IF(T86=0,"Break-even","Profit"))</f>
        <v>Loss</v>
      </c>
      <c r="V86" s="3" t="str">
        <f aca="false">IF(Q86&lt;100,"Low",IF(Q86&lt;=500,"Medium","High"))</f>
        <v>High</v>
      </c>
      <c r="W86" s="3" t="n">
        <f aca="false">D86-C86</f>
        <v>6</v>
      </c>
      <c r="X86" s="3" t="str">
        <f aca="false">TEXT(C86,"mmmm")</f>
        <v>March</v>
      </c>
      <c r="Y86" s="3" t="str">
        <f aca="false">LEFT(G86,1)&amp;MID(G86,FIND(" ",G86)+1,1)</f>
        <v>FJ</v>
      </c>
    </row>
    <row r="87" customFormat="false" ht="15" hidden="false" customHeight="false" outlineLevel="0" collapsed="false">
      <c r="A87" s="3" t="n">
        <v>86</v>
      </c>
      <c r="B87" s="3" t="s">
        <v>477</v>
      </c>
      <c r="C87" s="4" t="s">
        <v>478</v>
      </c>
      <c r="D87" s="4" t="s">
        <v>464</v>
      </c>
      <c r="E87" s="3" t="s">
        <v>84</v>
      </c>
      <c r="F87" s="3" t="s">
        <v>479</v>
      </c>
      <c r="G87" s="3" t="s">
        <v>480</v>
      </c>
      <c r="H87" s="3" t="s">
        <v>56</v>
      </c>
      <c r="I87" s="3" t="s">
        <v>32</v>
      </c>
      <c r="J87" s="3" t="s">
        <v>252</v>
      </c>
      <c r="K87" s="3" t="s">
        <v>172</v>
      </c>
      <c r="L87" s="3" t="s">
        <v>157</v>
      </c>
      <c r="M87" s="3" t="s">
        <v>114</v>
      </c>
      <c r="N87" s="3" t="s">
        <v>49</v>
      </c>
      <c r="O87" s="3" t="s">
        <v>61</v>
      </c>
      <c r="P87" s="3" t="s">
        <v>115</v>
      </c>
      <c r="Q87" s="5" t="n">
        <v>188.39</v>
      </c>
      <c r="R87" s="3" t="n">
        <v>9</v>
      </c>
      <c r="S87" s="6" t="n">
        <v>0.2</v>
      </c>
      <c r="T87" s="5" t="n">
        <v>56.32</v>
      </c>
      <c r="U87" s="3" t="str">
        <f aca="false">IF(T87&lt;0,"Loss",IF(T87=0,"Break-even","Profit"))</f>
        <v>Profit</v>
      </c>
      <c r="V87" s="3" t="str">
        <f aca="false">IF(Q87&lt;100,"Low",IF(Q87&lt;=500,"Medium","High"))</f>
        <v>Medium</v>
      </c>
      <c r="W87" s="3" t="n">
        <f aca="false">D87-C87</f>
        <v>4</v>
      </c>
      <c r="X87" s="3" t="str">
        <f aca="false">TEXT(C87,"mmmm")</f>
        <v>March</v>
      </c>
      <c r="Y87" s="3" t="str">
        <f aca="false">LEFT(G87,1)&amp;MID(G87,FIND(" ",G87)+1,1)</f>
        <v>MK</v>
      </c>
    </row>
    <row r="88" customFormat="false" ht="15" hidden="false" customHeight="false" outlineLevel="0" collapsed="false">
      <c r="A88" s="3" t="n">
        <v>87</v>
      </c>
      <c r="B88" s="3" t="s">
        <v>481</v>
      </c>
      <c r="C88" s="4" t="s">
        <v>478</v>
      </c>
      <c r="D88" s="4" t="s">
        <v>482</v>
      </c>
      <c r="E88" s="3" t="s">
        <v>28</v>
      </c>
      <c r="F88" s="3" t="s">
        <v>483</v>
      </c>
      <c r="G88" s="3" t="s">
        <v>484</v>
      </c>
      <c r="H88" s="3" t="s">
        <v>31</v>
      </c>
      <c r="I88" s="3" t="s">
        <v>32</v>
      </c>
      <c r="J88" s="3" t="s">
        <v>155</v>
      </c>
      <c r="K88" s="3" t="s">
        <v>156</v>
      </c>
      <c r="L88" s="3" t="s">
        <v>157</v>
      </c>
      <c r="M88" s="3" t="s">
        <v>219</v>
      </c>
      <c r="N88" s="3" t="s">
        <v>49</v>
      </c>
      <c r="O88" s="3" t="s">
        <v>220</v>
      </c>
      <c r="P88" s="3" t="s">
        <v>221</v>
      </c>
      <c r="Q88" s="5" t="n">
        <v>1310.75</v>
      </c>
      <c r="R88" s="3" t="n">
        <v>14</v>
      </c>
      <c r="S88" s="6" t="n">
        <v>0.1</v>
      </c>
      <c r="T88" s="5" t="n">
        <v>383.98</v>
      </c>
      <c r="U88" s="3" t="str">
        <f aca="false">IF(T88&lt;0,"Loss",IF(T88=0,"Break-even","Profit"))</f>
        <v>Profit</v>
      </c>
      <c r="V88" s="3" t="str">
        <f aca="false">IF(Q88&lt;100,"Low",IF(Q88&lt;=500,"Medium","High"))</f>
        <v>High</v>
      </c>
      <c r="W88" s="3" t="n">
        <f aca="false">D88-C88</f>
        <v>6</v>
      </c>
      <c r="X88" s="3" t="str">
        <f aca="false">TEXT(C88,"mmmm")</f>
        <v>March</v>
      </c>
      <c r="Y88" s="3" t="str">
        <f aca="false">LEFT(G88,1)&amp;MID(G88,FIND(" ",G88)+1,1)</f>
        <v>MS</v>
      </c>
    </row>
    <row r="89" customFormat="false" ht="15" hidden="false" customHeight="false" outlineLevel="0" collapsed="false">
      <c r="A89" s="3" t="n">
        <v>88</v>
      </c>
      <c r="B89" s="3" t="s">
        <v>485</v>
      </c>
      <c r="C89" s="4" t="s">
        <v>458</v>
      </c>
      <c r="D89" s="4" t="s">
        <v>473</v>
      </c>
      <c r="E89" s="3" t="s">
        <v>84</v>
      </c>
      <c r="F89" s="3" t="s">
        <v>486</v>
      </c>
      <c r="G89" s="3" t="s">
        <v>487</v>
      </c>
      <c r="H89" s="3" t="s">
        <v>45</v>
      </c>
      <c r="I89" s="3" t="s">
        <v>32</v>
      </c>
      <c r="J89" s="3" t="s">
        <v>171</v>
      </c>
      <c r="K89" s="3" t="s">
        <v>172</v>
      </c>
      <c r="L89" s="3" t="s">
        <v>157</v>
      </c>
      <c r="M89" s="3" t="s">
        <v>88</v>
      </c>
      <c r="N89" s="3" t="s">
        <v>89</v>
      </c>
      <c r="O89" s="3" t="s">
        <v>90</v>
      </c>
      <c r="P89" s="3" t="s">
        <v>91</v>
      </c>
      <c r="Q89" s="5" t="n">
        <v>475.64</v>
      </c>
      <c r="R89" s="3" t="n">
        <v>2</v>
      </c>
      <c r="S89" s="6" t="n">
        <v>0.2</v>
      </c>
      <c r="T89" s="5" t="n">
        <v>-125.69</v>
      </c>
      <c r="U89" s="3" t="str">
        <f aca="false">IF(T89&lt;0,"Loss",IF(T89=0,"Break-even","Profit"))</f>
        <v>Loss</v>
      </c>
      <c r="V89" s="3" t="str">
        <f aca="false">IF(Q89&lt;100,"Low",IF(Q89&lt;=500,"Medium","High"))</f>
        <v>Medium</v>
      </c>
      <c r="W89" s="3" t="n">
        <f aca="false">D89-C89</f>
        <v>4</v>
      </c>
      <c r="X89" s="3" t="str">
        <f aca="false">TEXT(C89,"mmmm")</f>
        <v>March</v>
      </c>
      <c r="Y89" s="3" t="str">
        <f aca="false">LEFT(G89,1)&amp;MID(G89,FIND(" ",G89)+1,1)</f>
        <v>JB</v>
      </c>
    </row>
    <row r="90" customFormat="false" ht="15" hidden="false" customHeight="false" outlineLevel="0" collapsed="false">
      <c r="A90" s="3" t="n">
        <v>89</v>
      </c>
      <c r="B90" s="3" t="s">
        <v>488</v>
      </c>
      <c r="C90" s="4" t="s">
        <v>458</v>
      </c>
      <c r="D90" s="4" t="s">
        <v>489</v>
      </c>
      <c r="E90" s="3" t="s">
        <v>28</v>
      </c>
      <c r="F90" s="3" t="s">
        <v>490</v>
      </c>
      <c r="G90" s="3" t="s">
        <v>491</v>
      </c>
      <c r="H90" s="3" t="s">
        <v>45</v>
      </c>
      <c r="I90" s="3" t="s">
        <v>32</v>
      </c>
      <c r="J90" s="3" t="s">
        <v>243</v>
      </c>
      <c r="K90" s="3" t="s">
        <v>244</v>
      </c>
      <c r="L90" s="3" t="s">
        <v>157</v>
      </c>
      <c r="M90" s="3" t="s">
        <v>225</v>
      </c>
      <c r="N90" s="3" t="s">
        <v>37</v>
      </c>
      <c r="O90" s="3" t="s">
        <v>196</v>
      </c>
      <c r="P90" s="3" t="s">
        <v>226</v>
      </c>
      <c r="Q90" s="5" t="n">
        <v>14049.06</v>
      </c>
      <c r="R90" s="3" t="n">
        <v>10</v>
      </c>
      <c r="S90" s="6" t="n">
        <v>0.1</v>
      </c>
      <c r="T90" s="5" t="n">
        <v>-2706.94</v>
      </c>
      <c r="U90" s="3" t="str">
        <f aca="false">IF(T90&lt;0,"Loss",IF(T90=0,"Break-even","Profit"))</f>
        <v>Loss</v>
      </c>
      <c r="V90" s="3" t="str">
        <f aca="false">IF(Q90&lt;100,"Low",IF(Q90&lt;=500,"Medium","High"))</f>
        <v>High</v>
      </c>
      <c r="W90" s="3" t="n">
        <f aca="false">D90-C90</f>
        <v>7</v>
      </c>
      <c r="X90" s="3" t="str">
        <f aca="false">TEXT(C90,"mmmm")</f>
        <v>March</v>
      </c>
      <c r="Y90" s="3" t="str">
        <f aca="false">LEFT(G90,1)&amp;MID(G90,FIND(" ",G90)+1,1)</f>
        <v>WM</v>
      </c>
    </row>
    <row r="91" customFormat="false" ht="15" hidden="false" customHeight="false" outlineLevel="0" collapsed="false">
      <c r="A91" s="3" t="n">
        <v>90</v>
      </c>
      <c r="B91" s="3" t="s">
        <v>492</v>
      </c>
      <c r="C91" s="4" t="s">
        <v>458</v>
      </c>
      <c r="D91" s="4" t="s">
        <v>489</v>
      </c>
      <c r="E91" s="3" t="s">
        <v>28</v>
      </c>
      <c r="F91" s="3" t="s">
        <v>493</v>
      </c>
      <c r="G91" s="3" t="s">
        <v>494</v>
      </c>
      <c r="H91" s="3" t="s">
        <v>31</v>
      </c>
      <c r="I91" s="3" t="s">
        <v>32</v>
      </c>
      <c r="J91" s="3" t="s">
        <v>87</v>
      </c>
      <c r="K91" s="3" t="s">
        <v>68</v>
      </c>
      <c r="L91" s="3" t="s">
        <v>69</v>
      </c>
      <c r="M91" s="3" t="s">
        <v>48</v>
      </c>
      <c r="N91" s="3" t="s">
        <v>49</v>
      </c>
      <c r="O91" s="3" t="s">
        <v>50</v>
      </c>
      <c r="P91" s="3" t="s">
        <v>51</v>
      </c>
      <c r="Q91" s="5" t="n">
        <v>505.61</v>
      </c>
      <c r="R91" s="3" t="n">
        <v>13</v>
      </c>
      <c r="S91" s="6" t="n">
        <v>0</v>
      </c>
      <c r="T91" s="5" t="n">
        <v>-50.15</v>
      </c>
      <c r="U91" s="3" t="str">
        <f aca="false">IF(T91&lt;0,"Loss",IF(T91=0,"Break-even","Profit"))</f>
        <v>Loss</v>
      </c>
      <c r="V91" s="3" t="str">
        <f aca="false">IF(Q91&lt;100,"Low",IF(Q91&lt;=500,"Medium","High"))</f>
        <v>High</v>
      </c>
      <c r="W91" s="3" t="n">
        <f aca="false">D91-C91</f>
        <v>7</v>
      </c>
      <c r="X91" s="3" t="str">
        <f aca="false">TEXT(C91,"mmmm")</f>
        <v>March</v>
      </c>
      <c r="Y91" s="3" t="str">
        <f aca="false">LEFT(G91,1)&amp;MID(G91,FIND(" ",G91)+1,1)</f>
        <v>WT</v>
      </c>
    </row>
    <row r="92" customFormat="false" ht="15" hidden="false" customHeight="false" outlineLevel="0" collapsed="false">
      <c r="A92" s="3" t="n">
        <v>91</v>
      </c>
      <c r="B92" s="3" t="s">
        <v>495</v>
      </c>
      <c r="C92" s="4" t="s">
        <v>458</v>
      </c>
      <c r="D92" s="4" t="s">
        <v>464</v>
      </c>
      <c r="E92" s="3" t="s">
        <v>84</v>
      </c>
      <c r="F92" s="3" t="s">
        <v>496</v>
      </c>
      <c r="G92" s="3" t="s">
        <v>497</v>
      </c>
      <c r="H92" s="3" t="s">
        <v>56</v>
      </c>
      <c r="I92" s="3" t="s">
        <v>32</v>
      </c>
      <c r="J92" s="3" t="s">
        <v>315</v>
      </c>
      <c r="K92" s="3" t="s">
        <v>58</v>
      </c>
      <c r="L92" s="3" t="s">
        <v>59</v>
      </c>
      <c r="M92" s="3" t="s">
        <v>88</v>
      </c>
      <c r="N92" s="3" t="s">
        <v>89</v>
      </c>
      <c r="O92" s="3" t="s">
        <v>90</v>
      </c>
      <c r="P92" s="3" t="s">
        <v>91</v>
      </c>
      <c r="Q92" s="5" t="n">
        <v>109.62</v>
      </c>
      <c r="R92" s="3" t="n">
        <v>2</v>
      </c>
      <c r="S92" s="6" t="n">
        <v>0.4</v>
      </c>
      <c r="T92" s="5" t="n">
        <v>-28.43</v>
      </c>
      <c r="U92" s="3" t="str">
        <f aca="false">IF(T92&lt;0,"Loss",IF(T92=0,"Break-even","Profit"))</f>
        <v>Loss</v>
      </c>
      <c r="V92" s="3" t="str">
        <f aca="false">IF(Q92&lt;100,"Low",IF(Q92&lt;=500,"Medium","High"))</f>
        <v>Medium</v>
      </c>
      <c r="W92" s="3" t="n">
        <f aca="false">D92-C92</f>
        <v>3</v>
      </c>
      <c r="X92" s="3" t="str">
        <f aca="false">TEXT(C92,"mmmm")</f>
        <v>March</v>
      </c>
      <c r="Y92" s="3" t="str">
        <f aca="false">LEFT(G92,1)&amp;MID(G92,FIND(" ",G92)+1,1)</f>
        <v>DD</v>
      </c>
    </row>
    <row r="93" customFormat="false" ht="15" hidden="false" customHeight="false" outlineLevel="0" collapsed="false">
      <c r="A93" s="3" t="n">
        <v>92</v>
      </c>
      <c r="B93" s="3" t="s">
        <v>498</v>
      </c>
      <c r="C93" s="4" t="s">
        <v>499</v>
      </c>
      <c r="D93" s="4" t="s">
        <v>500</v>
      </c>
      <c r="E93" s="3" t="s">
        <v>28</v>
      </c>
      <c r="F93" s="3" t="s">
        <v>501</v>
      </c>
      <c r="G93" s="3" t="s">
        <v>502</v>
      </c>
      <c r="H93" s="3" t="s">
        <v>56</v>
      </c>
      <c r="I93" s="3" t="s">
        <v>32</v>
      </c>
      <c r="J93" s="3" t="s">
        <v>215</v>
      </c>
      <c r="K93" s="3" t="s">
        <v>34</v>
      </c>
      <c r="L93" s="3" t="s">
        <v>35</v>
      </c>
      <c r="M93" s="3" t="s">
        <v>127</v>
      </c>
      <c r="N93" s="3" t="s">
        <v>49</v>
      </c>
      <c r="O93" s="3" t="s">
        <v>61</v>
      </c>
      <c r="P93" s="3" t="s">
        <v>128</v>
      </c>
      <c r="Q93" s="5" t="n">
        <v>454.78</v>
      </c>
      <c r="R93" s="3" t="n">
        <v>5</v>
      </c>
      <c r="S93" s="6" t="n">
        <v>0.2</v>
      </c>
      <c r="T93" s="5" t="n">
        <v>43.27</v>
      </c>
      <c r="U93" s="3" t="str">
        <f aca="false">IF(T93&lt;0,"Loss",IF(T93=0,"Break-even","Profit"))</f>
        <v>Profit</v>
      </c>
      <c r="V93" s="3" t="str">
        <f aca="false">IF(Q93&lt;100,"Low",IF(Q93&lt;=500,"Medium","High"))</f>
        <v>Medium</v>
      </c>
      <c r="W93" s="3" t="n">
        <f aca="false">D93-C93</f>
        <v>7</v>
      </c>
      <c r="X93" s="3" t="str">
        <f aca="false">TEXT(C93,"mmmm")</f>
        <v>March</v>
      </c>
      <c r="Y93" s="3" t="str">
        <f aca="false">LEFT(G93,1)&amp;MID(G93,FIND(" ",G93)+1,1)</f>
        <v>DR</v>
      </c>
    </row>
    <row r="94" customFormat="false" ht="15" hidden="false" customHeight="false" outlineLevel="0" collapsed="false">
      <c r="A94" s="3" t="n">
        <v>93</v>
      </c>
      <c r="B94" s="3" t="s">
        <v>503</v>
      </c>
      <c r="C94" s="4" t="s">
        <v>504</v>
      </c>
      <c r="D94" s="4" t="s">
        <v>482</v>
      </c>
      <c r="E94" s="3" t="s">
        <v>84</v>
      </c>
      <c r="F94" s="3" t="s">
        <v>228</v>
      </c>
      <c r="G94" s="3" t="s">
        <v>229</v>
      </c>
      <c r="H94" s="3" t="s">
        <v>45</v>
      </c>
      <c r="I94" s="3" t="s">
        <v>32</v>
      </c>
      <c r="J94" s="3" t="s">
        <v>112</v>
      </c>
      <c r="K94" s="3" t="s">
        <v>113</v>
      </c>
      <c r="L94" s="3" t="s">
        <v>69</v>
      </c>
      <c r="M94" s="3" t="s">
        <v>158</v>
      </c>
      <c r="N94" s="3" t="s">
        <v>49</v>
      </c>
      <c r="O94" s="3" t="s">
        <v>159</v>
      </c>
      <c r="P94" s="3" t="s">
        <v>160</v>
      </c>
      <c r="Q94" s="5" t="n">
        <v>604.83</v>
      </c>
      <c r="R94" s="3" t="n">
        <v>6</v>
      </c>
      <c r="S94" s="6" t="n">
        <v>0.4</v>
      </c>
      <c r="T94" s="5" t="n">
        <v>-152.37</v>
      </c>
      <c r="U94" s="3" t="str">
        <f aca="false">IF(T94&lt;0,"Loss",IF(T94=0,"Break-even","Profit"))</f>
        <v>Loss</v>
      </c>
      <c r="V94" s="3" t="str">
        <f aca="false">IF(Q94&lt;100,"Low",IF(Q94&lt;=500,"Medium","High"))</f>
        <v>High</v>
      </c>
      <c r="W94" s="3" t="n">
        <f aca="false">D94-C94</f>
        <v>3</v>
      </c>
      <c r="X94" s="3" t="str">
        <f aca="false">TEXT(C94,"mmmm")</f>
        <v>March</v>
      </c>
      <c r="Y94" s="3" t="str">
        <f aca="false">LEFT(G94,1)&amp;MID(G94,FIND(" ",G94)+1,1)</f>
        <v>ST</v>
      </c>
    </row>
    <row r="95" customFormat="false" ht="15" hidden="false" customHeight="false" outlineLevel="0" collapsed="false">
      <c r="A95" s="3" t="n">
        <v>94</v>
      </c>
      <c r="B95" s="3" t="s">
        <v>505</v>
      </c>
      <c r="C95" s="4" t="s">
        <v>482</v>
      </c>
      <c r="D95" s="4" t="s">
        <v>506</v>
      </c>
      <c r="E95" s="3" t="s">
        <v>28</v>
      </c>
      <c r="F95" s="3" t="s">
        <v>507</v>
      </c>
      <c r="G95" s="3" t="s">
        <v>508</v>
      </c>
      <c r="H95" s="3" t="s">
        <v>31</v>
      </c>
      <c r="I95" s="3" t="s">
        <v>32</v>
      </c>
      <c r="J95" s="3" t="s">
        <v>188</v>
      </c>
      <c r="K95" s="3" t="s">
        <v>189</v>
      </c>
      <c r="L95" s="3" t="s">
        <v>59</v>
      </c>
      <c r="M95" s="3" t="s">
        <v>142</v>
      </c>
      <c r="N95" s="3" t="s">
        <v>49</v>
      </c>
      <c r="O95" s="3" t="s">
        <v>143</v>
      </c>
      <c r="P95" s="3" t="s">
        <v>144</v>
      </c>
      <c r="Q95" s="5" t="n">
        <v>58.14</v>
      </c>
      <c r="R95" s="3" t="n">
        <v>1</v>
      </c>
      <c r="S95" s="6" t="n">
        <v>0</v>
      </c>
      <c r="T95" s="5" t="n">
        <v>2.73</v>
      </c>
      <c r="U95" s="3" t="str">
        <f aca="false">IF(T95&lt;0,"Loss",IF(T95=0,"Break-even","Profit"))</f>
        <v>Profit</v>
      </c>
      <c r="V95" s="3" t="str">
        <f aca="false">IF(Q95&lt;100,"Low",IF(Q95&lt;=500,"Medium","High"))</f>
        <v>Low</v>
      </c>
      <c r="W95" s="3" t="n">
        <f aca="false">D95-C95</f>
        <v>6</v>
      </c>
      <c r="X95" s="3" t="str">
        <f aca="false">TEXT(C95,"mmmm")</f>
        <v>March</v>
      </c>
      <c r="Y95" s="3" t="str">
        <f aca="false">LEFT(G95,1)&amp;MID(G95,FIND(" ",G95)+1,1)</f>
        <v>LS</v>
      </c>
    </row>
    <row r="96" customFormat="false" ht="15" hidden="false" customHeight="false" outlineLevel="0" collapsed="false">
      <c r="A96" s="3" t="n">
        <v>95</v>
      </c>
      <c r="B96" s="3" t="s">
        <v>509</v>
      </c>
      <c r="C96" s="4" t="s">
        <v>482</v>
      </c>
      <c r="D96" s="4" t="s">
        <v>510</v>
      </c>
      <c r="E96" s="3" t="s">
        <v>42</v>
      </c>
      <c r="F96" s="3" t="s">
        <v>511</v>
      </c>
      <c r="G96" s="3" t="s">
        <v>512</v>
      </c>
      <c r="H96" s="3" t="s">
        <v>45</v>
      </c>
      <c r="I96" s="3" t="s">
        <v>32</v>
      </c>
      <c r="J96" s="3" t="s">
        <v>285</v>
      </c>
      <c r="K96" s="3" t="s">
        <v>202</v>
      </c>
      <c r="L96" s="3" t="s">
        <v>35</v>
      </c>
      <c r="M96" s="3" t="s">
        <v>158</v>
      </c>
      <c r="N96" s="3" t="s">
        <v>49</v>
      </c>
      <c r="O96" s="3" t="s">
        <v>159</v>
      </c>
      <c r="P96" s="3" t="s">
        <v>160</v>
      </c>
      <c r="Q96" s="5" t="n">
        <v>80.48</v>
      </c>
      <c r="R96" s="3" t="n">
        <v>1</v>
      </c>
      <c r="S96" s="6" t="n">
        <v>0</v>
      </c>
      <c r="T96" s="5" t="n">
        <v>16.7</v>
      </c>
      <c r="U96" s="3" t="str">
        <f aca="false">IF(T96&lt;0,"Loss",IF(T96=0,"Break-even","Profit"))</f>
        <v>Profit</v>
      </c>
      <c r="V96" s="3" t="str">
        <f aca="false">IF(Q96&lt;100,"Low",IF(Q96&lt;=500,"Medium","High"))</f>
        <v>Low</v>
      </c>
      <c r="W96" s="3" t="n">
        <f aca="false">D96-C96</f>
        <v>1</v>
      </c>
      <c r="X96" s="3" t="str">
        <f aca="false">TEXT(C96,"mmmm")</f>
        <v>March</v>
      </c>
      <c r="Y96" s="3" t="str">
        <f aca="false">LEFT(G96,1)&amp;MID(G96,FIND(" ",G96)+1,1)</f>
        <v>JN</v>
      </c>
    </row>
    <row r="97" customFormat="false" ht="15" hidden="false" customHeight="false" outlineLevel="0" collapsed="false">
      <c r="A97" s="3" t="n">
        <v>96</v>
      </c>
      <c r="B97" s="3" t="s">
        <v>513</v>
      </c>
      <c r="C97" s="4" t="s">
        <v>510</v>
      </c>
      <c r="D97" s="4" t="s">
        <v>489</v>
      </c>
      <c r="E97" s="3" t="s">
        <v>42</v>
      </c>
      <c r="F97" s="3" t="s">
        <v>514</v>
      </c>
      <c r="G97" s="3" t="s">
        <v>515</v>
      </c>
      <c r="H97" s="3" t="s">
        <v>31</v>
      </c>
      <c r="I97" s="3" t="s">
        <v>32</v>
      </c>
      <c r="J97" s="3" t="s">
        <v>188</v>
      </c>
      <c r="K97" s="3" t="s">
        <v>189</v>
      </c>
      <c r="L97" s="3" t="s">
        <v>59</v>
      </c>
      <c r="M97" s="3" t="s">
        <v>127</v>
      </c>
      <c r="N97" s="3" t="s">
        <v>49</v>
      </c>
      <c r="O97" s="3" t="s">
        <v>61</v>
      </c>
      <c r="P97" s="3" t="s">
        <v>128</v>
      </c>
      <c r="Q97" s="5" t="n">
        <v>278.13</v>
      </c>
      <c r="R97" s="3" t="n">
        <v>3</v>
      </c>
      <c r="S97" s="6" t="n">
        <v>0.4</v>
      </c>
      <c r="T97" s="5" t="n">
        <v>33.28</v>
      </c>
      <c r="U97" s="3" t="str">
        <f aca="false">IF(T97&lt;0,"Loss",IF(T97=0,"Break-even","Profit"))</f>
        <v>Profit</v>
      </c>
      <c r="V97" s="3" t="str">
        <f aca="false">IF(Q97&lt;100,"Low",IF(Q97&lt;=500,"Medium","High"))</f>
        <v>Medium</v>
      </c>
      <c r="W97" s="3" t="n">
        <f aca="false">D97-C97</f>
        <v>1</v>
      </c>
      <c r="X97" s="3" t="str">
        <f aca="false">TEXT(C97,"mmmm")</f>
        <v>March</v>
      </c>
      <c r="Y97" s="3" t="str">
        <f aca="false">LEFT(G97,1)&amp;MID(G97,FIND(" ",G97)+1,1)</f>
        <v>MM</v>
      </c>
    </row>
    <row r="98" customFormat="false" ht="15" hidden="false" customHeight="false" outlineLevel="0" collapsed="false">
      <c r="A98" s="3" t="n">
        <v>97</v>
      </c>
      <c r="B98" s="3" t="s">
        <v>516</v>
      </c>
      <c r="C98" s="4" t="s">
        <v>489</v>
      </c>
      <c r="D98" s="4" t="s">
        <v>517</v>
      </c>
      <c r="E98" s="3" t="s">
        <v>28</v>
      </c>
      <c r="F98" s="3" t="s">
        <v>518</v>
      </c>
      <c r="G98" s="3" t="s">
        <v>519</v>
      </c>
      <c r="H98" s="3" t="s">
        <v>45</v>
      </c>
      <c r="I98" s="3" t="s">
        <v>32</v>
      </c>
      <c r="J98" s="3" t="s">
        <v>476</v>
      </c>
      <c r="K98" s="3" t="s">
        <v>366</v>
      </c>
      <c r="L98" s="3" t="s">
        <v>157</v>
      </c>
      <c r="M98" s="3" t="s">
        <v>105</v>
      </c>
      <c r="N98" s="3" t="s">
        <v>49</v>
      </c>
      <c r="O98" s="3" t="s">
        <v>106</v>
      </c>
      <c r="P98" s="3" t="s">
        <v>107</v>
      </c>
      <c r="Q98" s="5" t="n">
        <v>899.21</v>
      </c>
      <c r="R98" s="3" t="n">
        <v>9</v>
      </c>
      <c r="S98" s="6" t="n">
        <v>0</v>
      </c>
      <c r="T98" s="5" t="n">
        <v>294.92</v>
      </c>
      <c r="U98" s="3" t="str">
        <f aca="false">IF(T98&lt;0,"Loss",IF(T98=0,"Break-even","Profit"))</f>
        <v>Profit</v>
      </c>
      <c r="V98" s="3" t="str">
        <f aca="false">IF(Q98&lt;100,"Low",IF(Q98&lt;=500,"Medium","High"))</f>
        <v>High</v>
      </c>
      <c r="W98" s="3" t="n">
        <f aca="false">D98-C98</f>
        <v>3</v>
      </c>
      <c r="X98" s="3" t="str">
        <f aca="false">TEXT(C98,"mmmm")</f>
        <v>March</v>
      </c>
      <c r="Y98" s="3" t="str">
        <f aca="false">LEFT(G98,1)&amp;MID(G98,FIND(" ",G98)+1,1)</f>
        <v>RW</v>
      </c>
    </row>
    <row r="99" customFormat="false" ht="15" hidden="false" customHeight="false" outlineLevel="0" collapsed="false">
      <c r="A99" s="3" t="n">
        <v>98</v>
      </c>
      <c r="B99" s="3" t="s">
        <v>520</v>
      </c>
      <c r="C99" s="4" t="s">
        <v>489</v>
      </c>
      <c r="D99" s="4" t="s">
        <v>521</v>
      </c>
      <c r="E99" s="3" t="s">
        <v>28</v>
      </c>
      <c r="F99" s="3" t="s">
        <v>522</v>
      </c>
      <c r="G99" s="3" t="s">
        <v>523</v>
      </c>
      <c r="H99" s="3" t="s">
        <v>56</v>
      </c>
      <c r="I99" s="3" t="s">
        <v>32</v>
      </c>
      <c r="J99" s="3" t="s">
        <v>120</v>
      </c>
      <c r="K99" s="3" t="s">
        <v>113</v>
      </c>
      <c r="L99" s="3" t="s">
        <v>69</v>
      </c>
      <c r="M99" s="3" t="s">
        <v>149</v>
      </c>
      <c r="N99" s="3" t="s">
        <v>49</v>
      </c>
      <c r="O99" s="3" t="s">
        <v>150</v>
      </c>
      <c r="P99" s="3" t="s">
        <v>151</v>
      </c>
      <c r="Q99" s="5" t="n">
        <v>415.05</v>
      </c>
      <c r="R99" s="3" t="n">
        <v>5</v>
      </c>
      <c r="S99" s="6" t="n">
        <v>0.3</v>
      </c>
      <c r="T99" s="5" t="n">
        <v>-111.72</v>
      </c>
      <c r="U99" s="3" t="str">
        <f aca="false">IF(T99&lt;0,"Loss",IF(T99=0,"Break-even","Profit"))</f>
        <v>Loss</v>
      </c>
      <c r="V99" s="3" t="str">
        <f aca="false">IF(Q99&lt;100,"Low",IF(Q99&lt;=500,"Medium","High"))</f>
        <v>Medium</v>
      </c>
      <c r="W99" s="3" t="n">
        <f aca="false">D99-C99</f>
        <v>6</v>
      </c>
      <c r="X99" s="3" t="str">
        <f aca="false">TEXT(C99,"mmmm")</f>
        <v>March</v>
      </c>
      <c r="Y99" s="3" t="str">
        <f aca="false">LEFT(G99,1)&amp;MID(G99,FIND(" ",G99)+1,1)</f>
        <v>JS</v>
      </c>
    </row>
    <row r="100" customFormat="false" ht="15" hidden="false" customHeight="false" outlineLevel="0" collapsed="false">
      <c r="A100" s="3" t="n">
        <v>99</v>
      </c>
      <c r="B100" s="3" t="s">
        <v>524</v>
      </c>
      <c r="C100" s="4" t="s">
        <v>489</v>
      </c>
      <c r="D100" s="4" t="s">
        <v>521</v>
      </c>
      <c r="E100" s="3" t="s">
        <v>28</v>
      </c>
      <c r="F100" s="3" t="s">
        <v>199</v>
      </c>
      <c r="G100" s="3" t="s">
        <v>200</v>
      </c>
      <c r="H100" s="3" t="s">
        <v>56</v>
      </c>
      <c r="I100" s="3" t="s">
        <v>32</v>
      </c>
      <c r="J100" s="3" t="s">
        <v>179</v>
      </c>
      <c r="K100" s="3" t="s">
        <v>47</v>
      </c>
      <c r="L100" s="3" t="s">
        <v>35</v>
      </c>
      <c r="M100" s="3" t="s">
        <v>420</v>
      </c>
      <c r="N100" s="3" t="s">
        <v>49</v>
      </c>
      <c r="O100" s="3" t="s">
        <v>80</v>
      </c>
      <c r="P100" s="3" t="s">
        <v>421</v>
      </c>
      <c r="Q100" s="5" t="n">
        <v>609.17</v>
      </c>
      <c r="R100" s="3" t="n">
        <v>13</v>
      </c>
      <c r="S100" s="6" t="n">
        <v>0.2</v>
      </c>
      <c r="T100" s="5" t="n">
        <v>14.54</v>
      </c>
      <c r="U100" s="3" t="str">
        <f aca="false">IF(T100&lt;0,"Loss",IF(T100=0,"Break-even","Profit"))</f>
        <v>Profit</v>
      </c>
      <c r="V100" s="3" t="str">
        <f aca="false">IF(Q100&lt;100,"Low",IF(Q100&lt;=500,"Medium","High"))</f>
        <v>High</v>
      </c>
      <c r="W100" s="3" t="n">
        <f aca="false">D100-C100</f>
        <v>6</v>
      </c>
      <c r="X100" s="3" t="str">
        <f aca="false">TEXT(C100,"mmmm")</f>
        <v>March</v>
      </c>
      <c r="Y100" s="3" t="str">
        <f aca="false">LEFT(G100,1)&amp;MID(G100,FIND(" ",G100)+1,1)</f>
        <v>MK</v>
      </c>
    </row>
    <row r="101" customFormat="false" ht="15" hidden="false" customHeight="false" outlineLevel="0" collapsed="false">
      <c r="A101" s="3" t="n">
        <v>100</v>
      </c>
      <c r="B101" s="3" t="s">
        <v>525</v>
      </c>
      <c r="C101" s="4" t="s">
        <v>489</v>
      </c>
      <c r="D101" s="4" t="s">
        <v>489</v>
      </c>
      <c r="E101" s="3" t="s">
        <v>53</v>
      </c>
      <c r="F101" s="3" t="s">
        <v>327</v>
      </c>
      <c r="G101" s="3" t="s">
        <v>328</v>
      </c>
      <c r="H101" s="3" t="s">
        <v>45</v>
      </c>
      <c r="I101" s="3" t="s">
        <v>32</v>
      </c>
      <c r="J101" s="3" t="s">
        <v>285</v>
      </c>
      <c r="K101" s="3" t="s">
        <v>202</v>
      </c>
      <c r="L101" s="3" t="s">
        <v>35</v>
      </c>
      <c r="M101" s="3" t="s">
        <v>70</v>
      </c>
      <c r="N101" s="3" t="s">
        <v>37</v>
      </c>
      <c r="O101" s="3" t="s">
        <v>71</v>
      </c>
      <c r="P101" s="3" t="s">
        <v>72</v>
      </c>
      <c r="Q101" s="5" t="n">
        <v>797.97</v>
      </c>
      <c r="R101" s="3" t="n">
        <v>1</v>
      </c>
      <c r="S101" s="6" t="n">
        <v>0.4</v>
      </c>
      <c r="T101" s="5" t="n">
        <v>-79.16</v>
      </c>
      <c r="U101" s="3" t="str">
        <f aca="false">IF(T101&lt;0,"Loss",IF(T101=0,"Break-even","Profit"))</f>
        <v>Loss</v>
      </c>
      <c r="V101" s="3" t="str">
        <f aca="false">IF(Q101&lt;100,"Low",IF(Q101&lt;=500,"Medium","High"))</f>
        <v>High</v>
      </c>
      <c r="W101" s="3" t="n">
        <f aca="false">D101-C101</f>
        <v>0</v>
      </c>
      <c r="X101" s="3" t="str">
        <f aca="false">TEXT(C101,"mmmm")</f>
        <v>March</v>
      </c>
      <c r="Y101" s="3" t="str">
        <f aca="false">LEFT(G101,1)&amp;MID(G101,FIND(" ",G101)+1,1)</f>
        <v>EW</v>
      </c>
    </row>
    <row r="102" customFormat="false" ht="15" hidden="false" customHeight="false" outlineLevel="0" collapsed="false">
      <c r="A102" s="3" t="n">
        <v>101</v>
      </c>
      <c r="B102" s="3" t="s">
        <v>526</v>
      </c>
      <c r="C102" s="4" t="s">
        <v>500</v>
      </c>
      <c r="D102" s="4" t="s">
        <v>506</v>
      </c>
      <c r="E102" s="3" t="s">
        <v>84</v>
      </c>
      <c r="F102" s="3" t="s">
        <v>527</v>
      </c>
      <c r="G102" s="3" t="s">
        <v>528</v>
      </c>
      <c r="H102" s="3" t="s">
        <v>31</v>
      </c>
      <c r="I102" s="3" t="s">
        <v>32</v>
      </c>
      <c r="J102" s="3" t="s">
        <v>179</v>
      </c>
      <c r="K102" s="3" t="s">
        <v>47</v>
      </c>
      <c r="L102" s="3" t="s">
        <v>35</v>
      </c>
      <c r="M102" s="3" t="s">
        <v>88</v>
      </c>
      <c r="N102" s="3" t="s">
        <v>89</v>
      </c>
      <c r="O102" s="3" t="s">
        <v>90</v>
      </c>
      <c r="P102" s="3" t="s">
        <v>91</v>
      </c>
      <c r="Q102" s="5" t="n">
        <v>4632.68</v>
      </c>
      <c r="R102" s="3" t="n">
        <v>6</v>
      </c>
      <c r="S102" s="6" t="n">
        <v>0.4</v>
      </c>
      <c r="T102" s="5" t="n">
        <v>-85.4</v>
      </c>
      <c r="U102" s="3" t="str">
        <f aca="false">IF(T102&lt;0,"Loss",IF(T102=0,"Break-even","Profit"))</f>
        <v>Loss</v>
      </c>
      <c r="V102" s="3" t="str">
        <f aca="false">IF(Q102&lt;100,"Low",IF(Q102&lt;=500,"Medium","High"))</f>
        <v>High</v>
      </c>
      <c r="W102" s="3" t="n">
        <f aca="false">D102-C102</f>
        <v>3</v>
      </c>
      <c r="X102" s="3" t="str">
        <f aca="false">TEXT(C102,"mmmm")</f>
        <v>March</v>
      </c>
      <c r="Y102" s="3" t="str">
        <f aca="false">LEFT(G102,1)&amp;MID(G102,FIND(" ",G102)+1,1)</f>
        <v>CC</v>
      </c>
    </row>
    <row r="103" customFormat="false" ht="15" hidden="false" customHeight="false" outlineLevel="0" collapsed="false">
      <c r="A103" s="3" t="n">
        <v>102</v>
      </c>
      <c r="B103" s="3" t="s">
        <v>529</v>
      </c>
      <c r="C103" s="4" t="s">
        <v>530</v>
      </c>
      <c r="D103" s="4" t="s">
        <v>531</v>
      </c>
      <c r="E103" s="3" t="s">
        <v>28</v>
      </c>
      <c r="F103" s="3" t="s">
        <v>532</v>
      </c>
      <c r="G103" s="3" t="s">
        <v>533</v>
      </c>
      <c r="H103" s="3" t="s">
        <v>56</v>
      </c>
      <c r="I103" s="3" t="s">
        <v>32</v>
      </c>
      <c r="J103" s="3" t="s">
        <v>215</v>
      </c>
      <c r="K103" s="3" t="s">
        <v>34</v>
      </c>
      <c r="L103" s="3" t="s">
        <v>35</v>
      </c>
      <c r="M103" s="3" t="s">
        <v>79</v>
      </c>
      <c r="N103" s="3" t="s">
        <v>49</v>
      </c>
      <c r="O103" s="3" t="s">
        <v>80</v>
      </c>
      <c r="P103" s="3" t="s">
        <v>81</v>
      </c>
      <c r="Q103" s="5" t="n">
        <v>757.98</v>
      </c>
      <c r="R103" s="3" t="n">
        <v>10</v>
      </c>
      <c r="S103" s="6" t="n">
        <v>0</v>
      </c>
      <c r="T103" s="5" t="n">
        <v>60.28</v>
      </c>
      <c r="U103" s="3" t="str">
        <f aca="false">IF(T103&lt;0,"Loss",IF(T103=0,"Break-even","Profit"))</f>
        <v>Profit</v>
      </c>
      <c r="V103" s="3" t="str">
        <f aca="false">IF(Q103&lt;100,"Low",IF(Q103&lt;=500,"Medium","High"))</f>
        <v>High</v>
      </c>
      <c r="W103" s="3" t="n">
        <f aca="false">D103-C103</f>
        <v>5</v>
      </c>
      <c r="X103" s="3" t="str">
        <f aca="false">TEXT(C103,"mmmm")</f>
        <v>March</v>
      </c>
      <c r="Y103" s="3" t="str">
        <f aca="false">LEFT(G103,1)&amp;MID(G103,FIND(" ",G103)+1,1)</f>
        <v>AN</v>
      </c>
    </row>
    <row r="104" customFormat="false" ht="15" hidden="false" customHeight="false" outlineLevel="0" collapsed="false">
      <c r="A104" s="3" t="n">
        <v>103</v>
      </c>
      <c r="B104" s="3" t="s">
        <v>534</v>
      </c>
      <c r="C104" s="4" t="s">
        <v>530</v>
      </c>
      <c r="D104" s="4" t="s">
        <v>535</v>
      </c>
      <c r="E104" s="3" t="s">
        <v>28</v>
      </c>
      <c r="F104" s="3" t="s">
        <v>536</v>
      </c>
      <c r="G104" s="3" t="s">
        <v>537</v>
      </c>
      <c r="H104" s="3" t="s">
        <v>56</v>
      </c>
      <c r="I104" s="3" t="s">
        <v>32</v>
      </c>
      <c r="J104" s="3" t="s">
        <v>243</v>
      </c>
      <c r="K104" s="3" t="s">
        <v>244</v>
      </c>
      <c r="L104" s="3" t="s">
        <v>157</v>
      </c>
      <c r="M104" s="3" t="s">
        <v>404</v>
      </c>
      <c r="N104" s="3" t="s">
        <v>89</v>
      </c>
      <c r="O104" s="3" t="s">
        <v>166</v>
      </c>
      <c r="P104" s="3" t="s">
        <v>405</v>
      </c>
      <c r="Q104" s="5" t="n">
        <v>6981.72</v>
      </c>
      <c r="R104" s="3" t="n">
        <v>11</v>
      </c>
      <c r="S104" s="6" t="n">
        <v>0</v>
      </c>
      <c r="T104" s="5" t="n">
        <v>161.99</v>
      </c>
      <c r="U104" s="3" t="str">
        <f aca="false">IF(T104&lt;0,"Loss",IF(T104=0,"Break-even","Profit"))</f>
        <v>Profit</v>
      </c>
      <c r="V104" s="3" t="str">
        <f aca="false">IF(Q104&lt;100,"Low",IF(Q104&lt;=500,"Medium","High"))</f>
        <v>High</v>
      </c>
      <c r="W104" s="3" t="n">
        <f aca="false">D104-C104</f>
        <v>7</v>
      </c>
      <c r="X104" s="3" t="str">
        <f aca="false">TEXT(C104,"mmmm")</f>
        <v>March</v>
      </c>
      <c r="Y104" s="3" t="str">
        <f aca="false">LEFT(G104,1)&amp;MID(G104,FIND(" ",G104)+1,1)</f>
        <v>EB</v>
      </c>
    </row>
    <row r="105" customFormat="false" ht="15" hidden="false" customHeight="false" outlineLevel="0" collapsed="false">
      <c r="A105" s="3" t="n">
        <v>104</v>
      </c>
      <c r="B105" s="3" t="s">
        <v>538</v>
      </c>
      <c r="C105" s="4" t="s">
        <v>517</v>
      </c>
      <c r="D105" s="4" t="s">
        <v>539</v>
      </c>
      <c r="E105" s="3" t="s">
        <v>28</v>
      </c>
      <c r="F105" s="3" t="s">
        <v>169</v>
      </c>
      <c r="G105" s="3" t="s">
        <v>170</v>
      </c>
      <c r="H105" s="3" t="s">
        <v>56</v>
      </c>
      <c r="I105" s="3" t="s">
        <v>32</v>
      </c>
      <c r="J105" s="3" t="s">
        <v>77</v>
      </c>
      <c r="K105" s="3" t="s">
        <v>78</v>
      </c>
      <c r="L105" s="3" t="s">
        <v>59</v>
      </c>
      <c r="M105" s="3" t="s">
        <v>195</v>
      </c>
      <c r="N105" s="3" t="s">
        <v>37</v>
      </c>
      <c r="O105" s="3" t="s">
        <v>196</v>
      </c>
      <c r="P105" s="3" t="s">
        <v>197</v>
      </c>
      <c r="Q105" s="5" t="n">
        <v>3905.76</v>
      </c>
      <c r="R105" s="3" t="n">
        <v>3</v>
      </c>
      <c r="S105" s="6" t="n">
        <v>0</v>
      </c>
      <c r="T105" s="5" t="n">
        <v>-186.43</v>
      </c>
      <c r="U105" s="3" t="str">
        <f aca="false">IF(T105&lt;0,"Loss",IF(T105=0,"Break-even","Profit"))</f>
        <v>Loss</v>
      </c>
      <c r="V105" s="3" t="str">
        <f aca="false">IF(Q105&lt;100,"Low",IF(Q105&lt;=500,"Medium","High"))</f>
        <v>High</v>
      </c>
      <c r="W105" s="3" t="n">
        <f aca="false">D105-C105</f>
        <v>5</v>
      </c>
      <c r="X105" s="3" t="str">
        <f aca="false">TEXT(C105,"mmmm")</f>
        <v>March</v>
      </c>
      <c r="Y105" s="3" t="str">
        <f aca="false">LEFT(G105,1)&amp;MID(G105,FIND(" ",G105)+1,1)</f>
        <v>PK</v>
      </c>
    </row>
    <row r="106" customFormat="false" ht="15" hidden="false" customHeight="false" outlineLevel="0" collapsed="false">
      <c r="A106" s="3" t="n">
        <v>105</v>
      </c>
      <c r="B106" s="3" t="s">
        <v>540</v>
      </c>
      <c r="C106" s="4" t="s">
        <v>541</v>
      </c>
      <c r="D106" s="4" t="s">
        <v>539</v>
      </c>
      <c r="E106" s="3" t="s">
        <v>28</v>
      </c>
      <c r="F106" s="3" t="s">
        <v>542</v>
      </c>
      <c r="G106" s="3" t="s">
        <v>543</v>
      </c>
      <c r="H106" s="3" t="s">
        <v>56</v>
      </c>
      <c r="I106" s="3" t="s">
        <v>32</v>
      </c>
      <c r="J106" s="3" t="s">
        <v>87</v>
      </c>
      <c r="K106" s="3" t="s">
        <v>68</v>
      </c>
      <c r="L106" s="3" t="s">
        <v>69</v>
      </c>
      <c r="M106" s="3" t="s">
        <v>149</v>
      </c>
      <c r="N106" s="3" t="s">
        <v>49</v>
      </c>
      <c r="O106" s="3" t="s">
        <v>150</v>
      </c>
      <c r="P106" s="3" t="s">
        <v>151</v>
      </c>
      <c r="Q106" s="5" t="n">
        <v>689.68</v>
      </c>
      <c r="R106" s="3" t="n">
        <v>13</v>
      </c>
      <c r="S106" s="6" t="n">
        <v>0.2</v>
      </c>
      <c r="T106" s="5" t="n">
        <v>-177.44</v>
      </c>
      <c r="U106" s="3" t="str">
        <f aca="false">IF(T106&lt;0,"Loss",IF(T106=0,"Break-even","Profit"))</f>
        <v>Loss</v>
      </c>
      <c r="V106" s="3" t="str">
        <f aca="false">IF(Q106&lt;100,"Low",IF(Q106&lt;=500,"Medium","High"))</f>
        <v>High</v>
      </c>
      <c r="W106" s="3" t="n">
        <f aca="false">D106-C106</f>
        <v>3</v>
      </c>
      <c r="X106" s="3" t="str">
        <f aca="false">TEXT(C106,"mmmm")</f>
        <v>March</v>
      </c>
      <c r="Y106" s="3" t="str">
        <f aca="false">LEFT(G106,1)&amp;MID(G106,FIND(" ",G106)+1,1)</f>
        <v>WM</v>
      </c>
    </row>
    <row r="107" customFormat="false" ht="15" hidden="false" customHeight="false" outlineLevel="0" collapsed="false">
      <c r="A107" s="3" t="n">
        <v>106</v>
      </c>
      <c r="B107" s="3" t="s">
        <v>544</v>
      </c>
      <c r="C107" s="4" t="s">
        <v>541</v>
      </c>
      <c r="D107" s="4" t="s">
        <v>545</v>
      </c>
      <c r="E107" s="3" t="s">
        <v>28</v>
      </c>
      <c r="F107" s="3" t="s">
        <v>546</v>
      </c>
      <c r="G107" s="3" t="s">
        <v>547</v>
      </c>
      <c r="H107" s="3" t="s">
        <v>56</v>
      </c>
      <c r="I107" s="3" t="s">
        <v>32</v>
      </c>
      <c r="J107" s="3" t="s">
        <v>548</v>
      </c>
      <c r="K107" s="3" t="s">
        <v>244</v>
      </c>
      <c r="L107" s="3" t="s">
        <v>157</v>
      </c>
      <c r="M107" s="3" t="s">
        <v>121</v>
      </c>
      <c r="N107" s="3" t="s">
        <v>49</v>
      </c>
      <c r="O107" s="3" t="s">
        <v>50</v>
      </c>
      <c r="P107" s="3" t="s">
        <v>122</v>
      </c>
      <c r="Q107" s="5" t="n">
        <v>161.18</v>
      </c>
      <c r="R107" s="3" t="n">
        <v>7</v>
      </c>
      <c r="S107" s="6" t="n">
        <v>0.3</v>
      </c>
      <c r="T107" s="5" t="n">
        <v>13.76</v>
      </c>
      <c r="U107" s="3" t="str">
        <f aca="false">IF(T107&lt;0,"Loss",IF(T107=0,"Break-even","Profit"))</f>
        <v>Profit</v>
      </c>
      <c r="V107" s="3" t="str">
        <f aca="false">IF(Q107&lt;100,"Low",IF(Q107&lt;=500,"Medium","High"))</f>
        <v>Medium</v>
      </c>
      <c r="W107" s="3" t="n">
        <f aca="false">D107-C107</f>
        <v>5</v>
      </c>
      <c r="X107" s="3" t="str">
        <f aca="false">TEXT(C107,"mmmm")</f>
        <v>March</v>
      </c>
      <c r="Y107" s="3" t="str">
        <f aca="false">LEFT(G107,1)&amp;MID(G107,FIND(" ",G107)+1,1)</f>
        <v>DB</v>
      </c>
    </row>
    <row r="108" customFormat="false" ht="15" hidden="false" customHeight="false" outlineLevel="0" collapsed="false">
      <c r="A108" s="3" t="n">
        <v>107</v>
      </c>
      <c r="B108" s="3" t="s">
        <v>549</v>
      </c>
      <c r="C108" s="4" t="s">
        <v>521</v>
      </c>
      <c r="D108" s="4" t="s">
        <v>545</v>
      </c>
      <c r="E108" s="3" t="s">
        <v>28</v>
      </c>
      <c r="F108" s="3" t="s">
        <v>550</v>
      </c>
      <c r="G108" s="3" t="s">
        <v>551</v>
      </c>
      <c r="H108" s="3" t="s">
        <v>31</v>
      </c>
      <c r="I108" s="3" t="s">
        <v>32</v>
      </c>
      <c r="J108" s="3" t="s">
        <v>33</v>
      </c>
      <c r="K108" s="3" t="s">
        <v>34</v>
      </c>
      <c r="L108" s="3" t="s">
        <v>35</v>
      </c>
      <c r="M108" s="3" t="s">
        <v>290</v>
      </c>
      <c r="N108" s="3" t="s">
        <v>37</v>
      </c>
      <c r="O108" s="3" t="s">
        <v>38</v>
      </c>
      <c r="P108" s="3" t="s">
        <v>291</v>
      </c>
      <c r="Q108" s="5" t="n">
        <v>5279.3</v>
      </c>
      <c r="R108" s="3" t="n">
        <v>5</v>
      </c>
      <c r="S108" s="6" t="n">
        <v>0.5</v>
      </c>
      <c r="T108" s="5" t="n">
        <v>-1125.68</v>
      </c>
      <c r="U108" s="3" t="str">
        <f aca="false">IF(T108&lt;0,"Loss",IF(T108=0,"Break-even","Profit"))</f>
        <v>Loss</v>
      </c>
      <c r="V108" s="3" t="str">
        <f aca="false">IF(Q108&lt;100,"Low",IF(Q108&lt;=500,"Medium","High"))</f>
        <v>High</v>
      </c>
      <c r="W108" s="3" t="n">
        <f aca="false">D108-C108</f>
        <v>4</v>
      </c>
      <c r="X108" s="3" t="str">
        <f aca="false">TEXT(C108,"mmmm")</f>
        <v>March</v>
      </c>
      <c r="Y108" s="3" t="str">
        <f aca="false">LEFT(G108,1)&amp;MID(G108,FIND(" ",G108)+1,1)</f>
        <v>EM</v>
      </c>
    </row>
    <row r="109" customFormat="false" ht="15" hidden="false" customHeight="false" outlineLevel="0" collapsed="false">
      <c r="A109" s="3" t="n">
        <v>108</v>
      </c>
      <c r="B109" s="3" t="s">
        <v>422</v>
      </c>
      <c r="C109" s="4" t="s">
        <v>531</v>
      </c>
      <c r="D109" s="4" t="s">
        <v>552</v>
      </c>
      <c r="E109" s="3" t="s">
        <v>28</v>
      </c>
      <c r="F109" s="3" t="s">
        <v>553</v>
      </c>
      <c r="G109" s="3" t="s">
        <v>554</v>
      </c>
      <c r="H109" s="3" t="s">
        <v>45</v>
      </c>
      <c r="I109" s="3" t="s">
        <v>32</v>
      </c>
      <c r="J109" s="3" t="s">
        <v>215</v>
      </c>
      <c r="K109" s="3" t="s">
        <v>34</v>
      </c>
      <c r="L109" s="3" t="s">
        <v>35</v>
      </c>
      <c r="M109" s="3" t="s">
        <v>48</v>
      </c>
      <c r="N109" s="3" t="s">
        <v>49</v>
      </c>
      <c r="O109" s="3" t="s">
        <v>50</v>
      </c>
      <c r="P109" s="3" t="s">
        <v>51</v>
      </c>
      <c r="Q109" s="5" t="n">
        <v>299.4</v>
      </c>
      <c r="R109" s="3" t="n">
        <v>5</v>
      </c>
      <c r="S109" s="6" t="n">
        <v>0.4</v>
      </c>
      <c r="T109" s="5" t="n">
        <v>30.57</v>
      </c>
      <c r="U109" s="3" t="str">
        <f aca="false">IF(T109&lt;0,"Loss",IF(T109=0,"Break-even","Profit"))</f>
        <v>Profit</v>
      </c>
      <c r="V109" s="3" t="str">
        <f aca="false">IF(Q109&lt;100,"Low",IF(Q109&lt;=500,"Medium","High"))</f>
        <v>Medium</v>
      </c>
      <c r="W109" s="3" t="n">
        <f aca="false">D109-C109</f>
        <v>7</v>
      </c>
      <c r="X109" s="3" t="str">
        <f aca="false">TEXT(C109,"mmmm")</f>
        <v>March</v>
      </c>
      <c r="Y109" s="3" t="str">
        <f aca="false">LEFT(G109,1)&amp;MID(G109,FIND(" ",G109)+1,1)</f>
        <v>LC</v>
      </c>
    </row>
    <row r="110" customFormat="false" ht="15" hidden="false" customHeight="false" outlineLevel="0" collapsed="false">
      <c r="A110" s="3" t="n">
        <v>109</v>
      </c>
      <c r="B110" s="3" t="s">
        <v>555</v>
      </c>
      <c r="C110" s="4" t="s">
        <v>531</v>
      </c>
      <c r="D110" s="4" t="s">
        <v>545</v>
      </c>
      <c r="E110" s="3" t="s">
        <v>84</v>
      </c>
      <c r="F110" s="3" t="s">
        <v>556</v>
      </c>
      <c r="G110" s="3" t="s">
        <v>557</v>
      </c>
      <c r="H110" s="3" t="s">
        <v>56</v>
      </c>
      <c r="I110" s="3" t="s">
        <v>32</v>
      </c>
      <c r="J110" s="3" t="s">
        <v>104</v>
      </c>
      <c r="K110" s="3" t="s">
        <v>96</v>
      </c>
      <c r="L110" s="3" t="s">
        <v>59</v>
      </c>
      <c r="M110" s="3" t="s">
        <v>121</v>
      </c>
      <c r="N110" s="3" t="s">
        <v>49</v>
      </c>
      <c r="O110" s="3" t="s">
        <v>50</v>
      </c>
      <c r="P110" s="3" t="s">
        <v>122</v>
      </c>
      <c r="Q110" s="5" t="n">
        <v>155.71</v>
      </c>
      <c r="R110" s="3" t="n">
        <v>2</v>
      </c>
      <c r="S110" s="6" t="n">
        <v>0.3</v>
      </c>
      <c r="T110" s="5" t="n">
        <v>5.43</v>
      </c>
      <c r="U110" s="3" t="str">
        <f aca="false">IF(T110&lt;0,"Loss",IF(T110=0,"Break-even","Profit"))</f>
        <v>Profit</v>
      </c>
      <c r="V110" s="3" t="str">
        <f aca="false">IF(Q110&lt;100,"Low",IF(Q110&lt;=500,"Medium","High"))</f>
        <v>Medium</v>
      </c>
      <c r="W110" s="3" t="n">
        <f aca="false">D110-C110</f>
        <v>3</v>
      </c>
      <c r="X110" s="3" t="str">
        <f aca="false">TEXT(C110,"mmmm")</f>
        <v>March</v>
      </c>
      <c r="Y110" s="3" t="str">
        <f aca="false">LEFT(G110,1)&amp;MID(G110,FIND(" ",G110)+1,1)</f>
        <v>MN</v>
      </c>
    </row>
    <row r="111" customFormat="false" ht="15" hidden="false" customHeight="false" outlineLevel="0" collapsed="false">
      <c r="A111" s="3" t="n">
        <v>110</v>
      </c>
      <c r="B111" s="3" t="s">
        <v>558</v>
      </c>
      <c r="C111" s="4" t="s">
        <v>531</v>
      </c>
      <c r="D111" s="4" t="s">
        <v>535</v>
      </c>
      <c r="E111" s="3" t="s">
        <v>42</v>
      </c>
      <c r="F111" s="3" t="s">
        <v>313</v>
      </c>
      <c r="G111" s="3" t="s">
        <v>314</v>
      </c>
      <c r="H111" s="3" t="s">
        <v>31</v>
      </c>
      <c r="I111" s="3" t="s">
        <v>32</v>
      </c>
      <c r="J111" s="3" t="s">
        <v>57</v>
      </c>
      <c r="K111" s="3" t="s">
        <v>58</v>
      </c>
      <c r="L111" s="3" t="s">
        <v>59</v>
      </c>
      <c r="M111" s="3" t="s">
        <v>559</v>
      </c>
      <c r="N111" s="3" t="s">
        <v>37</v>
      </c>
      <c r="O111" s="3" t="s">
        <v>38</v>
      </c>
      <c r="P111" s="3" t="s">
        <v>560</v>
      </c>
      <c r="Q111" s="5" t="n">
        <v>2847.68</v>
      </c>
      <c r="R111" s="3" t="n">
        <v>6</v>
      </c>
      <c r="S111" s="6" t="n">
        <v>0.2</v>
      </c>
      <c r="T111" s="5" t="n">
        <v>-189.16</v>
      </c>
      <c r="U111" s="3" t="str">
        <f aca="false">IF(T111&lt;0,"Loss",IF(T111=0,"Break-even","Profit"))</f>
        <v>Loss</v>
      </c>
      <c r="V111" s="3" t="str">
        <f aca="false">IF(Q111&lt;100,"Low",IF(Q111&lt;=500,"Medium","High"))</f>
        <v>High</v>
      </c>
      <c r="W111" s="3" t="n">
        <f aca="false">D111-C111</f>
        <v>2</v>
      </c>
      <c r="X111" s="3" t="str">
        <f aca="false">TEXT(C111,"mmmm")</f>
        <v>March</v>
      </c>
      <c r="Y111" s="3" t="str">
        <f aca="false">LEFT(G111,1)&amp;MID(G111,FIND(" ",G111)+1,1)</f>
        <v>JK</v>
      </c>
    </row>
    <row r="112" customFormat="false" ht="15" hidden="false" customHeight="false" outlineLevel="0" collapsed="false">
      <c r="A112" s="3" t="n">
        <v>111</v>
      </c>
      <c r="B112" s="3" t="s">
        <v>561</v>
      </c>
      <c r="C112" s="4" t="s">
        <v>539</v>
      </c>
      <c r="D112" s="4" t="s">
        <v>562</v>
      </c>
      <c r="E112" s="3" t="s">
        <v>28</v>
      </c>
      <c r="F112" s="3" t="s">
        <v>486</v>
      </c>
      <c r="G112" s="3" t="s">
        <v>487</v>
      </c>
      <c r="H112" s="3" t="s">
        <v>56</v>
      </c>
      <c r="I112" s="3" t="s">
        <v>32</v>
      </c>
      <c r="J112" s="3" t="s">
        <v>104</v>
      </c>
      <c r="K112" s="3" t="s">
        <v>96</v>
      </c>
      <c r="L112" s="3" t="s">
        <v>59</v>
      </c>
      <c r="M112" s="3" t="s">
        <v>149</v>
      </c>
      <c r="N112" s="3" t="s">
        <v>49</v>
      </c>
      <c r="O112" s="3" t="s">
        <v>150</v>
      </c>
      <c r="P112" s="3" t="s">
        <v>151</v>
      </c>
      <c r="Q112" s="5" t="n">
        <v>1314.77</v>
      </c>
      <c r="R112" s="3" t="n">
        <v>12</v>
      </c>
      <c r="S112" s="6" t="n">
        <v>0.2</v>
      </c>
      <c r="T112" s="5" t="n">
        <v>178.25</v>
      </c>
      <c r="U112" s="3" t="str">
        <f aca="false">IF(T112&lt;0,"Loss",IF(T112=0,"Break-even","Profit"))</f>
        <v>Profit</v>
      </c>
      <c r="V112" s="3" t="str">
        <f aca="false">IF(Q112&lt;100,"Low",IF(Q112&lt;=500,"Medium","High"))</f>
        <v>High</v>
      </c>
      <c r="W112" s="3" t="n">
        <f aca="false">D112-C112</f>
        <v>7</v>
      </c>
      <c r="X112" s="3" t="str">
        <f aca="false">TEXT(C112,"mmmm")</f>
        <v>March</v>
      </c>
      <c r="Y112" s="3" t="str">
        <f aca="false">LEFT(G112,1)&amp;MID(G112,FIND(" ",G112)+1,1)</f>
        <v>JB</v>
      </c>
    </row>
    <row r="113" customFormat="false" ht="15" hidden="false" customHeight="false" outlineLevel="0" collapsed="false">
      <c r="A113" s="3" t="n">
        <v>112</v>
      </c>
      <c r="B113" s="3" t="s">
        <v>563</v>
      </c>
      <c r="C113" s="4" t="s">
        <v>539</v>
      </c>
      <c r="D113" s="4" t="s">
        <v>564</v>
      </c>
      <c r="E113" s="3" t="s">
        <v>84</v>
      </c>
      <c r="F113" s="3" t="s">
        <v>565</v>
      </c>
      <c r="G113" s="3" t="s">
        <v>566</v>
      </c>
      <c r="H113" s="3" t="s">
        <v>31</v>
      </c>
      <c r="I113" s="3" t="s">
        <v>32</v>
      </c>
      <c r="J113" s="3" t="s">
        <v>95</v>
      </c>
      <c r="K113" s="3" t="s">
        <v>96</v>
      </c>
      <c r="L113" s="3" t="s">
        <v>59</v>
      </c>
      <c r="M113" s="3" t="s">
        <v>253</v>
      </c>
      <c r="N113" s="3" t="s">
        <v>89</v>
      </c>
      <c r="O113" s="3" t="s">
        <v>90</v>
      </c>
      <c r="P113" s="3" t="s">
        <v>254</v>
      </c>
      <c r="Q113" s="5" t="n">
        <v>294.93</v>
      </c>
      <c r="R113" s="3" t="n">
        <v>1</v>
      </c>
      <c r="S113" s="6" t="n">
        <v>0</v>
      </c>
      <c r="T113" s="5" t="n">
        <v>-56.75</v>
      </c>
      <c r="U113" s="3" t="str">
        <f aca="false">IF(T113&lt;0,"Loss",IF(T113=0,"Break-even","Profit"))</f>
        <v>Loss</v>
      </c>
      <c r="V113" s="3" t="str">
        <f aca="false">IF(Q113&lt;100,"Low",IF(Q113&lt;=500,"Medium","High"))</f>
        <v>Medium</v>
      </c>
      <c r="W113" s="3" t="n">
        <f aca="false">D113-C113</f>
        <v>3</v>
      </c>
      <c r="X113" s="3" t="str">
        <f aca="false">TEXT(C113,"mmmm")</f>
        <v>March</v>
      </c>
      <c r="Y113" s="3" t="str">
        <f aca="false">LEFT(G113,1)&amp;MID(G113,FIND(" ",G113)+1,1)</f>
        <v>CS</v>
      </c>
    </row>
    <row r="114" customFormat="false" ht="15" hidden="false" customHeight="false" outlineLevel="0" collapsed="false">
      <c r="A114" s="3" t="n">
        <v>113</v>
      </c>
      <c r="B114" s="3" t="s">
        <v>567</v>
      </c>
      <c r="C114" s="4" t="s">
        <v>539</v>
      </c>
      <c r="D114" s="4" t="s">
        <v>535</v>
      </c>
      <c r="E114" s="3" t="s">
        <v>42</v>
      </c>
      <c r="F114" s="3" t="s">
        <v>568</v>
      </c>
      <c r="G114" s="3" t="s">
        <v>569</v>
      </c>
      <c r="H114" s="3" t="s">
        <v>31</v>
      </c>
      <c r="I114" s="3" t="s">
        <v>32</v>
      </c>
      <c r="J114" s="3" t="s">
        <v>179</v>
      </c>
      <c r="K114" s="3" t="s">
        <v>47</v>
      </c>
      <c r="L114" s="3" t="s">
        <v>35</v>
      </c>
      <c r="M114" s="3" t="s">
        <v>135</v>
      </c>
      <c r="N114" s="3" t="s">
        <v>37</v>
      </c>
      <c r="O114" s="3" t="s">
        <v>136</v>
      </c>
      <c r="P114" s="3" t="s">
        <v>137</v>
      </c>
      <c r="Q114" s="5" t="n">
        <v>1372.38</v>
      </c>
      <c r="R114" s="3" t="n">
        <v>1</v>
      </c>
      <c r="S114" s="6" t="n">
        <v>0.1</v>
      </c>
      <c r="T114" s="5" t="n">
        <v>181.08</v>
      </c>
      <c r="U114" s="3" t="str">
        <f aca="false">IF(T114&lt;0,"Loss",IF(T114=0,"Break-even","Profit"))</f>
        <v>Profit</v>
      </c>
      <c r="V114" s="3" t="str">
        <f aca="false">IF(Q114&lt;100,"Low",IF(Q114&lt;=500,"Medium","High"))</f>
        <v>High</v>
      </c>
      <c r="W114" s="3" t="n">
        <f aca="false">D114-C114</f>
        <v>1</v>
      </c>
      <c r="X114" s="3" t="str">
        <f aca="false">TEXT(C114,"mmmm")</f>
        <v>March</v>
      </c>
      <c r="Y114" s="3" t="str">
        <f aca="false">LEFT(G114,1)&amp;MID(G114,FIND(" ",G114)+1,1)</f>
        <v>JT</v>
      </c>
    </row>
    <row r="115" customFormat="false" ht="15" hidden="false" customHeight="false" outlineLevel="0" collapsed="false">
      <c r="A115" s="3" t="n">
        <v>114</v>
      </c>
      <c r="B115" s="3" t="s">
        <v>570</v>
      </c>
      <c r="C115" s="4" t="s">
        <v>535</v>
      </c>
      <c r="D115" s="4" t="s">
        <v>571</v>
      </c>
      <c r="E115" s="3" t="s">
        <v>28</v>
      </c>
      <c r="F115" s="3" t="s">
        <v>572</v>
      </c>
      <c r="G115" s="3" t="s">
        <v>573</v>
      </c>
      <c r="H115" s="3" t="s">
        <v>45</v>
      </c>
      <c r="I115" s="3" t="s">
        <v>32</v>
      </c>
      <c r="J115" s="3" t="s">
        <v>201</v>
      </c>
      <c r="K115" s="3" t="s">
        <v>202</v>
      </c>
      <c r="L115" s="3" t="s">
        <v>35</v>
      </c>
      <c r="M115" s="3" t="s">
        <v>559</v>
      </c>
      <c r="N115" s="3" t="s">
        <v>37</v>
      </c>
      <c r="O115" s="3" t="s">
        <v>38</v>
      </c>
      <c r="P115" s="3" t="s">
        <v>560</v>
      </c>
      <c r="Q115" s="5" t="n">
        <v>11251.88</v>
      </c>
      <c r="R115" s="3" t="n">
        <v>9</v>
      </c>
      <c r="S115" s="6" t="n">
        <v>0.1</v>
      </c>
      <c r="T115" s="5" t="n">
        <v>2833.65</v>
      </c>
      <c r="U115" s="3" t="str">
        <f aca="false">IF(T115&lt;0,"Loss",IF(T115=0,"Break-even","Profit"))</f>
        <v>Profit</v>
      </c>
      <c r="V115" s="3" t="str">
        <f aca="false">IF(Q115&lt;100,"Low",IF(Q115&lt;=500,"Medium","High"))</f>
        <v>High</v>
      </c>
      <c r="W115" s="3" t="n">
        <f aca="false">D115-C115</f>
        <v>4</v>
      </c>
      <c r="X115" s="3" t="str">
        <f aca="false">TEXT(C115,"mmmm")</f>
        <v>March</v>
      </c>
      <c r="Y115" s="3" t="str">
        <f aca="false">LEFT(G115,1)&amp;MID(G115,FIND(" ",G115)+1,1)</f>
        <v>PM</v>
      </c>
    </row>
    <row r="116" customFormat="false" ht="15" hidden="false" customHeight="false" outlineLevel="0" collapsed="false">
      <c r="A116" s="3" t="n">
        <v>115</v>
      </c>
      <c r="B116" s="3" t="s">
        <v>574</v>
      </c>
      <c r="C116" s="4" t="s">
        <v>545</v>
      </c>
      <c r="D116" s="4" t="s">
        <v>564</v>
      </c>
      <c r="E116" s="3" t="s">
        <v>42</v>
      </c>
      <c r="F116" s="3" t="s">
        <v>575</v>
      </c>
      <c r="G116" s="3" t="s">
        <v>576</v>
      </c>
      <c r="H116" s="3" t="s">
        <v>31</v>
      </c>
      <c r="I116" s="3" t="s">
        <v>32</v>
      </c>
      <c r="J116" s="3" t="s">
        <v>285</v>
      </c>
      <c r="K116" s="3" t="s">
        <v>202</v>
      </c>
      <c r="L116" s="3" t="s">
        <v>35</v>
      </c>
      <c r="M116" s="3" t="s">
        <v>105</v>
      </c>
      <c r="N116" s="3" t="s">
        <v>49</v>
      </c>
      <c r="O116" s="3" t="s">
        <v>106</v>
      </c>
      <c r="P116" s="3" t="s">
        <v>107</v>
      </c>
      <c r="Q116" s="5" t="n">
        <v>97.99</v>
      </c>
      <c r="R116" s="3" t="n">
        <v>9</v>
      </c>
      <c r="S116" s="6" t="n">
        <v>0.2</v>
      </c>
      <c r="T116" s="5" t="n">
        <v>20</v>
      </c>
      <c r="U116" s="3" t="str">
        <f aca="false">IF(T116&lt;0,"Loss",IF(T116=0,"Break-even","Profit"))</f>
        <v>Profit</v>
      </c>
      <c r="V116" s="3" t="str">
        <f aca="false">IF(Q116&lt;100,"Low",IF(Q116&lt;=500,"Medium","High"))</f>
        <v>Low</v>
      </c>
      <c r="W116" s="3" t="n">
        <f aca="false">D116-C116</f>
        <v>1</v>
      </c>
      <c r="X116" s="3" t="str">
        <f aca="false">TEXT(C116,"mmmm")</f>
        <v>March</v>
      </c>
      <c r="Y116" s="3" t="str">
        <f aca="false">LEFT(G116,1)&amp;MID(G116,FIND(" ",G116)+1,1)</f>
        <v>PC</v>
      </c>
    </row>
    <row r="117" customFormat="false" ht="15" hidden="false" customHeight="false" outlineLevel="0" collapsed="false">
      <c r="A117" s="3" t="n">
        <v>116</v>
      </c>
      <c r="B117" s="3" t="s">
        <v>577</v>
      </c>
      <c r="C117" s="4" t="s">
        <v>545</v>
      </c>
      <c r="D117" s="4" t="s">
        <v>578</v>
      </c>
      <c r="E117" s="3" t="s">
        <v>28</v>
      </c>
      <c r="F117" s="3" t="s">
        <v>579</v>
      </c>
      <c r="G117" s="3" t="s">
        <v>580</v>
      </c>
      <c r="H117" s="3" t="s">
        <v>56</v>
      </c>
      <c r="I117" s="3" t="s">
        <v>32</v>
      </c>
      <c r="J117" s="3" t="s">
        <v>299</v>
      </c>
      <c r="K117" s="3" t="s">
        <v>189</v>
      </c>
      <c r="L117" s="3" t="s">
        <v>59</v>
      </c>
      <c r="M117" s="3" t="s">
        <v>300</v>
      </c>
      <c r="N117" s="3" t="s">
        <v>49</v>
      </c>
      <c r="O117" s="3" t="s">
        <v>143</v>
      </c>
      <c r="P117" s="3" t="s">
        <v>301</v>
      </c>
      <c r="Q117" s="5" t="n">
        <v>1332.41</v>
      </c>
      <c r="R117" s="3" t="n">
        <v>14</v>
      </c>
      <c r="S117" s="6" t="n">
        <v>0.3</v>
      </c>
      <c r="T117" s="5" t="n">
        <v>357.01</v>
      </c>
      <c r="U117" s="3" t="str">
        <f aca="false">IF(T117&lt;0,"Loss",IF(T117=0,"Break-even","Profit"))</f>
        <v>Profit</v>
      </c>
      <c r="V117" s="3" t="str">
        <f aca="false">IF(Q117&lt;100,"Low",IF(Q117&lt;=500,"Medium","High"))</f>
        <v>High</v>
      </c>
      <c r="W117" s="3" t="n">
        <f aca="false">D117-C117</f>
        <v>6</v>
      </c>
      <c r="X117" s="3" t="str">
        <f aca="false">TEXT(C117,"mmmm")</f>
        <v>March</v>
      </c>
      <c r="Y117" s="3" t="str">
        <f aca="false">LEFT(G117,1)&amp;MID(G117,FIND(" ",G117)+1,1)</f>
        <v>OB</v>
      </c>
    </row>
    <row r="118" customFormat="false" ht="15" hidden="false" customHeight="false" outlineLevel="0" collapsed="false">
      <c r="A118" s="3" t="n">
        <v>117</v>
      </c>
      <c r="B118" s="3" t="s">
        <v>581</v>
      </c>
      <c r="C118" s="4" t="s">
        <v>564</v>
      </c>
      <c r="D118" s="4" t="s">
        <v>562</v>
      </c>
      <c r="E118" s="3" t="s">
        <v>84</v>
      </c>
      <c r="F118" s="3" t="s">
        <v>582</v>
      </c>
      <c r="G118" s="3" t="s">
        <v>583</v>
      </c>
      <c r="H118" s="3" t="s">
        <v>31</v>
      </c>
      <c r="I118" s="3" t="s">
        <v>32</v>
      </c>
      <c r="J118" s="3" t="s">
        <v>365</v>
      </c>
      <c r="K118" s="3" t="s">
        <v>366</v>
      </c>
      <c r="L118" s="3" t="s">
        <v>157</v>
      </c>
      <c r="M118" s="3" t="s">
        <v>127</v>
      </c>
      <c r="N118" s="3" t="s">
        <v>49</v>
      </c>
      <c r="O118" s="3" t="s">
        <v>61</v>
      </c>
      <c r="P118" s="3" t="s">
        <v>128</v>
      </c>
      <c r="Q118" s="5" t="n">
        <v>490.63</v>
      </c>
      <c r="R118" s="3" t="n">
        <v>6</v>
      </c>
      <c r="S118" s="6" t="n">
        <v>0.3</v>
      </c>
      <c r="T118" s="5" t="n">
        <v>-136.78</v>
      </c>
      <c r="U118" s="3" t="str">
        <f aca="false">IF(T118&lt;0,"Loss",IF(T118=0,"Break-even","Profit"))</f>
        <v>Loss</v>
      </c>
      <c r="V118" s="3" t="str">
        <f aca="false">IF(Q118&lt;100,"Low",IF(Q118&lt;=500,"Medium","High"))</f>
        <v>Medium</v>
      </c>
      <c r="W118" s="3" t="n">
        <f aca="false">D118-C118</f>
        <v>4</v>
      </c>
      <c r="X118" s="3" t="str">
        <f aca="false">TEXT(C118,"mmmm")</f>
        <v>March</v>
      </c>
      <c r="Y118" s="3" t="str">
        <f aca="false">LEFT(G118,1)&amp;MID(G118,FIND(" ",G118)+1,1)</f>
        <v>PB</v>
      </c>
    </row>
    <row r="119" customFormat="false" ht="15" hidden="false" customHeight="false" outlineLevel="0" collapsed="false">
      <c r="A119" s="3" t="n">
        <v>118</v>
      </c>
      <c r="B119" s="3" t="s">
        <v>584</v>
      </c>
      <c r="C119" s="4" t="s">
        <v>585</v>
      </c>
      <c r="D119" s="4" t="s">
        <v>578</v>
      </c>
      <c r="E119" s="3" t="s">
        <v>84</v>
      </c>
      <c r="F119" s="3" t="s">
        <v>586</v>
      </c>
      <c r="G119" s="3" t="s">
        <v>587</v>
      </c>
      <c r="H119" s="3" t="s">
        <v>31</v>
      </c>
      <c r="I119" s="3" t="s">
        <v>32</v>
      </c>
      <c r="J119" s="3" t="s">
        <v>315</v>
      </c>
      <c r="K119" s="3" t="s">
        <v>58</v>
      </c>
      <c r="L119" s="3" t="s">
        <v>59</v>
      </c>
      <c r="M119" s="3" t="s">
        <v>334</v>
      </c>
      <c r="N119" s="3" t="s">
        <v>37</v>
      </c>
      <c r="O119" s="3" t="s">
        <v>136</v>
      </c>
      <c r="P119" s="3" t="s">
        <v>335</v>
      </c>
      <c r="Q119" s="5" t="n">
        <v>3430.4</v>
      </c>
      <c r="R119" s="3" t="n">
        <v>5</v>
      </c>
      <c r="S119" s="6" t="n">
        <v>0.5</v>
      </c>
      <c r="T119" s="5" t="n">
        <v>395.8</v>
      </c>
      <c r="U119" s="3" t="str">
        <f aca="false">IF(T119&lt;0,"Loss",IF(T119=0,"Break-even","Profit"))</f>
        <v>Profit</v>
      </c>
      <c r="V119" s="3" t="str">
        <f aca="false">IF(Q119&lt;100,"Low",IF(Q119&lt;=500,"Medium","High"))</f>
        <v>High</v>
      </c>
      <c r="W119" s="3" t="n">
        <f aca="false">D119-C119</f>
        <v>4</v>
      </c>
      <c r="X119" s="3" t="str">
        <f aca="false">TEXT(C119,"mmmm")</f>
        <v>March</v>
      </c>
      <c r="Y119" s="3" t="str">
        <f aca="false">LEFT(G119,1)&amp;MID(G119,FIND(" ",G119)+1,1)</f>
        <v>MN</v>
      </c>
    </row>
    <row r="120" customFormat="false" ht="15" hidden="false" customHeight="false" outlineLevel="0" collapsed="false">
      <c r="A120" s="3" t="n">
        <v>119</v>
      </c>
      <c r="B120" s="3" t="s">
        <v>588</v>
      </c>
      <c r="C120" s="4" t="s">
        <v>571</v>
      </c>
      <c r="D120" s="4" t="s">
        <v>589</v>
      </c>
      <c r="E120" s="3" t="s">
        <v>28</v>
      </c>
      <c r="F120" s="3" t="s">
        <v>250</v>
      </c>
      <c r="G120" s="3" t="s">
        <v>251</v>
      </c>
      <c r="H120" s="3" t="s">
        <v>56</v>
      </c>
      <c r="I120" s="3" t="s">
        <v>32</v>
      </c>
      <c r="J120" s="3" t="s">
        <v>155</v>
      </c>
      <c r="K120" s="3" t="s">
        <v>156</v>
      </c>
      <c r="L120" s="3" t="s">
        <v>157</v>
      </c>
      <c r="M120" s="3" t="s">
        <v>300</v>
      </c>
      <c r="N120" s="3" t="s">
        <v>49</v>
      </c>
      <c r="O120" s="3" t="s">
        <v>143</v>
      </c>
      <c r="P120" s="3" t="s">
        <v>301</v>
      </c>
      <c r="Q120" s="5" t="n">
        <v>863.2</v>
      </c>
      <c r="R120" s="3" t="n">
        <v>10</v>
      </c>
      <c r="S120" s="6" t="n">
        <v>0.2</v>
      </c>
      <c r="T120" s="5" t="n">
        <v>-26.48</v>
      </c>
      <c r="U120" s="3" t="str">
        <f aca="false">IF(T120&lt;0,"Loss",IF(T120=0,"Break-even","Profit"))</f>
        <v>Loss</v>
      </c>
      <c r="V120" s="3" t="str">
        <f aca="false">IF(Q120&lt;100,"Low",IF(Q120&lt;=500,"Medium","High"))</f>
        <v>High</v>
      </c>
      <c r="W120" s="3" t="n">
        <f aca="false">D120-C120</f>
        <v>6</v>
      </c>
      <c r="X120" s="3" t="str">
        <f aca="false">TEXT(C120,"mmmm")</f>
        <v>March</v>
      </c>
      <c r="Y120" s="3" t="str">
        <f aca="false">LEFT(G120,1)&amp;MID(G120,FIND(" ",G120)+1,1)</f>
        <v>JK</v>
      </c>
    </row>
    <row r="121" customFormat="false" ht="15" hidden="false" customHeight="false" outlineLevel="0" collapsed="false">
      <c r="A121" s="3" t="n">
        <v>120</v>
      </c>
      <c r="B121" s="3" t="s">
        <v>590</v>
      </c>
      <c r="C121" s="4" t="s">
        <v>552</v>
      </c>
      <c r="D121" s="4" t="s">
        <v>591</v>
      </c>
      <c r="E121" s="3" t="s">
        <v>28</v>
      </c>
      <c r="F121" s="3" t="s">
        <v>592</v>
      </c>
      <c r="G121" s="3" t="s">
        <v>593</v>
      </c>
      <c r="H121" s="3" t="s">
        <v>31</v>
      </c>
      <c r="I121" s="3" t="s">
        <v>32</v>
      </c>
      <c r="J121" s="3" t="s">
        <v>386</v>
      </c>
      <c r="K121" s="3" t="s">
        <v>387</v>
      </c>
      <c r="L121" s="3" t="s">
        <v>35</v>
      </c>
      <c r="M121" s="3" t="s">
        <v>149</v>
      </c>
      <c r="N121" s="3" t="s">
        <v>49</v>
      </c>
      <c r="O121" s="3" t="s">
        <v>150</v>
      </c>
      <c r="P121" s="3" t="s">
        <v>151</v>
      </c>
      <c r="Q121" s="5" t="n">
        <v>78.23</v>
      </c>
      <c r="R121" s="3" t="n">
        <v>3</v>
      </c>
      <c r="S121" s="6" t="n">
        <v>0</v>
      </c>
      <c r="T121" s="5" t="n">
        <v>-1.09</v>
      </c>
      <c r="U121" s="3" t="str">
        <f aca="false">IF(T121&lt;0,"Loss",IF(T121=0,"Break-even","Profit"))</f>
        <v>Loss</v>
      </c>
      <c r="V121" s="3" t="str">
        <f aca="false">IF(Q121&lt;100,"Low",IF(Q121&lt;=500,"Medium","High"))</f>
        <v>Low</v>
      </c>
      <c r="W121" s="3" t="n">
        <f aca="false">D121-C121</f>
        <v>6</v>
      </c>
      <c r="X121" s="3" t="str">
        <f aca="false">TEXT(C121,"mmmm")</f>
        <v>March</v>
      </c>
      <c r="Y121" s="3" t="str">
        <f aca="false">LEFT(G121,1)&amp;MID(G121,FIND(" ",G121)+1,1)</f>
        <v>PB</v>
      </c>
    </row>
    <row r="122" customFormat="false" ht="15" hidden="false" customHeight="false" outlineLevel="0" collapsed="false">
      <c r="A122" s="3" t="n">
        <v>121</v>
      </c>
      <c r="B122" s="3" t="s">
        <v>594</v>
      </c>
      <c r="C122" s="4" t="s">
        <v>552</v>
      </c>
      <c r="D122" s="4" t="s">
        <v>578</v>
      </c>
      <c r="E122" s="3" t="s">
        <v>42</v>
      </c>
      <c r="F122" s="3" t="s">
        <v>241</v>
      </c>
      <c r="G122" s="3" t="s">
        <v>242</v>
      </c>
      <c r="H122" s="3" t="s">
        <v>56</v>
      </c>
      <c r="I122" s="3" t="s">
        <v>32</v>
      </c>
      <c r="J122" s="3" t="s">
        <v>104</v>
      </c>
      <c r="K122" s="3" t="s">
        <v>96</v>
      </c>
      <c r="L122" s="3" t="s">
        <v>59</v>
      </c>
      <c r="M122" s="3" t="s">
        <v>461</v>
      </c>
      <c r="N122" s="3" t="s">
        <v>37</v>
      </c>
      <c r="O122" s="3" t="s">
        <v>71</v>
      </c>
      <c r="P122" s="3" t="s">
        <v>462</v>
      </c>
      <c r="Q122" s="5" t="n">
        <v>5522.73</v>
      </c>
      <c r="R122" s="3" t="n">
        <v>9</v>
      </c>
      <c r="S122" s="6" t="n">
        <v>0.2</v>
      </c>
      <c r="T122" s="5" t="n">
        <v>-477.3</v>
      </c>
      <c r="U122" s="3" t="str">
        <f aca="false">IF(T122&lt;0,"Loss",IF(T122=0,"Break-even","Profit"))</f>
        <v>Loss</v>
      </c>
      <c r="V122" s="3" t="str">
        <f aca="false">IF(Q122&lt;100,"Low",IF(Q122&lt;=500,"Medium","High"))</f>
        <v>High</v>
      </c>
      <c r="W122" s="3" t="n">
        <f aca="false">D122-C122</f>
        <v>2</v>
      </c>
      <c r="X122" s="3" t="str">
        <f aca="false">TEXT(C122,"mmmm")</f>
        <v>March</v>
      </c>
      <c r="Y122" s="3" t="str">
        <f aca="false">LEFT(G122,1)&amp;MID(G122,FIND(" ",G122)+1,1)</f>
        <v>AC</v>
      </c>
    </row>
    <row r="123" customFormat="false" ht="15" hidden="false" customHeight="false" outlineLevel="0" collapsed="false">
      <c r="A123" s="3" t="n">
        <v>122</v>
      </c>
      <c r="B123" s="3" t="s">
        <v>595</v>
      </c>
      <c r="C123" s="4" t="s">
        <v>578</v>
      </c>
      <c r="D123" s="4" t="s">
        <v>596</v>
      </c>
      <c r="E123" s="3" t="s">
        <v>28</v>
      </c>
      <c r="F123" s="3" t="s">
        <v>597</v>
      </c>
      <c r="G123" s="3" t="s">
        <v>598</v>
      </c>
      <c r="H123" s="3" t="s">
        <v>31</v>
      </c>
      <c r="I123" s="3" t="s">
        <v>32</v>
      </c>
      <c r="J123" s="3" t="s">
        <v>315</v>
      </c>
      <c r="K123" s="3" t="s">
        <v>58</v>
      </c>
      <c r="L123" s="3" t="s">
        <v>59</v>
      </c>
      <c r="M123" s="3" t="s">
        <v>127</v>
      </c>
      <c r="N123" s="3" t="s">
        <v>49</v>
      </c>
      <c r="O123" s="3" t="s">
        <v>61</v>
      </c>
      <c r="P123" s="3" t="s">
        <v>128</v>
      </c>
      <c r="Q123" s="5" t="n">
        <v>847.8</v>
      </c>
      <c r="R123" s="3" t="n">
        <v>11</v>
      </c>
      <c r="S123" s="6" t="n">
        <v>0.2</v>
      </c>
      <c r="T123" s="5" t="n">
        <v>-76.96</v>
      </c>
      <c r="U123" s="3" t="str">
        <f aca="false">IF(T123&lt;0,"Loss",IF(T123=0,"Break-even","Profit"))</f>
        <v>Loss</v>
      </c>
      <c r="V123" s="3" t="str">
        <f aca="false">IF(Q123&lt;100,"Low",IF(Q123&lt;=500,"Medium","High"))</f>
        <v>High</v>
      </c>
      <c r="W123" s="3" t="n">
        <f aca="false">D123-C123</f>
        <v>5</v>
      </c>
      <c r="X123" s="3" t="str">
        <f aca="false">TEXT(C123,"mmmm")</f>
        <v>March</v>
      </c>
      <c r="Y123" s="3" t="str">
        <f aca="false">LEFT(G123,1)&amp;MID(G123,FIND(" ",G123)+1,1)</f>
        <v>OK</v>
      </c>
    </row>
    <row r="124" customFormat="false" ht="15" hidden="false" customHeight="false" outlineLevel="0" collapsed="false">
      <c r="A124" s="3" t="n">
        <v>123</v>
      </c>
      <c r="B124" s="3" t="s">
        <v>599</v>
      </c>
      <c r="C124" s="4" t="s">
        <v>600</v>
      </c>
      <c r="D124" s="4" t="s">
        <v>601</v>
      </c>
      <c r="E124" s="3" t="s">
        <v>28</v>
      </c>
      <c r="F124" s="3" t="s">
        <v>602</v>
      </c>
      <c r="G124" s="3" t="s">
        <v>603</v>
      </c>
      <c r="H124" s="3" t="s">
        <v>31</v>
      </c>
      <c r="I124" s="3" t="s">
        <v>32</v>
      </c>
      <c r="J124" s="3" t="s">
        <v>46</v>
      </c>
      <c r="K124" s="3" t="s">
        <v>47</v>
      </c>
      <c r="L124" s="3" t="s">
        <v>35</v>
      </c>
      <c r="M124" s="3" t="s">
        <v>158</v>
      </c>
      <c r="N124" s="3" t="s">
        <v>49</v>
      </c>
      <c r="O124" s="3" t="s">
        <v>159</v>
      </c>
      <c r="P124" s="3" t="s">
        <v>160</v>
      </c>
      <c r="Q124" s="5" t="n">
        <v>336.69</v>
      </c>
      <c r="R124" s="3" t="n">
        <v>13</v>
      </c>
      <c r="S124" s="6" t="n">
        <v>0.2</v>
      </c>
      <c r="T124" s="5" t="n">
        <v>27.92</v>
      </c>
      <c r="U124" s="3" t="str">
        <f aca="false">IF(T124&lt;0,"Loss",IF(T124=0,"Break-even","Profit"))</f>
        <v>Profit</v>
      </c>
      <c r="V124" s="3" t="str">
        <f aca="false">IF(Q124&lt;100,"Low",IF(Q124&lt;=500,"Medium","High"))</f>
        <v>Medium</v>
      </c>
      <c r="W124" s="3" t="n">
        <f aca="false">D124-C124</f>
        <v>6</v>
      </c>
      <c r="X124" s="3" t="str">
        <f aca="false">TEXT(C124,"mmmm")</f>
        <v>April</v>
      </c>
      <c r="Y124" s="3" t="str">
        <f aca="false">LEFT(G124,1)&amp;MID(G124,FIND(" ",G124)+1,1)</f>
        <v>SR</v>
      </c>
    </row>
    <row r="125" customFormat="false" ht="15" hidden="false" customHeight="false" outlineLevel="0" collapsed="false">
      <c r="A125" s="3" t="n">
        <v>124</v>
      </c>
      <c r="B125" s="3" t="s">
        <v>604</v>
      </c>
      <c r="C125" s="4" t="s">
        <v>600</v>
      </c>
      <c r="D125" s="4" t="s">
        <v>605</v>
      </c>
      <c r="E125" s="3" t="s">
        <v>28</v>
      </c>
      <c r="F125" s="3" t="s">
        <v>606</v>
      </c>
      <c r="G125" s="3" t="s">
        <v>607</v>
      </c>
      <c r="H125" s="3" t="s">
        <v>31</v>
      </c>
      <c r="I125" s="3" t="s">
        <v>32</v>
      </c>
      <c r="J125" s="3" t="s">
        <v>67</v>
      </c>
      <c r="K125" s="3" t="s">
        <v>68</v>
      </c>
      <c r="L125" s="3" t="s">
        <v>69</v>
      </c>
      <c r="M125" s="3" t="s">
        <v>219</v>
      </c>
      <c r="N125" s="3" t="s">
        <v>49</v>
      </c>
      <c r="O125" s="3" t="s">
        <v>220</v>
      </c>
      <c r="P125" s="3" t="s">
        <v>221</v>
      </c>
      <c r="Q125" s="5" t="n">
        <v>70.74</v>
      </c>
      <c r="R125" s="3" t="n">
        <v>1</v>
      </c>
      <c r="S125" s="6" t="n">
        <v>0</v>
      </c>
      <c r="T125" s="5" t="n">
        <v>-4.6</v>
      </c>
      <c r="U125" s="3" t="str">
        <f aca="false">IF(T125&lt;0,"Loss",IF(T125=0,"Break-even","Profit"))</f>
        <v>Loss</v>
      </c>
      <c r="V125" s="3" t="str">
        <f aca="false">IF(Q125&lt;100,"Low",IF(Q125&lt;=500,"Medium","High"))</f>
        <v>Low</v>
      </c>
      <c r="W125" s="3" t="n">
        <f aca="false">D125-C125</f>
        <v>5</v>
      </c>
      <c r="X125" s="3" t="str">
        <f aca="false">TEXT(C125,"mmmm")</f>
        <v>April</v>
      </c>
      <c r="Y125" s="3" t="str">
        <f aca="false">LEFT(G125,1)&amp;MID(G125,FIND(" ",G125)+1,1)</f>
        <v>JA</v>
      </c>
    </row>
    <row r="126" customFormat="false" ht="15" hidden="false" customHeight="false" outlineLevel="0" collapsed="false">
      <c r="A126" s="3" t="n">
        <v>125</v>
      </c>
      <c r="B126" s="3" t="s">
        <v>608</v>
      </c>
      <c r="C126" s="4" t="s">
        <v>600</v>
      </c>
      <c r="D126" s="4" t="s">
        <v>605</v>
      </c>
      <c r="E126" s="3" t="s">
        <v>28</v>
      </c>
      <c r="F126" s="3" t="s">
        <v>609</v>
      </c>
      <c r="G126" s="3" t="s">
        <v>610</v>
      </c>
      <c r="H126" s="3" t="s">
        <v>45</v>
      </c>
      <c r="I126" s="3" t="s">
        <v>32</v>
      </c>
      <c r="J126" s="3" t="s">
        <v>67</v>
      </c>
      <c r="K126" s="3" t="s">
        <v>68</v>
      </c>
      <c r="L126" s="3" t="s">
        <v>69</v>
      </c>
      <c r="M126" s="3" t="s">
        <v>347</v>
      </c>
      <c r="N126" s="3" t="s">
        <v>49</v>
      </c>
      <c r="O126" s="3" t="s">
        <v>220</v>
      </c>
      <c r="P126" s="3" t="s">
        <v>348</v>
      </c>
      <c r="Q126" s="5" t="n">
        <v>205.3</v>
      </c>
      <c r="R126" s="3" t="n">
        <v>3</v>
      </c>
      <c r="S126" s="6" t="n">
        <v>0</v>
      </c>
      <c r="T126" s="5" t="n">
        <v>-18.14</v>
      </c>
      <c r="U126" s="3" t="str">
        <f aca="false">IF(T126&lt;0,"Loss",IF(T126=0,"Break-even","Profit"))</f>
        <v>Loss</v>
      </c>
      <c r="V126" s="3" t="str">
        <f aca="false">IF(Q126&lt;100,"Low",IF(Q126&lt;=500,"Medium","High"))</f>
        <v>Medium</v>
      </c>
      <c r="W126" s="3" t="n">
        <f aca="false">D126-C126</f>
        <v>5</v>
      </c>
      <c r="X126" s="3" t="str">
        <f aca="false">TEXT(C126,"mmmm")</f>
        <v>April</v>
      </c>
      <c r="Y126" s="3" t="str">
        <f aca="false">LEFT(G126,1)&amp;MID(G126,FIND(" ",G126)+1,1)</f>
        <v>DK</v>
      </c>
    </row>
    <row r="127" customFormat="false" ht="15" hidden="false" customHeight="false" outlineLevel="0" collapsed="false">
      <c r="A127" s="3" t="n">
        <v>126</v>
      </c>
      <c r="B127" s="3" t="s">
        <v>611</v>
      </c>
      <c r="C127" s="4" t="s">
        <v>612</v>
      </c>
      <c r="D127" s="4" t="s">
        <v>613</v>
      </c>
      <c r="E127" s="3" t="s">
        <v>28</v>
      </c>
      <c r="F127" s="3" t="s">
        <v>614</v>
      </c>
      <c r="G127" s="3" t="s">
        <v>615</v>
      </c>
      <c r="H127" s="3" t="s">
        <v>56</v>
      </c>
      <c r="I127" s="3" t="s">
        <v>32</v>
      </c>
      <c r="J127" s="3" t="s">
        <v>616</v>
      </c>
      <c r="K127" s="3" t="s">
        <v>156</v>
      </c>
      <c r="L127" s="3" t="s">
        <v>157</v>
      </c>
      <c r="M127" s="3" t="s">
        <v>121</v>
      </c>
      <c r="N127" s="3" t="s">
        <v>49</v>
      </c>
      <c r="O127" s="3" t="s">
        <v>50</v>
      </c>
      <c r="P127" s="3" t="s">
        <v>122</v>
      </c>
      <c r="Q127" s="5" t="n">
        <v>260.63</v>
      </c>
      <c r="R127" s="3" t="n">
        <v>9</v>
      </c>
      <c r="S127" s="6" t="n">
        <v>0.1</v>
      </c>
      <c r="T127" s="5" t="n">
        <v>-29.15</v>
      </c>
      <c r="U127" s="3" t="str">
        <f aca="false">IF(T127&lt;0,"Loss",IF(T127=0,"Break-even","Profit"))</f>
        <v>Loss</v>
      </c>
      <c r="V127" s="3" t="str">
        <f aca="false">IF(Q127&lt;100,"Low",IF(Q127&lt;=500,"Medium","High"))</f>
        <v>Medium</v>
      </c>
      <c r="W127" s="3" t="n">
        <f aca="false">D127-C127</f>
        <v>7</v>
      </c>
      <c r="X127" s="3" t="str">
        <f aca="false">TEXT(C127,"mmmm")</f>
        <v>April</v>
      </c>
      <c r="Y127" s="3" t="str">
        <f aca="false">LEFT(G127,1)&amp;MID(G127,FIND(" ",G127)+1,1)</f>
        <v>MM</v>
      </c>
    </row>
    <row r="128" customFormat="false" ht="15" hidden="false" customHeight="false" outlineLevel="0" collapsed="false">
      <c r="A128" s="3" t="n">
        <v>127</v>
      </c>
      <c r="B128" s="3" t="s">
        <v>617</v>
      </c>
      <c r="C128" s="4" t="s">
        <v>591</v>
      </c>
      <c r="D128" s="4" t="s">
        <v>591</v>
      </c>
      <c r="E128" s="3" t="s">
        <v>53</v>
      </c>
      <c r="F128" s="3" t="s">
        <v>618</v>
      </c>
      <c r="G128" s="3" t="s">
        <v>619</v>
      </c>
      <c r="H128" s="3" t="s">
        <v>56</v>
      </c>
      <c r="I128" s="3" t="s">
        <v>32</v>
      </c>
      <c r="J128" s="3" t="s">
        <v>95</v>
      </c>
      <c r="K128" s="3" t="s">
        <v>96</v>
      </c>
      <c r="L128" s="3" t="s">
        <v>59</v>
      </c>
      <c r="M128" s="3" t="s">
        <v>127</v>
      </c>
      <c r="N128" s="3" t="s">
        <v>49</v>
      </c>
      <c r="O128" s="3" t="s">
        <v>61</v>
      </c>
      <c r="P128" s="3" t="s">
        <v>128</v>
      </c>
      <c r="Q128" s="5" t="n">
        <v>18.58</v>
      </c>
      <c r="R128" s="3" t="n">
        <v>1</v>
      </c>
      <c r="S128" s="6" t="n">
        <v>0.3</v>
      </c>
      <c r="T128" s="5" t="n">
        <v>2.31</v>
      </c>
      <c r="U128" s="3" t="str">
        <f aca="false">IF(T128&lt;0,"Loss",IF(T128=0,"Break-even","Profit"))</f>
        <v>Profit</v>
      </c>
      <c r="V128" s="3" t="str">
        <f aca="false">IF(Q128&lt;100,"Low",IF(Q128&lt;=500,"Medium","High"))</f>
        <v>Low</v>
      </c>
      <c r="W128" s="3" t="n">
        <f aca="false">D128-C128</f>
        <v>0</v>
      </c>
      <c r="X128" s="3" t="str">
        <f aca="false">TEXT(C128,"mmmm")</f>
        <v>April</v>
      </c>
      <c r="Y128" s="3" t="str">
        <f aca="false">LEFT(G128,1)&amp;MID(G128,FIND(" ",G128)+1,1)</f>
        <v>AJ</v>
      </c>
    </row>
    <row r="129" customFormat="false" ht="15" hidden="false" customHeight="false" outlineLevel="0" collapsed="false">
      <c r="A129" s="3" t="n">
        <v>128</v>
      </c>
      <c r="B129" s="3" t="s">
        <v>620</v>
      </c>
      <c r="C129" s="4" t="s">
        <v>596</v>
      </c>
      <c r="D129" s="4" t="s">
        <v>621</v>
      </c>
      <c r="E129" s="3" t="s">
        <v>28</v>
      </c>
      <c r="F129" s="3" t="s">
        <v>622</v>
      </c>
      <c r="G129" s="3" t="s">
        <v>623</v>
      </c>
      <c r="H129" s="3" t="s">
        <v>56</v>
      </c>
      <c r="I129" s="3" t="s">
        <v>32</v>
      </c>
      <c r="J129" s="3" t="s">
        <v>329</v>
      </c>
      <c r="K129" s="3" t="s">
        <v>156</v>
      </c>
      <c r="L129" s="3" t="s">
        <v>157</v>
      </c>
      <c r="M129" s="3" t="s">
        <v>290</v>
      </c>
      <c r="N129" s="3" t="s">
        <v>37</v>
      </c>
      <c r="O129" s="3" t="s">
        <v>38</v>
      </c>
      <c r="P129" s="3" t="s">
        <v>291</v>
      </c>
      <c r="Q129" s="5" t="n">
        <v>12150.14</v>
      </c>
      <c r="R129" s="3" t="n">
        <v>9</v>
      </c>
      <c r="S129" s="6" t="n">
        <v>0.2</v>
      </c>
      <c r="T129" s="5" t="n">
        <v>2585.18</v>
      </c>
      <c r="U129" s="3" t="str">
        <f aca="false">IF(T129&lt;0,"Loss",IF(T129=0,"Break-even","Profit"))</f>
        <v>Profit</v>
      </c>
      <c r="V129" s="3" t="str">
        <f aca="false">IF(Q129&lt;100,"Low",IF(Q129&lt;=500,"Medium","High"))</f>
        <v>High</v>
      </c>
      <c r="W129" s="3" t="n">
        <f aca="false">D129-C129</f>
        <v>3</v>
      </c>
      <c r="X129" s="3" t="str">
        <f aca="false">TEXT(C129,"mmmm")</f>
        <v>April</v>
      </c>
      <c r="Y129" s="3" t="str">
        <f aca="false">LEFT(G129,1)&amp;MID(G129,FIND(" ",G129)+1,1)</f>
        <v>LR</v>
      </c>
    </row>
    <row r="130" customFormat="false" ht="15" hidden="false" customHeight="false" outlineLevel="0" collapsed="false">
      <c r="A130" s="3" t="n">
        <v>129</v>
      </c>
      <c r="B130" s="3" t="s">
        <v>624</v>
      </c>
      <c r="C130" s="4" t="s">
        <v>605</v>
      </c>
      <c r="D130" s="4" t="s">
        <v>625</v>
      </c>
      <c r="E130" s="3" t="s">
        <v>28</v>
      </c>
      <c r="F130" s="3" t="s">
        <v>626</v>
      </c>
      <c r="G130" s="3" t="s">
        <v>627</v>
      </c>
      <c r="H130" s="3" t="s">
        <v>56</v>
      </c>
      <c r="I130" s="3" t="s">
        <v>32</v>
      </c>
      <c r="J130" s="3" t="s">
        <v>104</v>
      </c>
      <c r="K130" s="3" t="s">
        <v>96</v>
      </c>
      <c r="L130" s="3" t="s">
        <v>59</v>
      </c>
      <c r="M130" s="3" t="s">
        <v>447</v>
      </c>
      <c r="N130" s="3" t="s">
        <v>89</v>
      </c>
      <c r="O130" s="3" t="s">
        <v>323</v>
      </c>
      <c r="P130" s="3" t="s">
        <v>448</v>
      </c>
      <c r="Q130" s="5" t="n">
        <v>1918.9</v>
      </c>
      <c r="R130" s="3" t="n">
        <v>13</v>
      </c>
      <c r="S130" s="6" t="n">
        <v>0.2</v>
      </c>
      <c r="T130" s="5" t="n">
        <v>546.14</v>
      </c>
      <c r="U130" s="3" t="str">
        <f aca="false">IF(T130&lt;0,"Loss",IF(T130=0,"Break-even","Profit"))</f>
        <v>Profit</v>
      </c>
      <c r="V130" s="3" t="str">
        <f aca="false">IF(Q130&lt;100,"Low",IF(Q130&lt;=500,"Medium","High"))</f>
        <v>High</v>
      </c>
      <c r="W130" s="3" t="n">
        <f aca="false">D130-C130</f>
        <v>7</v>
      </c>
      <c r="X130" s="3" t="str">
        <f aca="false">TEXT(C130,"mmmm")</f>
        <v>April</v>
      </c>
      <c r="Y130" s="3" t="str">
        <f aca="false">LEFT(G130,1)&amp;MID(G130,FIND(" ",G130)+1,1)</f>
        <v>CD</v>
      </c>
    </row>
    <row r="131" customFormat="false" ht="15" hidden="false" customHeight="false" outlineLevel="0" collapsed="false">
      <c r="A131" s="3" t="n">
        <v>130</v>
      </c>
      <c r="B131" s="3" t="s">
        <v>628</v>
      </c>
      <c r="C131" s="4" t="s">
        <v>605</v>
      </c>
      <c r="D131" s="4" t="s">
        <v>629</v>
      </c>
      <c r="E131" s="3" t="s">
        <v>28</v>
      </c>
      <c r="F131" s="3" t="s">
        <v>630</v>
      </c>
      <c r="G131" s="3" t="s">
        <v>631</v>
      </c>
      <c r="H131" s="3" t="s">
        <v>56</v>
      </c>
      <c r="I131" s="3" t="s">
        <v>32</v>
      </c>
      <c r="J131" s="3" t="s">
        <v>208</v>
      </c>
      <c r="K131" s="3" t="s">
        <v>134</v>
      </c>
      <c r="L131" s="3" t="s">
        <v>69</v>
      </c>
      <c r="M131" s="3" t="s">
        <v>79</v>
      </c>
      <c r="N131" s="3" t="s">
        <v>49</v>
      </c>
      <c r="O131" s="3" t="s">
        <v>80</v>
      </c>
      <c r="P131" s="3" t="s">
        <v>81</v>
      </c>
      <c r="Q131" s="5" t="n">
        <v>1136.07</v>
      </c>
      <c r="R131" s="3" t="n">
        <v>14</v>
      </c>
      <c r="S131" s="6" t="n">
        <v>0</v>
      </c>
      <c r="T131" s="5" t="n">
        <v>280.68</v>
      </c>
      <c r="U131" s="3" t="str">
        <f aca="false">IF(T131&lt;0,"Loss",IF(T131=0,"Break-even","Profit"))</f>
        <v>Profit</v>
      </c>
      <c r="V131" s="3" t="str">
        <f aca="false">IF(Q131&lt;100,"Low",IF(Q131&lt;=500,"Medium","High"))</f>
        <v>High</v>
      </c>
      <c r="W131" s="3" t="n">
        <f aca="false">D131-C131</f>
        <v>6</v>
      </c>
      <c r="X131" s="3" t="str">
        <f aca="false">TEXT(C131,"mmmm")</f>
        <v>April</v>
      </c>
      <c r="Y131" s="3" t="str">
        <f aca="false">LEFT(G131,1)&amp;MID(G131,FIND(" ",G131)+1,1)</f>
        <v>SK</v>
      </c>
    </row>
    <row r="132" customFormat="false" ht="15" hidden="false" customHeight="false" outlineLevel="0" collapsed="false">
      <c r="A132" s="3" t="n">
        <v>131</v>
      </c>
      <c r="B132" s="3" t="s">
        <v>632</v>
      </c>
      <c r="C132" s="4" t="s">
        <v>601</v>
      </c>
      <c r="D132" s="4" t="s">
        <v>633</v>
      </c>
      <c r="E132" s="3" t="s">
        <v>28</v>
      </c>
      <c r="F132" s="3" t="s">
        <v>634</v>
      </c>
      <c r="G132" s="3" t="s">
        <v>635</v>
      </c>
      <c r="H132" s="3" t="s">
        <v>45</v>
      </c>
      <c r="I132" s="3" t="s">
        <v>32</v>
      </c>
      <c r="J132" s="3" t="s">
        <v>285</v>
      </c>
      <c r="K132" s="3" t="s">
        <v>202</v>
      </c>
      <c r="L132" s="3" t="s">
        <v>35</v>
      </c>
      <c r="M132" s="3" t="s">
        <v>165</v>
      </c>
      <c r="N132" s="3" t="s">
        <v>89</v>
      </c>
      <c r="O132" s="3" t="s">
        <v>166</v>
      </c>
      <c r="P132" s="3" t="s">
        <v>167</v>
      </c>
      <c r="Q132" s="5" t="n">
        <v>309.64</v>
      </c>
      <c r="R132" s="3" t="n">
        <v>1</v>
      </c>
      <c r="S132" s="6" t="n">
        <v>0</v>
      </c>
      <c r="T132" s="5" t="n">
        <v>11.28</v>
      </c>
      <c r="U132" s="3" t="str">
        <f aca="false">IF(T132&lt;0,"Loss",IF(T132=0,"Break-even","Profit"))</f>
        <v>Profit</v>
      </c>
      <c r="V132" s="3" t="str">
        <f aca="false">IF(Q132&lt;100,"Low",IF(Q132&lt;=500,"Medium","High"))</f>
        <v>Medium</v>
      </c>
      <c r="W132" s="3" t="n">
        <f aca="false">D132-C132</f>
        <v>4</v>
      </c>
      <c r="X132" s="3" t="str">
        <f aca="false">TEXT(C132,"mmmm")</f>
        <v>April</v>
      </c>
      <c r="Y132" s="3" t="str">
        <f aca="false">LEFT(G132,1)&amp;MID(G132,FIND(" ",G132)+1,1)</f>
        <v>JJ</v>
      </c>
    </row>
    <row r="133" customFormat="false" ht="15" hidden="false" customHeight="false" outlineLevel="0" collapsed="false">
      <c r="A133" s="3" t="n">
        <v>132</v>
      </c>
      <c r="B133" s="3" t="s">
        <v>636</v>
      </c>
      <c r="C133" s="4" t="s">
        <v>601</v>
      </c>
      <c r="D133" s="4" t="s">
        <v>625</v>
      </c>
      <c r="E133" s="3" t="s">
        <v>28</v>
      </c>
      <c r="F133" s="3" t="s">
        <v>637</v>
      </c>
      <c r="G133" s="3" t="s">
        <v>638</v>
      </c>
      <c r="H133" s="3" t="s">
        <v>56</v>
      </c>
      <c r="I133" s="3" t="s">
        <v>32</v>
      </c>
      <c r="J133" s="3" t="s">
        <v>95</v>
      </c>
      <c r="K133" s="3" t="s">
        <v>96</v>
      </c>
      <c r="L133" s="3" t="s">
        <v>59</v>
      </c>
      <c r="M133" s="3" t="s">
        <v>158</v>
      </c>
      <c r="N133" s="3" t="s">
        <v>49</v>
      </c>
      <c r="O133" s="3" t="s">
        <v>159</v>
      </c>
      <c r="P133" s="3" t="s">
        <v>160</v>
      </c>
      <c r="Q133" s="5" t="n">
        <v>706.82</v>
      </c>
      <c r="R133" s="3" t="n">
        <v>8</v>
      </c>
      <c r="S133" s="6" t="n">
        <v>0</v>
      </c>
      <c r="T133" s="5" t="n">
        <v>176.68</v>
      </c>
      <c r="U133" s="3" t="str">
        <f aca="false">IF(T133&lt;0,"Loss",IF(T133=0,"Break-even","Profit"))</f>
        <v>Profit</v>
      </c>
      <c r="V133" s="3" t="str">
        <f aca="false">IF(Q133&lt;100,"Low",IF(Q133&lt;=500,"Medium","High"))</f>
        <v>High</v>
      </c>
      <c r="W133" s="3" t="n">
        <f aca="false">D133-C133</f>
        <v>6</v>
      </c>
      <c r="X133" s="3" t="str">
        <f aca="false">TEXT(C133,"mmmm")</f>
        <v>April</v>
      </c>
      <c r="Y133" s="3" t="str">
        <f aca="false">LEFT(G133,1)&amp;MID(G133,FIND(" ",G133)+1,1)</f>
        <v>JM</v>
      </c>
    </row>
    <row r="134" customFormat="false" ht="15" hidden="false" customHeight="false" outlineLevel="0" collapsed="false">
      <c r="A134" s="3" t="n">
        <v>133</v>
      </c>
      <c r="B134" s="3" t="s">
        <v>639</v>
      </c>
      <c r="C134" s="4" t="s">
        <v>621</v>
      </c>
      <c r="D134" s="4" t="s">
        <v>640</v>
      </c>
      <c r="E134" s="3" t="s">
        <v>42</v>
      </c>
      <c r="F134" s="3" t="s">
        <v>641</v>
      </c>
      <c r="G134" s="3" t="s">
        <v>642</v>
      </c>
      <c r="H134" s="3" t="s">
        <v>56</v>
      </c>
      <c r="I134" s="3" t="s">
        <v>32</v>
      </c>
      <c r="J134" s="3" t="s">
        <v>365</v>
      </c>
      <c r="K134" s="3" t="s">
        <v>366</v>
      </c>
      <c r="L134" s="3" t="s">
        <v>157</v>
      </c>
      <c r="M134" s="3" t="s">
        <v>173</v>
      </c>
      <c r="N134" s="3" t="s">
        <v>89</v>
      </c>
      <c r="O134" s="3" t="s">
        <v>174</v>
      </c>
      <c r="P134" s="3" t="s">
        <v>175</v>
      </c>
      <c r="Q134" s="5" t="n">
        <v>1506.62</v>
      </c>
      <c r="R134" s="3" t="n">
        <v>5</v>
      </c>
      <c r="S134" s="6" t="n">
        <v>0.1</v>
      </c>
      <c r="T134" s="5" t="n">
        <v>191.09</v>
      </c>
      <c r="U134" s="3" t="str">
        <f aca="false">IF(T134&lt;0,"Loss",IF(T134=0,"Break-even","Profit"))</f>
        <v>Profit</v>
      </c>
      <c r="V134" s="3" t="str">
        <f aca="false">IF(Q134&lt;100,"Low",IF(Q134&lt;=500,"Medium","High"))</f>
        <v>High</v>
      </c>
      <c r="W134" s="3" t="n">
        <f aca="false">D134-C134</f>
        <v>2</v>
      </c>
      <c r="X134" s="3" t="str">
        <f aca="false">TEXT(C134,"mmmm")</f>
        <v>April</v>
      </c>
      <c r="Y134" s="3" t="str">
        <f aca="false">LEFT(G134,1)&amp;MID(G134,FIND(" ",G134)+1,1)</f>
        <v>PC</v>
      </c>
    </row>
    <row r="135" customFormat="false" ht="15" hidden="false" customHeight="false" outlineLevel="0" collapsed="false">
      <c r="A135" s="3" t="n">
        <v>134</v>
      </c>
      <c r="B135" s="3" t="s">
        <v>643</v>
      </c>
      <c r="C135" s="4" t="s">
        <v>621</v>
      </c>
      <c r="D135" s="4" t="s">
        <v>633</v>
      </c>
      <c r="E135" s="3" t="s">
        <v>84</v>
      </c>
      <c r="F135" s="3" t="s">
        <v>644</v>
      </c>
      <c r="G135" s="3" t="s">
        <v>645</v>
      </c>
      <c r="H135" s="3" t="s">
        <v>56</v>
      </c>
      <c r="I135" s="3" t="s">
        <v>32</v>
      </c>
      <c r="J135" s="3" t="s">
        <v>33</v>
      </c>
      <c r="K135" s="3" t="s">
        <v>34</v>
      </c>
      <c r="L135" s="3" t="s">
        <v>35</v>
      </c>
      <c r="M135" s="3" t="s">
        <v>334</v>
      </c>
      <c r="N135" s="3" t="s">
        <v>37</v>
      </c>
      <c r="O135" s="3" t="s">
        <v>136</v>
      </c>
      <c r="P135" s="3" t="s">
        <v>335</v>
      </c>
      <c r="Q135" s="5" t="n">
        <v>2517.17</v>
      </c>
      <c r="R135" s="3" t="n">
        <v>12</v>
      </c>
      <c r="S135" s="6" t="n">
        <v>0.1</v>
      </c>
      <c r="T135" s="5" t="n">
        <v>-388.82</v>
      </c>
      <c r="U135" s="3" t="str">
        <f aca="false">IF(T135&lt;0,"Loss",IF(T135=0,"Break-even","Profit"))</f>
        <v>Loss</v>
      </c>
      <c r="V135" s="3" t="str">
        <f aca="false">IF(Q135&lt;100,"Low",IF(Q135&lt;=500,"Medium","High"))</f>
        <v>High</v>
      </c>
      <c r="W135" s="3" t="n">
        <f aca="false">D135-C135</f>
        <v>3</v>
      </c>
      <c r="X135" s="3" t="str">
        <f aca="false">TEXT(C135,"mmmm")</f>
        <v>April</v>
      </c>
      <c r="Y135" s="3" t="str">
        <f aca="false">LEFT(G135,1)&amp;MID(G135,FIND(" ",G135)+1,1)</f>
        <v>LJ</v>
      </c>
    </row>
    <row r="136" customFormat="false" ht="15" hidden="false" customHeight="false" outlineLevel="0" collapsed="false">
      <c r="A136" s="3" t="n">
        <v>135</v>
      </c>
      <c r="B136" s="3" t="s">
        <v>646</v>
      </c>
      <c r="C136" s="4" t="s">
        <v>621</v>
      </c>
      <c r="D136" s="4" t="s">
        <v>633</v>
      </c>
      <c r="E136" s="3" t="s">
        <v>84</v>
      </c>
      <c r="F136" s="3" t="s">
        <v>647</v>
      </c>
      <c r="G136" s="3" t="s">
        <v>648</v>
      </c>
      <c r="H136" s="3" t="s">
        <v>56</v>
      </c>
      <c r="I136" s="3" t="s">
        <v>32</v>
      </c>
      <c r="J136" s="3" t="s">
        <v>112</v>
      </c>
      <c r="K136" s="3" t="s">
        <v>113</v>
      </c>
      <c r="L136" s="3" t="s">
        <v>69</v>
      </c>
      <c r="M136" s="3" t="s">
        <v>158</v>
      </c>
      <c r="N136" s="3" t="s">
        <v>49</v>
      </c>
      <c r="O136" s="3" t="s">
        <v>159</v>
      </c>
      <c r="P136" s="3" t="s">
        <v>160</v>
      </c>
      <c r="Q136" s="5" t="n">
        <v>397.64</v>
      </c>
      <c r="R136" s="3" t="n">
        <v>8</v>
      </c>
      <c r="S136" s="6" t="n">
        <v>0</v>
      </c>
      <c r="T136" s="5" t="n">
        <v>95.17</v>
      </c>
      <c r="U136" s="3" t="str">
        <f aca="false">IF(T136&lt;0,"Loss",IF(T136=0,"Break-even","Profit"))</f>
        <v>Profit</v>
      </c>
      <c r="V136" s="3" t="str">
        <f aca="false">IF(Q136&lt;100,"Low",IF(Q136&lt;=500,"Medium","High"))</f>
        <v>Medium</v>
      </c>
      <c r="W136" s="3" t="n">
        <f aca="false">D136-C136</f>
        <v>3</v>
      </c>
      <c r="X136" s="3" t="str">
        <f aca="false">TEXT(C136,"mmmm")</f>
        <v>April</v>
      </c>
      <c r="Y136" s="3" t="str">
        <f aca="false">LEFT(G136,1)&amp;MID(G136,FIND(" ",G136)+1,1)</f>
        <v>MS</v>
      </c>
    </row>
    <row r="137" customFormat="false" ht="15" hidden="false" customHeight="false" outlineLevel="0" collapsed="false">
      <c r="A137" s="3" t="n">
        <v>136</v>
      </c>
      <c r="B137" s="3" t="s">
        <v>649</v>
      </c>
      <c r="C137" s="4" t="s">
        <v>613</v>
      </c>
      <c r="D137" s="4" t="s">
        <v>650</v>
      </c>
      <c r="E137" s="3" t="s">
        <v>28</v>
      </c>
      <c r="F137" s="3" t="s">
        <v>93</v>
      </c>
      <c r="G137" s="3" t="s">
        <v>94</v>
      </c>
      <c r="H137" s="3" t="s">
        <v>31</v>
      </c>
      <c r="I137" s="3" t="s">
        <v>32</v>
      </c>
      <c r="J137" s="3" t="s">
        <v>252</v>
      </c>
      <c r="K137" s="3" t="s">
        <v>172</v>
      </c>
      <c r="L137" s="3" t="s">
        <v>157</v>
      </c>
      <c r="M137" s="3" t="s">
        <v>36</v>
      </c>
      <c r="N137" s="3" t="s">
        <v>37</v>
      </c>
      <c r="O137" s="3" t="s">
        <v>38</v>
      </c>
      <c r="P137" s="3" t="s">
        <v>39</v>
      </c>
      <c r="Q137" s="5" t="n">
        <v>10993.84</v>
      </c>
      <c r="R137" s="3" t="n">
        <v>7</v>
      </c>
      <c r="S137" s="6" t="n">
        <v>0</v>
      </c>
      <c r="T137" s="5" t="n">
        <v>-346.53</v>
      </c>
      <c r="U137" s="3" t="str">
        <f aca="false">IF(T137&lt;0,"Loss",IF(T137=0,"Break-even","Profit"))</f>
        <v>Loss</v>
      </c>
      <c r="V137" s="3" t="str">
        <f aca="false">IF(Q137&lt;100,"Low",IF(Q137&lt;=500,"Medium","High"))</f>
        <v>High</v>
      </c>
      <c r="W137" s="3" t="n">
        <f aca="false">D137-C137</f>
        <v>6</v>
      </c>
      <c r="X137" s="3" t="str">
        <f aca="false">TEXT(C137,"mmmm")</f>
        <v>April</v>
      </c>
      <c r="Y137" s="3" t="str">
        <f aca="false">LEFT(G137,1)&amp;MID(G137,FIND(" ",G137)+1,1)</f>
        <v>ES</v>
      </c>
    </row>
    <row r="138" customFormat="false" ht="15" hidden="false" customHeight="false" outlineLevel="0" collapsed="false">
      <c r="A138" s="3" t="n">
        <v>137</v>
      </c>
      <c r="B138" s="3" t="s">
        <v>651</v>
      </c>
      <c r="C138" s="4" t="s">
        <v>613</v>
      </c>
      <c r="D138" s="4" t="s">
        <v>652</v>
      </c>
      <c r="E138" s="3" t="s">
        <v>28</v>
      </c>
      <c r="F138" s="3" t="s">
        <v>653</v>
      </c>
      <c r="G138" s="3" t="s">
        <v>654</v>
      </c>
      <c r="H138" s="3" t="s">
        <v>31</v>
      </c>
      <c r="I138" s="3" t="s">
        <v>32</v>
      </c>
      <c r="J138" s="3" t="s">
        <v>104</v>
      </c>
      <c r="K138" s="3" t="s">
        <v>96</v>
      </c>
      <c r="L138" s="3" t="s">
        <v>59</v>
      </c>
      <c r="M138" s="3" t="s">
        <v>36</v>
      </c>
      <c r="N138" s="3" t="s">
        <v>37</v>
      </c>
      <c r="O138" s="3" t="s">
        <v>38</v>
      </c>
      <c r="P138" s="3" t="s">
        <v>39</v>
      </c>
      <c r="Q138" s="5" t="n">
        <v>5277.87</v>
      </c>
      <c r="R138" s="3" t="n">
        <v>9</v>
      </c>
      <c r="S138" s="6" t="n">
        <v>0</v>
      </c>
      <c r="T138" s="5" t="n">
        <v>-795.08</v>
      </c>
      <c r="U138" s="3" t="str">
        <f aca="false">IF(T138&lt;0,"Loss",IF(T138=0,"Break-even","Profit"))</f>
        <v>Loss</v>
      </c>
      <c r="V138" s="3" t="str">
        <f aca="false">IF(Q138&lt;100,"Low",IF(Q138&lt;=500,"Medium","High"))</f>
        <v>High</v>
      </c>
      <c r="W138" s="3" t="n">
        <f aca="false">D138-C138</f>
        <v>5</v>
      </c>
      <c r="X138" s="3" t="str">
        <f aca="false">TEXT(C138,"mmmm")</f>
        <v>April</v>
      </c>
      <c r="Y138" s="3" t="str">
        <f aca="false">LEFT(G138,1)&amp;MID(G138,FIND(" ",G138)+1,1)</f>
        <v>MT</v>
      </c>
    </row>
    <row r="139" customFormat="false" ht="15" hidden="false" customHeight="false" outlineLevel="0" collapsed="false">
      <c r="A139" s="3" t="n">
        <v>138</v>
      </c>
      <c r="B139" s="3" t="s">
        <v>655</v>
      </c>
      <c r="C139" s="4" t="s">
        <v>640</v>
      </c>
      <c r="D139" s="4" t="s">
        <v>625</v>
      </c>
      <c r="E139" s="3" t="s">
        <v>28</v>
      </c>
      <c r="F139" s="3" t="s">
        <v>656</v>
      </c>
      <c r="G139" s="3" t="s">
        <v>657</v>
      </c>
      <c r="H139" s="3" t="s">
        <v>45</v>
      </c>
      <c r="I139" s="3" t="s">
        <v>32</v>
      </c>
      <c r="J139" s="3" t="s">
        <v>415</v>
      </c>
      <c r="K139" s="3" t="s">
        <v>202</v>
      </c>
      <c r="L139" s="3" t="s">
        <v>35</v>
      </c>
      <c r="M139" s="3" t="s">
        <v>105</v>
      </c>
      <c r="N139" s="3" t="s">
        <v>49</v>
      </c>
      <c r="O139" s="3" t="s">
        <v>106</v>
      </c>
      <c r="P139" s="3" t="s">
        <v>107</v>
      </c>
      <c r="Q139" s="5" t="n">
        <v>287.18</v>
      </c>
      <c r="R139" s="3" t="n">
        <v>4</v>
      </c>
      <c r="S139" s="6" t="n">
        <v>0.2</v>
      </c>
      <c r="T139" s="5" t="n">
        <v>30.87</v>
      </c>
      <c r="U139" s="3" t="str">
        <f aca="false">IF(T139&lt;0,"Loss",IF(T139=0,"Break-even","Profit"))</f>
        <v>Profit</v>
      </c>
      <c r="V139" s="3" t="str">
        <f aca="false">IF(Q139&lt;100,"Low",IF(Q139&lt;=500,"Medium","High"))</f>
        <v>Medium</v>
      </c>
      <c r="W139" s="3" t="n">
        <f aca="false">D139-C139</f>
        <v>3</v>
      </c>
      <c r="X139" s="3" t="str">
        <f aca="false">TEXT(C139,"mmmm")</f>
        <v>April</v>
      </c>
      <c r="Y139" s="3" t="str">
        <f aca="false">LEFT(G139,1)&amp;MID(G139,FIND(" ",G139)+1,1)</f>
        <v>MJ</v>
      </c>
    </row>
    <row r="140" customFormat="false" ht="15" hidden="false" customHeight="false" outlineLevel="0" collapsed="false">
      <c r="A140" s="3" t="n">
        <v>139</v>
      </c>
      <c r="B140" s="3" t="s">
        <v>449</v>
      </c>
      <c r="C140" s="4" t="s">
        <v>640</v>
      </c>
      <c r="D140" s="4" t="s">
        <v>652</v>
      </c>
      <c r="E140" s="3" t="s">
        <v>28</v>
      </c>
      <c r="F140" s="3" t="s">
        <v>514</v>
      </c>
      <c r="G140" s="3" t="s">
        <v>515</v>
      </c>
      <c r="H140" s="3" t="s">
        <v>31</v>
      </c>
      <c r="I140" s="3" t="s">
        <v>32</v>
      </c>
      <c r="J140" s="3" t="s">
        <v>208</v>
      </c>
      <c r="K140" s="3" t="s">
        <v>134</v>
      </c>
      <c r="L140" s="3" t="s">
        <v>69</v>
      </c>
      <c r="M140" s="3" t="s">
        <v>195</v>
      </c>
      <c r="N140" s="3" t="s">
        <v>37</v>
      </c>
      <c r="O140" s="3" t="s">
        <v>196</v>
      </c>
      <c r="P140" s="3" t="s">
        <v>197</v>
      </c>
      <c r="Q140" s="5" t="n">
        <v>4806.27</v>
      </c>
      <c r="R140" s="3" t="n">
        <v>5</v>
      </c>
      <c r="S140" s="6" t="n">
        <v>0</v>
      </c>
      <c r="T140" s="5" t="n">
        <v>1322.51</v>
      </c>
      <c r="U140" s="3" t="str">
        <f aca="false">IF(T140&lt;0,"Loss",IF(T140=0,"Break-even","Profit"))</f>
        <v>Profit</v>
      </c>
      <c r="V140" s="3" t="str">
        <f aca="false">IF(Q140&lt;100,"Low",IF(Q140&lt;=500,"Medium","High"))</f>
        <v>High</v>
      </c>
      <c r="W140" s="3" t="n">
        <f aca="false">D140-C140</f>
        <v>4</v>
      </c>
      <c r="X140" s="3" t="str">
        <f aca="false">TEXT(C140,"mmmm")</f>
        <v>April</v>
      </c>
      <c r="Y140" s="3" t="str">
        <f aca="false">LEFT(G140,1)&amp;MID(G140,FIND(" ",G140)+1,1)</f>
        <v>MM</v>
      </c>
    </row>
    <row r="141" customFormat="false" ht="15" hidden="false" customHeight="false" outlineLevel="0" collapsed="false">
      <c r="A141" s="3" t="n">
        <v>140</v>
      </c>
      <c r="B141" s="3" t="s">
        <v>658</v>
      </c>
      <c r="C141" s="4" t="s">
        <v>633</v>
      </c>
      <c r="D141" s="4" t="s">
        <v>625</v>
      </c>
      <c r="E141" s="3" t="s">
        <v>84</v>
      </c>
      <c r="F141" s="3" t="s">
        <v>626</v>
      </c>
      <c r="G141" s="3" t="s">
        <v>627</v>
      </c>
      <c r="H141" s="3" t="s">
        <v>56</v>
      </c>
      <c r="I141" s="3" t="s">
        <v>32</v>
      </c>
      <c r="J141" s="3" t="s">
        <v>381</v>
      </c>
      <c r="K141" s="3" t="s">
        <v>58</v>
      </c>
      <c r="L141" s="3" t="s">
        <v>59</v>
      </c>
      <c r="M141" s="3" t="s">
        <v>659</v>
      </c>
      <c r="N141" s="3" t="s">
        <v>89</v>
      </c>
      <c r="O141" s="3" t="s">
        <v>323</v>
      </c>
      <c r="P141" s="3" t="s">
        <v>660</v>
      </c>
      <c r="Q141" s="5" t="n">
        <v>1716.07</v>
      </c>
      <c r="R141" s="3" t="n">
        <v>4</v>
      </c>
      <c r="S141" s="6" t="n">
        <v>0</v>
      </c>
      <c r="T141" s="5" t="n">
        <v>-18.11</v>
      </c>
      <c r="U141" s="3" t="str">
        <f aca="false">IF(T141&lt;0,"Loss",IF(T141=0,"Break-even","Profit"))</f>
        <v>Loss</v>
      </c>
      <c r="V141" s="3" t="str">
        <f aca="false">IF(Q141&lt;100,"Low",IF(Q141&lt;=500,"Medium","High"))</f>
        <v>High</v>
      </c>
      <c r="W141" s="3" t="n">
        <f aca="false">D141-C141</f>
        <v>2</v>
      </c>
      <c r="X141" s="3" t="str">
        <f aca="false">TEXT(C141,"mmmm")</f>
        <v>April</v>
      </c>
      <c r="Y141" s="3" t="str">
        <f aca="false">LEFT(G141,1)&amp;MID(G141,FIND(" ",G141)+1,1)</f>
        <v>CD</v>
      </c>
    </row>
    <row r="142" customFormat="false" ht="15" hidden="false" customHeight="false" outlineLevel="0" collapsed="false">
      <c r="A142" s="3" t="n">
        <v>141</v>
      </c>
      <c r="B142" s="3" t="s">
        <v>661</v>
      </c>
      <c r="C142" s="4" t="s">
        <v>633</v>
      </c>
      <c r="D142" s="4" t="s">
        <v>650</v>
      </c>
      <c r="E142" s="3" t="s">
        <v>28</v>
      </c>
      <c r="F142" s="3" t="s">
        <v>582</v>
      </c>
      <c r="G142" s="3" t="s">
        <v>583</v>
      </c>
      <c r="H142" s="3" t="s">
        <v>45</v>
      </c>
      <c r="I142" s="3" t="s">
        <v>32</v>
      </c>
      <c r="J142" s="3" t="s">
        <v>133</v>
      </c>
      <c r="K142" s="3" t="s">
        <v>134</v>
      </c>
      <c r="L142" s="3" t="s">
        <v>69</v>
      </c>
      <c r="M142" s="3" t="s">
        <v>253</v>
      </c>
      <c r="N142" s="3" t="s">
        <v>89</v>
      </c>
      <c r="O142" s="3" t="s">
        <v>90</v>
      </c>
      <c r="P142" s="3" t="s">
        <v>254</v>
      </c>
      <c r="Q142" s="5" t="n">
        <v>5872.25</v>
      </c>
      <c r="R142" s="3" t="n">
        <v>8</v>
      </c>
      <c r="S142" s="6" t="n">
        <v>0</v>
      </c>
      <c r="T142" s="5" t="n">
        <v>1644.55</v>
      </c>
      <c r="U142" s="3" t="str">
        <f aca="false">IF(T142&lt;0,"Loss",IF(T142=0,"Break-even","Profit"))</f>
        <v>Profit</v>
      </c>
      <c r="V142" s="3" t="str">
        <f aca="false">IF(Q142&lt;100,"Low",IF(Q142&lt;=500,"Medium","High"))</f>
        <v>High</v>
      </c>
      <c r="W142" s="3" t="n">
        <f aca="false">D142-C142</f>
        <v>4</v>
      </c>
      <c r="X142" s="3" t="str">
        <f aca="false">TEXT(C142,"mmmm")</f>
        <v>April</v>
      </c>
      <c r="Y142" s="3" t="str">
        <f aca="false">LEFT(G142,1)&amp;MID(G142,FIND(" ",G142)+1,1)</f>
        <v>PB</v>
      </c>
    </row>
    <row r="143" customFormat="false" ht="15" hidden="false" customHeight="false" outlineLevel="0" collapsed="false">
      <c r="A143" s="3" t="n">
        <v>142</v>
      </c>
      <c r="B143" s="3" t="s">
        <v>662</v>
      </c>
      <c r="C143" s="4" t="s">
        <v>633</v>
      </c>
      <c r="D143" s="4" t="s">
        <v>629</v>
      </c>
      <c r="E143" s="3" t="s">
        <v>42</v>
      </c>
      <c r="F143" s="3" t="s">
        <v>257</v>
      </c>
      <c r="G143" s="3" t="s">
        <v>258</v>
      </c>
      <c r="H143" s="3" t="s">
        <v>31</v>
      </c>
      <c r="I143" s="3" t="s">
        <v>32</v>
      </c>
      <c r="J143" s="3" t="s">
        <v>663</v>
      </c>
      <c r="K143" s="3" t="s">
        <v>307</v>
      </c>
      <c r="L143" s="3" t="s">
        <v>69</v>
      </c>
      <c r="M143" s="3" t="s">
        <v>195</v>
      </c>
      <c r="N143" s="3" t="s">
        <v>37</v>
      </c>
      <c r="O143" s="3" t="s">
        <v>196</v>
      </c>
      <c r="P143" s="3" t="s">
        <v>197</v>
      </c>
      <c r="Q143" s="5" t="n">
        <v>534.83</v>
      </c>
      <c r="R143" s="3" t="n">
        <v>2</v>
      </c>
      <c r="S143" s="6" t="n">
        <v>0</v>
      </c>
      <c r="T143" s="5" t="n">
        <v>-92.17</v>
      </c>
      <c r="U143" s="3" t="str">
        <f aca="false">IF(T143&lt;0,"Loss",IF(T143=0,"Break-even","Profit"))</f>
        <v>Loss</v>
      </c>
      <c r="V143" s="3" t="str">
        <f aca="false">IF(Q143&lt;100,"Low",IF(Q143&lt;=500,"Medium","High"))</f>
        <v>High</v>
      </c>
      <c r="W143" s="3" t="n">
        <f aca="false">D143-C143</f>
        <v>1</v>
      </c>
      <c r="X143" s="3" t="str">
        <f aca="false">TEXT(C143,"mmmm")</f>
        <v>April</v>
      </c>
      <c r="Y143" s="3" t="str">
        <f aca="false">LEFT(G143,1)&amp;MID(G143,FIND(" ",G143)+1,1)</f>
        <v>MJ</v>
      </c>
    </row>
    <row r="144" customFormat="false" ht="15" hidden="false" customHeight="false" outlineLevel="0" collapsed="false">
      <c r="A144" s="3" t="n">
        <v>143</v>
      </c>
      <c r="B144" s="3" t="s">
        <v>664</v>
      </c>
      <c r="C144" s="4" t="s">
        <v>629</v>
      </c>
      <c r="D144" s="4" t="s">
        <v>650</v>
      </c>
      <c r="E144" s="3" t="s">
        <v>84</v>
      </c>
      <c r="F144" s="3" t="s">
        <v>665</v>
      </c>
      <c r="G144" s="3" t="s">
        <v>666</v>
      </c>
      <c r="H144" s="3" t="s">
        <v>56</v>
      </c>
      <c r="I144" s="3" t="s">
        <v>32</v>
      </c>
      <c r="J144" s="3" t="s">
        <v>148</v>
      </c>
      <c r="K144" s="3" t="s">
        <v>78</v>
      </c>
      <c r="L144" s="3" t="s">
        <v>59</v>
      </c>
      <c r="M144" s="3" t="s">
        <v>347</v>
      </c>
      <c r="N144" s="3" t="s">
        <v>49</v>
      </c>
      <c r="O144" s="3" t="s">
        <v>220</v>
      </c>
      <c r="P144" s="3" t="s">
        <v>348</v>
      </c>
      <c r="Q144" s="5" t="n">
        <v>261.08</v>
      </c>
      <c r="R144" s="3" t="n">
        <v>8</v>
      </c>
      <c r="S144" s="6" t="n">
        <v>0.5</v>
      </c>
      <c r="T144" s="5" t="n">
        <v>-82.8</v>
      </c>
      <c r="U144" s="3" t="str">
        <f aca="false">IF(T144&lt;0,"Loss",IF(T144=0,"Break-even","Profit"))</f>
        <v>Loss</v>
      </c>
      <c r="V144" s="3" t="str">
        <f aca="false">IF(Q144&lt;100,"Low",IF(Q144&lt;=500,"Medium","High"))</f>
        <v>Medium</v>
      </c>
      <c r="W144" s="3" t="n">
        <f aca="false">D144-C144</f>
        <v>3</v>
      </c>
      <c r="X144" s="3" t="str">
        <f aca="false">TEXT(C144,"mmmm")</f>
        <v>April</v>
      </c>
      <c r="Y144" s="3" t="str">
        <f aca="false">LEFT(G144,1)&amp;MID(G144,FIND(" ",G144)+1,1)</f>
        <v>EM</v>
      </c>
    </row>
    <row r="145" customFormat="false" ht="15" hidden="false" customHeight="false" outlineLevel="0" collapsed="false">
      <c r="A145" s="3" t="n">
        <v>144</v>
      </c>
      <c r="B145" s="3" t="s">
        <v>667</v>
      </c>
      <c r="C145" s="4" t="s">
        <v>629</v>
      </c>
      <c r="D145" s="4" t="s">
        <v>668</v>
      </c>
      <c r="E145" s="3" t="s">
        <v>28</v>
      </c>
      <c r="F145" s="3" t="s">
        <v>206</v>
      </c>
      <c r="G145" s="3" t="s">
        <v>207</v>
      </c>
      <c r="H145" s="3" t="s">
        <v>45</v>
      </c>
      <c r="I145" s="3" t="s">
        <v>32</v>
      </c>
      <c r="J145" s="3" t="s">
        <v>299</v>
      </c>
      <c r="K145" s="3" t="s">
        <v>189</v>
      </c>
      <c r="L145" s="3" t="s">
        <v>59</v>
      </c>
      <c r="M145" s="3" t="s">
        <v>127</v>
      </c>
      <c r="N145" s="3" t="s">
        <v>49</v>
      </c>
      <c r="O145" s="3" t="s">
        <v>61</v>
      </c>
      <c r="P145" s="3" t="s">
        <v>128</v>
      </c>
      <c r="Q145" s="5" t="n">
        <v>167.08</v>
      </c>
      <c r="R145" s="3" t="n">
        <v>3</v>
      </c>
      <c r="S145" s="6" t="n">
        <v>0.3</v>
      </c>
      <c r="T145" s="5" t="n">
        <v>11.19</v>
      </c>
      <c r="U145" s="3" t="str">
        <f aca="false">IF(T145&lt;0,"Loss",IF(T145=0,"Break-even","Profit"))</f>
        <v>Profit</v>
      </c>
      <c r="V145" s="3" t="str">
        <f aca="false">IF(Q145&lt;100,"Low",IF(Q145&lt;=500,"Medium","High"))</f>
        <v>Medium</v>
      </c>
      <c r="W145" s="3" t="n">
        <f aca="false">D145-C145</f>
        <v>7</v>
      </c>
      <c r="X145" s="3" t="str">
        <f aca="false">TEXT(C145,"mmmm")</f>
        <v>April</v>
      </c>
      <c r="Y145" s="3" t="str">
        <f aca="false">LEFT(G145,1)&amp;MID(G145,FIND(" ",G145)+1,1)</f>
        <v>DJ</v>
      </c>
    </row>
    <row r="146" customFormat="false" ht="15" hidden="false" customHeight="false" outlineLevel="0" collapsed="false">
      <c r="A146" s="3" t="n">
        <v>145</v>
      </c>
      <c r="B146" s="3" t="s">
        <v>669</v>
      </c>
      <c r="C146" s="4" t="s">
        <v>652</v>
      </c>
      <c r="D146" s="4" t="s">
        <v>650</v>
      </c>
      <c r="E146" s="3" t="s">
        <v>42</v>
      </c>
      <c r="F146" s="3" t="s">
        <v>297</v>
      </c>
      <c r="G146" s="3" t="s">
        <v>298</v>
      </c>
      <c r="H146" s="3" t="s">
        <v>56</v>
      </c>
      <c r="I146" s="3" t="s">
        <v>32</v>
      </c>
      <c r="J146" s="3" t="s">
        <v>381</v>
      </c>
      <c r="K146" s="3" t="s">
        <v>58</v>
      </c>
      <c r="L146" s="3" t="s">
        <v>59</v>
      </c>
      <c r="M146" s="3" t="s">
        <v>149</v>
      </c>
      <c r="N146" s="3" t="s">
        <v>49</v>
      </c>
      <c r="O146" s="3" t="s">
        <v>150</v>
      </c>
      <c r="P146" s="3" t="s">
        <v>151</v>
      </c>
      <c r="Q146" s="5" t="n">
        <v>741.3</v>
      </c>
      <c r="R146" s="3" t="n">
        <v>12</v>
      </c>
      <c r="S146" s="6" t="n">
        <v>0</v>
      </c>
      <c r="T146" s="5" t="n">
        <v>110.68</v>
      </c>
      <c r="U146" s="3" t="str">
        <f aca="false">IF(T146&lt;0,"Loss",IF(T146=0,"Break-even","Profit"))</f>
        <v>Profit</v>
      </c>
      <c r="V146" s="3" t="str">
        <f aca="false">IF(Q146&lt;100,"Low",IF(Q146&lt;=500,"Medium","High"))</f>
        <v>High</v>
      </c>
      <c r="W146" s="3" t="n">
        <f aca="false">D146-C146</f>
        <v>1</v>
      </c>
      <c r="X146" s="3" t="str">
        <f aca="false">TEXT(C146,"mmmm")</f>
        <v>April</v>
      </c>
      <c r="Y146" s="3" t="str">
        <f aca="false">LEFT(G146,1)&amp;MID(G146,FIND(" ",G146)+1,1)</f>
        <v>PK</v>
      </c>
    </row>
    <row r="147" customFormat="false" ht="15" hidden="false" customHeight="false" outlineLevel="0" collapsed="false">
      <c r="A147" s="3" t="n">
        <v>146</v>
      </c>
      <c r="B147" s="3" t="s">
        <v>670</v>
      </c>
      <c r="C147" s="4" t="s">
        <v>650</v>
      </c>
      <c r="D147" s="4" t="s">
        <v>671</v>
      </c>
      <c r="E147" s="3" t="s">
        <v>28</v>
      </c>
      <c r="F147" s="3" t="s">
        <v>672</v>
      </c>
      <c r="G147" s="3" t="s">
        <v>673</v>
      </c>
      <c r="H147" s="3" t="s">
        <v>56</v>
      </c>
      <c r="I147" s="3" t="s">
        <v>32</v>
      </c>
      <c r="J147" s="3" t="s">
        <v>95</v>
      </c>
      <c r="K147" s="3" t="s">
        <v>96</v>
      </c>
      <c r="L147" s="3" t="s">
        <v>59</v>
      </c>
      <c r="M147" s="3" t="s">
        <v>209</v>
      </c>
      <c r="N147" s="3" t="s">
        <v>49</v>
      </c>
      <c r="O147" s="3" t="s">
        <v>106</v>
      </c>
      <c r="P147" s="3" t="s">
        <v>210</v>
      </c>
      <c r="Q147" s="5" t="n">
        <v>682.35</v>
      </c>
      <c r="R147" s="3" t="n">
        <v>7</v>
      </c>
      <c r="S147" s="6" t="n">
        <v>0</v>
      </c>
      <c r="T147" s="5" t="n">
        <v>99.26</v>
      </c>
      <c r="U147" s="3" t="str">
        <f aca="false">IF(T147&lt;0,"Loss",IF(T147=0,"Break-even","Profit"))</f>
        <v>Profit</v>
      </c>
      <c r="V147" s="3" t="str">
        <f aca="false">IF(Q147&lt;100,"Low",IF(Q147&lt;=500,"Medium","High"))</f>
        <v>High</v>
      </c>
      <c r="W147" s="3" t="n">
        <f aca="false">D147-C147</f>
        <v>7</v>
      </c>
      <c r="X147" s="3" t="str">
        <f aca="false">TEXT(C147,"mmmm")</f>
        <v>April</v>
      </c>
      <c r="Y147" s="3" t="str">
        <f aca="false">LEFT(G147,1)&amp;MID(G147,FIND(" ",G147)+1,1)</f>
        <v>WD</v>
      </c>
    </row>
    <row r="148" customFormat="false" ht="15" hidden="false" customHeight="false" outlineLevel="0" collapsed="false">
      <c r="A148" s="3" t="n">
        <v>147</v>
      </c>
      <c r="B148" s="3" t="s">
        <v>674</v>
      </c>
      <c r="C148" s="4" t="s">
        <v>675</v>
      </c>
      <c r="D148" s="4" t="s">
        <v>676</v>
      </c>
      <c r="E148" s="3" t="s">
        <v>84</v>
      </c>
      <c r="F148" s="3" t="s">
        <v>677</v>
      </c>
      <c r="G148" s="3" t="s">
        <v>678</v>
      </c>
      <c r="H148" s="3" t="s">
        <v>56</v>
      </c>
      <c r="I148" s="3" t="s">
        <v>32</v>
      </c>
      <c r="J148" s="3" t="s">
        <v>679</v>
      </c>
      <c r="K148" s="3" t="s">
        <v>202</v>
      </c>
      <c r="L148" s="3" t="s">
        <v>35</v>
      </c>
      <c r="M148" s="3" t="s">
        <v>470</v>
      </c>
      <c r="N148" s="3" t="s">
        <v>49</v>
      </c>
      <c r="O148" s="3" t="s">
        <v>159</v>
      </c>
      <c r="P148" s="3" t="s">
        <v>471</v>
      </c>
      <c r="Q148" s="5" t="n">
        <v>1101.64</v>
      </c>
      <c r="R148" s="3" t="n">
        <v>12</v>
      </c>
      <c r="S148" s="6" t="n">
        <v>0.5</v>
      </c>
      <c r="T148" s="5" t="n">
        <v>28.17</v>
      </c>
      <c r="U148" s="3" t="str">
        <f aca="false">IF(T148&lt;0,"Loss",IF(T148=0,"Break-even","Profit"))</f>
        <v>Profit</v>
      </c>
      <c r="V148" s="3" t="str">
        <f aca="false">IF(Q148&lt;100,"Low",IF(Q148&lt;=500,"Medium","High"))</f>
        <v>High</v>
      </c>
      <c r="W148" s="3" t="n">
        <f aca="false">D148-C148</f>
        <v>2</v>
      </c>
      <c r="X148" s="3" t="str">
        <f aca="false">TEXT(C148,"mmmm")</f>
        <v>April</v>
      </c>
      <c r="Y148" s="3" t="str">
        <f aca="false">LEFT(G148,1)&amp;MID(G148,FIND(" ",G148)+1,1)</f>
        <v>FR</v>
      </c>
    </row>
    <row r="149" customFormat="false" ht="15" hidden="false" customHeight="false" outlineLevel="0" collapsed="false">
      <c r="A149" s="3" t="n">
        <v>148</v>
      </c>
      <c r="B149" s="3" t="s">
        <v>680</v>
      </c>
      <c r="C149" s="4" t="s">
        <v>675</v>
      </c>
      <c r="D149" s="4" t="s">
        <v>671</v>
      </c>
      <c r="E149" s="3" t="s">
        <v>28</v>
      </c>
      <c r="F149" s="3" t="s">
        <v>681</v>
      </c>
      <c r="G149" s="3" t="s">
        <v>682</v>
      </c>
      <c r="H149" s="3" t="s">
        <v>56</v>
      </c>
      <c r="I149" s="3" t="s">
        <v>32</v>
      </c>
      <c r="J149" s="3" t="s">
        <v>415</v>
      </c>
      <c r="K149" s="3" t="s">
        <v>202</v>
      </c>
      <c r="L149" s="3" t="s">
        <v>35</v>
      </c>
      <c r="M149" s="3" t="s">
        <v>683</v>
      </c>
      <c r="N149" s="3" t="s">
        <v>37</v>
      </c>
      <c r="O149" s="3" t="s">
        <v>136</v>
      </c>
      <c r="P149" s="3" t="s">
        <v>684</v>
      </c>
      <c r="Q149" s="5" t="n">
        <v>4350.31</v>
      </c>
      <c r="R149" s="3" t="n">
        <v>6</v>
      </c>
      <c r="S149" s="6" t="n">
        <v>0.2</v>
      </c>
      <c r="T149" s="5" t="n">
        <v>-1261.46</v>
      </c>
      <c r="U149" s="3" t="str">
        <f aca="false">IF(T149&lt;0,"Loss",IF(T149=0,"Break-even","Profit"))</f>
        <v>Loss</v>
      </c>
      <c r="V149" s="3" t="str">
        <f aca="false">IF(Q149&lt;100,"Low",IF(Q149&lt;=500,"Medium","High"))</f>
        <v>High</v>
      </c>
      <c r="W149" s="3" t="n">
        <f aca="false">D149-C149</f>
        <v>6</v>
      </c>
      <c r="X149" s="3" t="str">
        <f aca="false">TEXT(C149,"mmmm")</f>
        <v>April</v>
      </c>
      <c r="Y149" s="3" t="str">
        <f aca="false">LEFT(G149,1)&amp;MID(G149,FIND(" ",G149)+1,1)</f>
        <v>CB</v>
      </c>
    </row>
    <row r="150" customFormat="false" ht="15" hidden="false" customHeight="false" outlineLevel="0" collapsed="false">
      <c r="A150" s="3" t="n">
        <v>149</v>
      </c>
      <c r="B150" s="3" t="s">
        <v>685</v>
      </c>
      <c r="C150" s="4" t="s">
        <v>675</v>
      </c>
      <c r="D150" s="4" t="s">
        <v>668</v>
      </c>
      <c r="E150" s="3" t="s">
        <v>28</v>
      </c>
      <c r="F150" s="3" t="s">
        <v>686</v>
      </c>
      <c r="G150" s="3" t="s">
        <v>687</v>
      </c>
      <c r="H150" s="3" t="s">
        <v>56</v>
      </c>
      <c r="I150" s="3" t="s">
        <v>32</v>
      </c>
      <c r="J150" s="3" t="s">
        <v>243</v>
      </c>
      <c r="K150" s="3" t="s">
        <v>244</v>
      </c>
      <c r="L150" s="3" t="s">
        <v>157</v>
      </c>
      <c r="M150" s="3" t="s">
        <v>209</v>
      </c>
      <c r="N150" s="3" t="s">
        <v>49</v>
      </c>
      <c r="O150" s="3" t="s">
        <v>106</v>
      </c>
      <c r="P150" s="3" t="s">
        <v>210</v>
      </c>
      <c r="Q150" s="5" t="n">
        <v>718.24</v>
      </c>
      <c r="R150" s="3" t="n">
        <v>14</v>
      </c>
      <c r="S150" s="6" t="n">
        <v>0.4</v>
      </c>
      <c r="T150" s="5" t="n">
        <v>-30.4</v>
      </c>
      <c r="U150" s="3" t="str">
        <f aca="false">IF(T150&lt;0,"Loss",IF(T150=0,"Break-even","Profit"))</f>
        <v>Loss</v>
      </c>
      <c r="V150" s="3" t="str">
        <f aca="false">IF(Q150&lt;100,"Low",IF(Q150&lt;=500,"Medium","High"))</f>
        <v>High</v>
      </c>
      <c r="W150" s="3" t="n">
        <f aca="false">D150-C150</f>
        <v>3</v>
      </c>
      <c r="X150" s="3" t="str">
        <f aca="false">TEXT(C150,"mmmm")</f>
        <v>April</v>
      </c>
      <c r="Y150" s="3" t="str">
        <f aca="false">LEFT(G150,1)&amp;MID(G150,FIND(" ",G150)+1,1)</f>
        <v>EN</v>
      </c>
    </row>
    <row r="151" customFormat="false" ht="15" hidden="false" customHeight="false" outlineLevel="0" collapsed="false">
      <c r="A151" s="3" t="n">
        <v>150</v>
      </c>
      <c r="B151" s="3" t="s">
        <v>688</v>
      </c>
      <c r="C151" s="4" t="s">
        <v>689</v>
      </c>
      <c r="D151" s="4" t="s">
        <v>690</v>
      </c>
      <c r="E151" s="3" t="s">
        <v>28</v>
      </c>
      <c r="F151" s="3" t="s">
        <v>691</v>
      </c>
      <c r="G151" s="3" t="s">
        <v>692</v>
      </c>
      <c r="H151" s="3" t="s">
        <v>56</v>
      </c>
      <c r="I151" s="3" t="s">
        <v>32</v>
      </c>
      <c r="J151" s="3" t="s">
        <v>46</v>
      </c>
      <c r="K151" s="3" t="s">
        <v>47</v>
      </c>
      <c r="L151" s="3" t="s">
        <v>35</v>
      </c>
      <c r="M151" s="3" t="s">
        <v>404</v>
      </c>
      <c r="N151" s="3" t="s">
        <v>89</v>
      </c>
      <c r="O151" s="3" t="s">
        <v>166</v>
      </c>
      <c r="P151" s="3" t="s">
        <v>405</v>
      </c>
      <c r="Q151" s="5" t="n">
        <v>1183.65</v>
      </c>
      <c r="R151" s="3" t="n">
        <v>3</v>
      </c>
      <c r="S151" s="6" t="n">
        <v>0</v>
      </c>
      <c r="T151" s="5" t="n">
        <v>-273.83</v>
      </c>
      <c r="U151" s="3" t="str">
        <f aca="false">IF(T151&lt;0,"Loss",IF(T151=0,"Break-even","Profit"))</f>
        <v>Loss</v>
      </c>
      <c r="V151" s="3" t="str">
        <f aca="false">IF(Q151&lt;100,"Low",IF(Q151&lt;=500,"Medium","High"))</f>
        <v>High</v>
      </c>
      <c r="W151" s="3" t="n">
        <f aca="false">D151-C151</f>
        <v>4</v>
      </c>
      <c r="X151" s="3" t="str">
        <f aca="false">TEXT(C151,"mmmm")</f>
        <v>April</v>
      </c>
      <c r="Y151" s="3" t="str">
        <f aca="false">LEFT(G151,1)&amp;MID(G151,FIND(" ",G151)+1,1)</f>
        <v>MB</v>
      </c>
    </row>
    <row r="152" customFormat="false" ht="15" hidden="false" customHeight="false" outlineLevel="0" collapsed="false">
      <c r="A152" s="3" t="n">
        <v>151</v>
      </c>
      <c r="B152" s="3" t="s">
        <v>693</v>
      </c>
      <c r="C152" s="4" t="s">
        <v>689</v>
      </c>
      <c r="D152" s="4" t="s">
        <v>668</v>
      </c>
      <c r="E152" s="3" t="s">
        <v>42</v>
      </c>
      <c r="F152" s="3" t="s">
        <v>694</v>
      </c>
      <c r="G152" s="3" t="s">
        <v>695</v>
      </c>
      <c r="H152" s="3" t="s">
        <v>56</v>
      </c>
      <c r="I152" s="3" t="s">
        <v>32</v>
      </c>
      <c r="J152" s="3" t="s">
        <v>616</v>
      </c>
      <c r="K152" s="3" t="s">
        <v>156</v>
      </c>
      <c r="L152" s="3" t="s">
        <v>157</v>
      </c>
      <c r="M152" s="3" t="s">
        <v>149</v>
      </c>
      <c r="N152" s="3" t="s">
        <v>49</v>
      </c>
      <c r="O152" s="3" t="s">
        <v>150</v>
      </c>
      <c r="P152" s="3" t="s">
        <v>151</v>
      </c>
      <c r="Q152" s="5" t="n">
        <v>339.61</v>
      </c>
      <c r="R152" s="3" t="n">
        <v>8</v>
      </c>
      <c r="S152" s="6" t="n">
        <v>0.4</v>
      </c>
      <c r="T152" s="5" t="n">
        <v>52.5</v>
      </c>
      <c r="U152" s="3" t="str">
        <f aca="false">IF(T152&lt;0,"Loss",IF(T152=0,"Break-even","Profit"))</f>
        <v>Profit</v>
      </c>
      <c r="V152" s="3" t="str">
        <f aca="false">IF(Q152&lt;100,"Low",IF(Q152&lt;=500,"Medium","High"))</f>
        <v>Medium</v>
      </c>
      <c r="W152" s="3" t="n">
        <f aca="false">D152-C152</f>
        <v>2</v>
      </c>
      <c r="X152" s="3" t="str">
        <f aca="false">TEXT(C152,"mmmm")</f>
        <v>April</v>
      </c>
      <c r="Y152" s="3" t="str">
        <f aca="false">LEFT(G152,1)&amp;MID(G152,FIND(" ",G152)+1,1)</f>
        <v>AA</v>
      </c>
    </row>
    <row r="153" customFormat="false" ht="15" hidden="false" customHeight="false" outlineLevel="0" collapsed="false">
      <c r="A153" s="3" t="n">
        <v>152</v>
      </c>
      <c r="B153" s="3" t="s">
        <v>696</v>
      </c>
      <c r="C153" s="4" t="s">
        <v>676</v>
      </c>
      <c r="D153" s="4" t="s">
        <v>676</v>
      </c>
      <c r="E153" s="3" t="s">
        <v>53</v>
      </c>
      <c r="F153" s="3" t="s">
        <v>320</v>
      </c>
      <c r="G153" s="3" t="s">
        <v>321</v>
      </c>
      <c r="H153" s="3" t="s">
        <v>45</v>
      </c>
      <c r="I153" s="3" t="s">
        <v>32</v>
      </c>
      <c r="J153" s="3" t="s">
        <v>663</v>
      </c>
      <c r="K153" s="3" t="s">
        <v>307</v>
      </c>
      <c r="L153" s="3" t="s">
        <v>69</v>
      </c>
      <c r="M153" s="3" t="s">
        <v>559</v>
      </c>
      <c r="N153" s="3" t="s">
        <v>37</v>
      </c>
      <c r="O153" s="3" t="s">
        <v>38</v>
      </c>
      <c r="P153" s="3" t="s">
        <v>560</v>
      </c>
      <c r="Q153" s="5" t="n">
        <v>418.7</v>
      </c>
      <c r="R153" s="3" t="n">
        <v>1</v>
      </c>
      <c r="S153" s="6" t="n">
        <v>0</v>
      </c>
      <c r="T153" s="5" t="n">
        <v>-54.23</v>
      </c>
      <c r="U153" s="3" t="str">
        <f aca="false">IF(T153&lt;0,"Loss",IF(T153=0,"Break-even","Profit"))</f>
        <v>Loss</v>
      </c>
      <c r="V153" s="3" t="str">
        <f aca="false">IF(Q153&lt;100,"Low",IF(Q153&lt;=500,"Medium","High"))</f>
        <v>Medium</v>
      </c>
      <c r="W153" s="3" t="n">
        <f aca="false">D153-C153</f>
        <v>0</v>
      </c>
      <c r="X153" s="3" t="str">
        <f aca="false">TEXT(C153,"mmmm")</f>
        <v>April</v>
      </c>
      <c r="Y153" s="3" t="str">
        <f aca="false">LEFT(G153,1)&amp;MID(G153,FIND(" ",G153)+1,1)</f>
        <v>OW</v>
      </c>
    </row>
    <row r="154" customFormat="false" ht="15" hidden="false" customHeight="false" outlineLevel="0" collapsed="false">
      <c r="A154" s="3" t="n">
        <v>153</v>
      </c>
      <c r="B154" s="3" t="s">
        <v>697</v>
      </c>
      <c r="C154" s="4" t="s">
        <v>676</v>
      </c>
      <c r="D154" s="4" t="s">
        <v>698</v>
      </c>
      <c r="E154" s="3" t="s">
        <v>28</v>
      </c>
      <c r="F154" s="3" t="s">
        <v>699</v>
      </c>
      <c r="G154" s="3" t="s">
        <v>700</v>
      </c>
      <c r="H154" s="3" t="s">
        <v>31</v>
      </c>
      <c r="I154" s="3" t="s">
        <v>32</v>
      </c>
      <c r="J154" s="3" t="s">
        <v>476</v>
      </c>
      <c r="K154" s="3" t="s">
        <v>366</v>
      </c>
      <c r="L154" s="3" t="s">
        <v>157</v>
      </c>
      <c r="M154" s="3" t="s">
        <v>259</v>
      </c>
      <c r="N154" s="3" t="s">
        <v>89</v>
      </c>
      <c r="O154" s="3" t="s">
        <v>174</v>
      </c>
      <c r="P154" s="3" t="s">
        <v>260</v>
      </c>
      <c r="Q154" s="5" t="n">
        <v>1396.86</v>
      </c>
      <c r="R154" s="3" t="n">
        <v>6</v>
      </c>
      <c r="S154" s="6" t="n">
        <v>0.1</v>
      </c>
      <c r="T154" s="5" t="n">
        <v>56.05</v>
      </c>
      <c r="U154" s="3" t="str">
        <f aca="false">IF(T154&lt;0,"Loss",IF(T154=0,"Break-even","Profit"))</f>
        <v>Profit</v>
      </c>
      <c r="V154" s="3" t="str">
        <f aca="false">IF(Q154&lt;100,"Low",IF(Q154&lt;=500,"Medium","High"))</f>
        <v>High</v>
      </c>
      <c r="W154" s="3" t="n">
        <f aca="false">D154-C154</f>
        <v>5</v>
      </c>
      <c r="X154" s="3" t="str">
        <f aca="false">TEXT(C154,"mmmm")</f>
        <v>April</v>
      </c>
      <c r="Y154" s="3" t="str">
        <f aca="false">LEFT(G154,1)&amp;MID(G154,FIND(" ",G154)+1,1)</f>
        <v>RJ</v>
      </c>
    </row>
    <row r="155" customFormat="false" ht="15" hidden="false" customHeight="false" outlineLevel="0" collapsed="false">
      <c r="A155" s="3" t="n">
        <v>154</v>
      </c>
      <c r="B155" s="3" t="s">
        <v>701</v>
      </c>
      <c r="C155" s="4" t="s">
        <v>668</v>
      </c>
      <c r="D155" s="4" t="s">
        <v>690</v>
      </c>
      <c r="E155" s="3" t="s">
        <v>42</v>
      </c>
      <c r="F155" s="3" t="s">
        <v>702</v>
      </c>
      <c r="G155" s="3" t="s">
        <v>703</v>
      </c>
      <c r="H155" s="3" t="s">
        <v>45</v>
      </c>
      <c r="I155" s="3" t="s">
        <v>32</v>
      </c>
      <c r="J155" s="3" t="s">
        <v>77</v>
      </c>
      <c r="K155" s="3" t="s">
        <v>78</v>
      </c>
      <c r="L155" s="3" t="s">
        <v>59</v>
      </c>
      <c r="M155" s="3" t="s">
        <v>470</v>
      </c>
      <c r="N155" s="3" t="s">
        <v>49</v>
      </c>
      <c r="O155" s="3" t="s">
        <v>159</v>
      </c>
      <c r="P155" s="3" t="s">
        <v>471</v>
      </c>
      <c r="Q155" s="5" t="n">
        <v>954.03</v>
      </c>
      <c r="R155" s="3" t="n">
        <v>9</v>
      </c>
      <c r="S155" s="6" t="n">
        <v>0</v>
      </c>
      <c r="T155" s="5" t="n">
        <v>252.58</v>
      </c>
      <c r="U155" s="3" t="str">
        <f aca="false">IF(T155&lt;0,"Loss",IF(T155=0,"Break-even","Profit"))</f>
        <v>Profit</v>
      </c>
      <c r="V155" s="3" t="str">
        <f aca="false">IF(Q155&lt;100,"Low",IF(Q155&lt;=500,"Medium","High"))</f>
        <v>High</v>
      </c>
      <c r="W155" s="3" t="n">
        <f aca="false">D155-C155</f>
        <v>2</v>
      </c>
      <c r="X155" s="3" t="str">
        <f aca="false">TEXT(C155,"mmmm")</f>
        <v>April</v>
      </c>
      <c r="Y155" s="3" t="str">
        <f aca="false">LEFT(G155,1)&amp;MID(G155,FIND(" ",G155)+1,1)</f>
        <v>DT</v>
      </c>
    </row>
    <row r="156" customFormat="false" ht="15" hidden="false" customHeight="false" outlineLevel="0" collapsed="false">
      <c r="A156" s="3" t="n">
        <v>155</v>
      </c>
      <c r="B156" s="3" t="s">
        <v>704</v>
      </c>
      <c r="C156" s="4" t="s">
        <v>668</v>
      </c>
      <c r="D156" s="4" t="s">
        <v>690</v>
      </c>
      <c r="E156" s="3" t="s">
        <v>42</v>
      </c>
      <c r="F156" s="3" t="s">
        <v>622</v>
      </c>
      <c r="G156" s="3" t="s">
        <v>623</v>
      </c>
      <c r="H156" s="3" t="s">
        <v>56</v>
      </c>
      <c r="I156" s="3" t="s">
        <v>32</v>
      </c>
      <c r="J156" s="3" t="s">
        <v>46</v>
      </c>
      <c r="K156" s="3" t="s">
        <v>47</v>
      </c>
      <c r="L156" s="3" t="s">
        <v>35</v>
      </c>
      <c r="M156" s="3" t="s">
        <v>195</v>
      </c>
      <c r="N156" s="3" t="s">
        <v>37</v>
      </c>
      <c r="O156" s="3" t="s">
        <v>196</v>
      </c>
      <c r="P156" s="3" t="s">
        <v>197</v>
      </c>
      <c r="Q156" s="5" t="n">
        <v>5162.48</v>
      </c>
      <c r="R156" s="3" t="n">
        <v>8</v>
      </c>
      <c r="S156" s="6" t="n">
        <v>0</v>
      </c>
      <c r="T156" s="5" t="n">
        <v>556.45</v>
      </c>
      <c r="U156" s="3" t="str">
        <f aca="false">IF(T156&lt;0,"Loss",IF(T156=0,"Break-even","Profit"))</f>
        <v>Profit</v>
      </c>
      <c r="V156" s="3" t="str">
        <f aca="false">IF(Q156&lt;100,"Low",IF(Q156&lt;=500,"Medium","High"))</f>
        <v>High</v>
      </c>
      <c r="W156" s="3" t="n">
        <f aca="false">D156-C156</f>
        <v>2</v>
      </c>
      <c r="X156" s="3" t="str">
        <f aca="false">TEXT(C156,"mmmm")</f>
        <v>April</v>
      </c>
      <c r="Y156" s="3" t="str">
        <f aca="false">LEFT(G156,1)&amp;MID(G156,FIND(" ",G156)+1,1)</f>
        <v>LR</v>
      </c>
    </row>
    <row r="157" customFormat="false" ht="15" hidden="false" customHeight="false" outlineLevel="0" collapsed="false">
      <c r="A157" s="3" t="n">
        <v>156</v>
      </c>
      <c r="B157" s="3" t="s">
        <v>705</v>
      </c>
      <c r="C157" s="4" t="s">
        <v>668</v>
      </c>
      <c r="D157" s="4" t="s">
        <v>690</v>
      </c>
      <c r="E157" s="3" t="s">
        <v>42</v>
      </c>
      <c r="F157" s="3" t="s">
        <v>368</v>
      </c>
      <c r="G157" s="3" t="s">
        <v>369</v>
      </c>
      <c r="H157" s="3" t="s">
        <v>45</v>
      </c>
      <c r="I157" s="3" t="s">
        <v>32</v>
      </c>
      <c r="J157" s="3" t="s">
        <v>67</v>
      </c>
      <c r="K157" s="3" t="s">
        <v>68</v>
      </c>
      <c r="L157" s="3" t="s">
        <v>69</v>
      </c>
      <c r="M157" s="3" t="s">
        <v>447</v>
      </c>
      <c r="N157" s="3" t="s">
        <v>89</v>
      </c>
      <c r="O157" s="3" t="s">
        <v>323</v>
      </c>
      <c r="P157" s="3" t="s">
        <v>448</v>
      </c>
      <c r="Q157" s="5" t="n">
        <v>5558.22</v>
      </c>
      <c r="R157" s="3" t="n">
        <v>13</v>
      </c>
      <c r="S157" s="6" t="n">
        <v>0.1</v>
      </c>
      <c r="T157" s="5" t="n">
        <v>308.27</v>
      </c>
      <c r="U157" s="3" t="str">
        <f aca="false">IF(T157&lt;0,"Loss",IF(T157=0,"Break-even","Profit"))</f>
        <v>Profit</v>
      </c>
      <c r="V157" s="3" t="str">
        <f aca="false">IF(Q157&lt;100,"Low",IF(Q157&lt;=500,"Medium","High"))</f>
        <v>High</v>
      </c>
      <c r="W157" s="3" t="n">
        <f aca="false">D157-C157</f>
        <v>2</v>
      </c>
      <c r="X157" s="3" t="str">
        <f aca="false">TEXT(C157,"mmmm")</f>
        <v>April</v>
      </c>
      <c r="Y157" s="3" t="str">
        <f aca="false">LEFT(G157,1)&amp;MID(G157,FIND(" ",G157)+1,1)</f>
        <v>AS</v>
      </c>
    </row>
    <row r="158" customFormat="false" ht="15" hidden="false" customHeight="false" outlineLevel="0" collapsed="false">
      <c r="A158" s="3" t="n">
        <v>157</v>
      </c>
      <c r="B158" s="3" t="s">
        <v>706</v>
      </c>
      <c r="C158" s="4" t="s">
        <v>707</v>
      </c>
      <c r="D158" s="4" t="s">
        <v>698</v>
      </c>
      <c r="E158" s="3" t="s">
        <v>28</v>
      </c>
      <c r="F158" s="3" t="s">
        <v>708</v>
      </c>
      <c r="G158" s="3" t="s">
        <v>709</v>
      </c>
      <c r="H158" s="3" t="s">
        <v>56</v>
      </c>
      <c r="I158" s="3" t="s">
        <v>32</v>
      </c>
      <c r="J158" s="3" t="s">
        <v>148</v>
      </c>
      <c r="K158" s="3" t="s">
        <v>78</v>
      </c>
      <c r="L158" s="3" t="s">
        <v>59</v>
      </c>
      <c r="M158" s="3" t="s">
        <v>209</v>
      </c>
      <c r="N158" s="3" t="s">
        <v>49</v>
      </c>
      <c r="O158" s="3" t="s">
        <v>106</v>
      </c>
      <c r="P158" s="3" t="s">
        <v>210</v>
      </c>
      <c r="Q158" s="5" t="n">
        <v>47.96</v>
      </c>
      <c r="R158" s="3" t="n">
        <v>1</v>
      </c>
      <c r="S158" s="6" t="n">
        <v>0.3</v>
      </c>
      <c r="T158" s="5" t="n">
        <v>-7.81</v>
      </c>
      <c r="U158" s="3" t="str">
        <f aca="false">IF(T158&lt;0,"Loss",IF(T158=0,"Break-even","Profit"))</f>
        <v>Loss</v>
      </c>
      <c r="V158" s="3" t="str">
        <f aca="false">IF(Q158&lt;100,"Low",IF(Q158&lt;=500,"Medium","High"))</f>
        <v>Low</v>
      </c>
      <c r="W158" s="3" t="n">
        <f aca="false">D158-C158</f>
        <v>3</v>
      </c>
      <c r="X158" s="3" t="str">
        <f aca="false">TEXT(C158,"mmmm")</f>
        <v>April</v>
      </c>
      <c r="Y158" s="3" t="str">
        <f aca="false">LEFT(G158,1)&amp;MID(G158,FIND(" ",G158)+1,1)</f>
        <v>PM</v>
      </c>
    </row>
    <row r="159" customFormat="false" ht="15" hidden="false" customHeight="false" outlineLevel="0" collapsed="false">
      <c r="A159" s="3" t="n">
        <v>158</v>
      </c>
      <c r="B159" s="3" t="s">
        <v>710</v>
      </c>
      <c r="C159" s="4" t="s">
        <v>690</v>
      </c>
      <c r="D159" s="4" t="s">
        <v>711</v>
      </c>
      <c r="E159" s="3" t="s">
        <v>28</v>
      </c>
      <c r="F159" s="3" t="s">
        <v>501</v>
      </c>
      <c r="G159" s="3" t="s">
        <v>502</v>
      </c>
      <c r="H159" s="3" t="s">
        <v>56</v>
      </c>
      <c r="I159" s="3" t="s">
        <v>32</v>
      </c>
      <c r="J159" s="3" t="s">
        <v>120</v>
      </c>
      <c r="K159" s="3" t="s">
        <v>113</v>
      </c>
      <c r="L159" s="3" t="s">
        <v>69</v>
      </c>
      <c r="M159" s="3" t="s">
        <v>114</v>
      </c>
      <c r="N159" s="3" t="s">
        <v>49</v>
      </c>
      <c r="O159" s="3" t="s">
        <v>61</v>
      </c>
      <c r="P159" s="3" t="s">
        <v>115</v>
      </c>
      <c r="Q159" s="5" t="n">
        <v>558.06</v>
      </c>
      <c r="R159" s="3" t="n">
        <v>8</v>
      </c>
      <c r="S159" s="6" t="n">
        <v>0.4</v>
      </c>
      <c r="T159" s="5" t="n">
        <v>103.88</v>
      </c>
      <c r="U159" s="3" t="str">
        <f aca="false">IF(T159&lt;0,"Loss",IF(T159=0,"Break-even","Profit"))</f>
        <v>Profit</v>
      </c>
      <c r="V159" s="3" t="str">
        <f aca="false">IF(Q159&lt;100,"Low",IF(Q159&lt;=500,"Medium","High"))</f>
        <v>High</v>
      </c>
      <c r="W159" s="3" t="n">
        <f aca="false">D159-C159</f>
        <v>5</v>
      </c>
      <c r="X159" s="3" t="str">
        <f aca="false">TEXT(C159,"mmmm")</f>
        <v>April</v>
      </c>
      <c r="Y159" s="3" t="str">
        <f aca="false">LEFT(G159,1)&amp;MID(G159,FIND(" ",G159)+1,1)</f>
        <v>DR</v>
      </c>
    </row>
    <row r="160" customFormat="false" ht="15" hidden="false" customHeight="false" outlineLevel="0" collapsed="false">
      <c r="A160" s="3" t="n">
        <v>159</v>
      </c>
      <c r="B160" s="3" t="s">
        <v>463</v>
      </c>
      <c r="C160" s="4" t="s">
        <v>690</v>
      </c>
      <c r="D160" s="4" t="s">
        <v>690</v>
      </c>
      <c r="E160" s="3" t="s">
        <v>53</v>
      </c>
      <c r="F160" s="3" t="s">
        <v>712</v>
      </c>
      <c r="G160" s="3" t="s">
        <v>713</v>
      </c>
      <c r="H160" s="3" t="s">
        <v>45</v>
      </c>
      <c r="I160" s="3" t="s">
        <v>32</v>
      </c>
      <c r="J160" s="3" t="s">
        <v>663</v>
      </c>
      <c r="K160" s="3" t="s">
        <v>307</v>
      </c>
      <c r="L160" s="3" t="s">
        <v>69</v>
      </c>
      <c r="M160" s="3" t="s">
        <v>79</v>
      </c>
      <c r="N160" s="3" t="s">
        <v>49</v>
      </c>
      <c r="O160" s="3" t="s">
        <v>80</v>
      </c>
      <c r="P160" s="3" t="s">
        <v>81</v>
      </c>
      <c r="Q160" s="5" t="n">
        <v>866.86</v>
      </c>
      <c r="R160" s="3" t="n">
        <v>10</v>
      </c>
      <c r="S160" s="6" t="n">
        <v>0.1</v>
      </c>
      <c r="T160" s="5" t="n">
        <v>111.12</v>
      </c>
      <c r="U160" s="3" t="str">
        <f aca="false">IF(T160&lt;0,"Loss",IF(T160=0,"Break-even","Profit"))</f>
        <v>Profit</v>
      </c>
      <c r="V160" s="3" t="str">
        <f aca="false">IF(Q160&lt;100,"Low",IF(Q160&lt;=500,"Medium","High"))</f>
        <v>High</v>
      </c>
      <c r="W160" s="3" t="n">
        <f aca="false">D160-C160</f>
        <v>0</v>
      </c>
      <c r="X160" s="3" t="str">
        <f aca="false">TEXT(C160,"mmmm")</f>
        <v>April</v>
      </c>
      <c r="Y160" s="3" t="str">
        <f aca="false">LEFT(G160,1)&amp;MID(G160,FIND(" ",G160)+1,1)</f>
        <v>PJ</v>
      </c>
    </row>
    <row r="161" customFormat="false" ht="15" hidden="false" customHeight="false" outlineLevel="0" collapsed="false">
      <c r="A161" s="3" t="n">
        <v>160</v>
      </c>
      <c r="B161" s="3" t="s">
        <v>714</v>
      </c>
      <c r="C161" s="4" t="s">
        <v>671</v>
      </c>
      <c r="D161" s="4" t="s">
        <v>715</v>
      </c>
      <c r="E161" s="3" t="s">
        <v>84</v>
      </c>
      <c r="F161" s="3" t="s">
        <v>716</v>
      </c>
      <c r="G161" s="3" t="s">
        <v>717</v>
      </c>
      <c r="H161" s="3" t="s">
        <v>45</v>
      </c>
      <c r="I161" s="3" t="s">
        <v>32</v>
      </c>
      <c r="J161" s="3" t="s">
        <v>148</v>
      </c>
      <c r="K161" s="3" t="s">
        <v>78</v>
      </c>
      <c r="L161" s="3" t="s">
        <v>59</v>
      </c>
      <c r="M161" s="3" t="s">
        <v>142</v>
      </c>
      <c r="N161" s="3" t="s">
        <v>49</v>
      </c>
      <c r="O161" s="3" t="s">
        <v>143</v>
      </c>
      <c r="P161" s="3" t="s">
        <v>144</v>
      </c>
      <c r="Q161" s="5" t="n">
        <v>460.65</v>
      </c>
      <c r="R161" s="3" t="n">
        <v>5</v>
      </c>
      <c r="S161" s="6" t="n">
        <v>0.4</v>
      </c>
      <c r="T161" s="5" t="n">
        <v>-27.96</v>
      </c>
      <c r="U161" s="3" t="str">
        <f aca="false">IF(T161&lt;0,"Loss",IF(T161=0,"Break-even","Profit"))</f>
        <v>Loss</v>
      </c>
      <c r="V161" s="3" t="str">
        <f aca="false">IF(Q161&lt;100,"Low",IF(Q161&lt;=500,"Medium","High"))</f>
        <v>Medium</v>
      </c>
      <c r="W161" s="3" t="n">
        <f aca="false">D161-C161</f>
        <v>2</v>
      </c>
      <c r="X161" s="3" t="str">
        <f aca="false">TEXT(C161,"mmmm")</f>
        <v>April</v>
      </c>
      <c r="Y161" s="3" t="str">
        <f aca="false">LEFT(G161,1)&amp;MID(G161,FIND(" ",G161)+1,1)</f>
        <v>WS</v>
      </c>
    </row>
    <row r="162" customFormat="false" ht="15" hidden="false" customHeight="false" outlineLevel="0" collapsed="false">
      <c r="A162" s="3" t="n">
        <v>161</v>
      </c>
      <c r="B162" s="3" t="s">
        <v>718</v>
      </c>
      <c r="C162" s="4" t="s">
        <v>671</v>
      </c>
      <c r="D162" s="4" t="s">
        <v>719</v>
      </c>
      <c r="E162" s="3" t="s">
        <v>28</v>
      </c>
      <c r="F162" s="3" t="s">
        <v>720</v>
      </c>
      <c r="G162" s="3" t="s">
        <v>721</v>
      </c>
      <c r="H162" s="3" t="s">
        <v>56</v>
      </c>
      <c r="I162" s="3" t="s">
        <v>32</v>
      </c>
      <c r="J162" s="3" t="s">
        <v>171</v>
      </c>
      <c r="K162" s="3" t="s">
        <v>172</v>
      </c>
      <c r="L162" s="3" t="s">
        <v>157</v>
      </c>
      <c r="M162" s="3" t="s">
        <v>225</v>
      </c>
      <c r="N162" s="3" t="s">
        <v>37</v>
      </c>
      <c r="O162" s="3" t="s">
        <v>196</v>
      </c>
      <c r="P162" s="3" t="s">
        <v>226</v>
      </c>
      <c r="Q162" s="5" t="n">
        <v>1303.64</v>
      </c>
      <c r="R162" s="3" t="n">
        <v>1</v>
      </c>
      <c r="S162" s="6" t="n">
        <v>0</v>
      </c>
      <c r="T162" s="5" t="n">
        <v>-137.65</v>
      </c>
      <c r="U162" s="3" t="str">
        <f aca="false">IF(T162&lt;0,"Loss",IF(T162=0,"Break-even","Profit"))</f>
        <v>Loss</v>
      </c>
      <c r="V162" s="3" t="str">
        <f aca="false">IF(Q162&lt;100,"Low",IF(Q162&lt;=500,"Medium","High"))</f>
        <v>High</v>
      </c>
      <c r="W162" s="3" t="n">
        <f aca="false">D162-C162</f>
        <v>3</v>
      </c>
      <c r="X162" s="3" t="str">
        <f aca="false">TEXT(C162,"mmmm")</f>
        <v>April</v>
      </c>
      <c r="Y162" s="3" t="str">
        <f aca="false">LEFT(G162,1)&amp;MID(G162,FIND(" ",G162)+1,1)</f>
        <v>LJ</v>
      </c>
    </row>
    <row r="163" customFormat="false" ht="15" hidden="false" customHeight="false" outlineLevel="0" collapsed="false">
      <c r="A163" s="3" t="n">
        <v>162</v>
      </c>
      <c r="B163" s="3" t="s">
        <v>388</v>
      </c>
      <c r="C163" s="4" t="s">
        <v>671</v>
      </c>
      <c r="D163" s="4" t="s">
        <v>719</v>
      </c>
      <c r="E163" s="3" t="s">
        <v>84</v>
      </c>
      <c r="F163" s="3" t="s">
        <v>527</v>
      </c>
      <c r="G163" s="3" t="s">
        <v>528</v>
      </c>
      <c r="H163" s="3" t="s">
        <v>31</v>
      </c>
      <c r="I163" s="3" t="s">
        <v>32</v>
      </c>
      <c r="J163" s="3" t="s">
        <v>95</v>
      </c>
      <c r="K163" s="3" t="s">
        <v>96</v>
      </c>
      <c r="L163" s="3" t="s">
        <v>59</v>
      </c>
      <c r="M163" s="3" t="s">
        <v>36</v>
      </c>
      <c r="N163" s="3" t="s">
        <v>37</v>
      </c>
      <c r="O163" s="3" t="s">
        <v>38</v>
      </c>
      <c r="P163" s="3" t="s">
        <v>39</v>
      </c>
      <c r="Q163" s="5" t="n">
        <v>1761.05</v>
      </c>
      <c r="R163" s="3" t="n">
        <v>1</v>
      </c>
      <c r="S163" s="6" t="n">
        <v>0</v>
      </c>
      <c r="T163" s="5" t="n">
        <v>-344.9</v>
      </c>
      <c r="U163" s="3" t="str">
        <f aca="false">IF(T163&lt;0,"Loss",IF(T163=0,"Break-even","Profit"))</f>
        <v>Loss</v>
      </c>
      <c r="V163" s="3" t="str">
        <f aca="false">IF(Q163&lt;100,"Low",IF(Q163&lt;=500,"Medium","High"))</f>
        <v>High</v>
      </c>
      <c r="W163" s="3" t="n">
        <f aca="false">D163-C163</f>
        <v>3</v>
      </c>
      <c r="X163" s="3" t="str">
        <f aca="false">TEXT(C163,"mmmm")</f>
        <v>April</v>
      </c>
      <c r="Y163" s="3" t="str">
        <f aca="false">LEFT(G163,1)&amp;MID(G163,FIND(" ",G163)+1,1)</f>
        <v>CC</v>
      </c>
    </row>
    <row r="164" customFormat="false" ht="15" hidden="false" customHeight="false" outlineLevel="0" collapsed="false">
      <c r="A164" s="3" t="n">
        <v>163</v>
      </c>
      <c r="B164" s="3" t="s">
        <v>722</v>
      </c>
      <c r="C164" s="4" t="s">
        <v>698</v>
      </c>
      <c r="D164" s="4" t="s">
        <v>711</v>
      </c>
      <c r="E164" s="3" t="s">
        <v>28</v>
      </c>
      <c r="F164" s="3" t="s">
        <v>723</v>
      </c>
      <c r="G164" s="3" t="s">
        <v>724</v>
      </c>
      <c r="H164" s="3" t="s">
        <v>45</v>
      </c>
      <c r="I164" s="3" t="s">
        <v>32</v>
      </c>
      <c r="J164" s="3" t="s">
        <v>679</v>
      </c>
      <c r="K164" s="3" t="s">
        <v>202</v>
      </c>
      <c r="L164" s="3" t="s">
        <v>35</v>
      </c>
      <c r="M164" s="3" t="s">
        <v>225</v>
      </c>
      <c r="N164" s="3" t="s">
        <v>37</v>
      </c>
      <c r="O164" s="3" t="s">
        <v>196</v>
      </c>
      <c r="P164" s="3" t="s">
        <v>226</v>
      </c>
      <c r="Q164" s="5" t="n">
        <v>682.83</v>
      </c>
      <c r="R164" s="3" t="n">
        <v>14</v>
      </c>
      <c r="S164" s="6" t="n">
        <v>0</v>
      </c>
      <c r="T164" s="5" t="n">
        <v>155.07</v>
      </c>
      <c r="U164" s="3" t="str">
        <f aca="false">IF(T164&lt;0,"Loss",IF(T164=0,"Break-even","Profit"))</f>
        <v>Profit</v>
      </c>
      <c r="V164" s="3" t="str">
        <f aca="false">IF(Q164&lt;100,"Low",IF(Q164&lt;=500,"Medium","High"))</f>
        <v>High</v>
      </c>
      <c r="W164" s="3" t="n">
        <f aca="false">D164-C164</f>
        <v>3</v>
      </c>
      <c r="X164" s="3" t="str">
        <f aca="false">TEXT(C164,"mmmm")</f>
        <v>April</v>
      </c>
      <c r="Y164" s="3" t="str">
        <f aca="false">LEFT(G164,1)&amp;MID(G164,FIND(" ",G164)+1,1)</f>
        <v>AD</v>
      </c>
    </row>
    <row r="165" customFormat="false" ht="15" hidden="false" customHeight="false" outlineLevel="0" collapsed="false">
      <c r="A165" s="3" t="n">
        <v>164</v>
      </c>
      <c r="B165" s="3" t="s">
        <v>725</v>
      </c>
      <c r="C165" s="4" t="s">
        <v>698</v>
      </c>
      <c r="D165" s="4" t="s">
        <v>726</v>
      </c>
      <c r="E165" s="3" t="s">
        <v>28</v>
      </c>
      <c r="F165" s="3" t="s">
        <v>110</v>
      </c>
      <c r="G165" s="3" t="s">
        <v>111</v>
      </c>
      <c r="H165" s="3" t="s">
        <v>45</v>
      </c>
      <c r="I165" s="3" t="s">
        <v>32</v>
      </c>
      <c r="J165" s="3" t="s">
        <v>112</v>
      </c>
      <c r="K165" s="3" t="s">
        <v>113</v>
      </c>
      <c r="L165" s="3" t="s">
        <v>69</v>
      </c>
      <c r="M165" s="3" t="s">
        <v>70</v>
      </c>
      <c r="N165" s="3" t="s">
        <v>37</v>
      </c>
      <c r="O165" s="3" t="s">
        <v>71</v>
      </c>
      <c r="P165" s="3" t="s">
        <v>72</v>
      </c>
      <c r="Q165" s="5" t="n">
        <v>13368.88</v>
      </c>
      <c r="R165" s="3" t="n">
        <v>11</v>
      </c>
      <c r="S165" s="6" t="n">
        <v>0</v>
      </c>
      <c r="T165" s="5" t="n">
        <v>-2801.79</v>
      </c>
      <c r="U165" s="3" t="str">
        <f aca="false">IF(T165&lt;0,"Loss",IF(T165=0,"Break-even","Profit"))</f>
        <v>Loss</v>
      </c>
      <c r="V165" s="3" t="str">
        <f aca="false">IF(Q165&lt;100,"Low",IF(Q165&lt;=500,"Medium","High"))</f>
        <v>High</v>
      </c>
      <c r="W165" s="3" t="n">
        <f aca="false">D165-C165</f>
        <v>5</v>
      </c>
      <c r="X165" s="3" t="str">
        <f aca="false">TEXT(C165,"mmmm")</f>
        <v>April</v>
      </c>
      <c r="Y165" s="3" t="str">
        <f aca="false">LEFT(G165,1)&amp;MID(G165,FIND(" ",G165)+1,1)</f>
        <v>CJ</v>
      </c>
    </row>
    <row r="166" customFormat="false" ht="15" hidden="false" customHeight="false" outlineLevel="0" collapsed="false">
      <c r="A166" s="3" t="n">
        <v>165</v>
      </c>
      <c r="B166" s="3" t="s">
        <v>727</v>
      </c>
      <c r="C166" s="4" t="s">
        <v>719</v>
      </c>
      <c r="D166" s="4" t="s">
        <v>728</v>
      </c>
      <c r="E166" s="3" t="s">
        <v>28</v>
      </c>
      <c r="F166" s="3" t="s">
        <v>729</v>
      </c>
      <c r="G166" s="3" t="s">
        <v>730</v>
      </c>
      <c r="H166" s="3" t="s">
        <v>56</v>
      </c>
      <c r="I166" s="3" t="s">
        <v>32</v>
      </c>
      <c r="J166" s="3" t="s">
        <v>120</v>
      </c>
      <c r="K166" s="3" t="s">
        <v>113</v>
      </c>
      <c r="L166" s="3" t="s">
        <v>69</v>
      </c>
      <c r="M166" s="3" t="s">
        <v>420</v>
      </c>
      <c r="N166" s="3" t="s">
        <v>49</v>
      </c>
      <c r="O166" s="3" t="s">
        <v>80</v>
      </c>
      <c r="P166" s="3" t="s">
        <v>421</v>
      </c>
      <c r="Q166" s="5" t="n">
        <v>710.32</v>
      </c>
      <c r="R166" s="3" t="n">
        <v>9</v>
      </c>
      <c r="S166" s="6" t="n">
        <v>0.4</v>
      </c>
      <c r="T166" s="5" t="n">
        <v>151.78</v>
      </c>
      <c r="U166" s="3" t="str">
        <f aca="false">IF(T166&lt;0,"Loss",IF(T166=0,"Break-even","Profit"))</f>
        <v>Profit</v>
      </c>
      <c r="V166" s="3" t="str">
        <f aca="false">IF(Q166&lt;100,"Low",IF(Q166&lt;=500,"Medium","High"))</f>
        <v>High</v>
      </c>
      <c r="W166" s="3" t="n">
        <f aca="false">D166-C166</f>
        <v>5</v>
      </c>
      <c r="X166" s="3" t="str">
        <f aca="false">TEXT(C166,"mmmm")</f>
        <v>April</v>
      </c>
      <c r="Y166" s="3" t="str">
        <f aca="false">LEFT(G166,1)&amp;MID(G166,FIND(" ",G166)+1,1)</f>
        <v>OR</v>
      </c>
    </row>
    <row r="167" customFormat="false" ht="15" hidden="false" customHeight="false" outlineLevel="0" collapsed="false">
      <c r="A167" s="3" t="n">
        <v>166</v>
      </c>
      <c r="B167" s="3" t="s">
        <v>731</v>
      </c>
      <c r="C167" s="4" t="s">
        <v>719</v>
      </c>
      <c r="D167" s="4" t="s">
        <v>726</v>
      </c>
      <c r="E167" s="3" t="s">
        <v>28</v>
      </c>
      <c r="F167" s="3" t="s">
        <v>732</v>
      </c>
      <c r="G167" s="3" t="s">
        <v>733</v>
      </c>
      <c r="H167" s="3" t="s">
        <v>56</v>
      </c>
      <c r="I167" s="3" t="s">
        <v>32</v>
      </c>
      <c r="J167" s="3" t="s">
        <v>201</v>
      </c>
      <c r="K167" s="3" t="s">
        <v>202</v>
      </c>
      <c r="L167" s="3" t="s">
        <v>35</v>
      </c>
      <c r="M167" s="3" t="s">
        <v>470</v>
      </c>
      <c r="N167" s="3" t="s">
        <v>49</v>
      </c>
      <c r="O167" s="3" t="s">
        <v>159</v>
      </c>
      <c r="P167" s="3" t="s">
        <v>471</v>
      </c>
      <c r="Q167" s="5" t="n">
        <v>344.71</v>
      </c>
      <c r="R167" s="3" t="n">
        <v>3</v>
      </c>
      <c r="S167" s="6" t="n">
        <v>0</v>
      </c>
      <c r="T167" s="5" t="n">
        <v>-7.25</v>
      </c>
      <c r="U167" s="3" t="str">
        <f aca="false">IF(T167&lt;0,"Loss",IF(T167=0,"Break-even","Profit"))</f>
        <v>Loss</v>
      </c>
      <c r="V167" s="3" t="str">
        <f aca="false">IF(Q167&lt;100,"Low",IF(Q167&lt;=500,"Medium","High"))</f>
        <v>Medium</v>
      </c>
      <c r="W167" s="3" t="n">
        <f aca="false">D167-C167</f>
        <v>3</v>
      </c>
      <c r="X167" s="3" t="str">
        <f aca="false">TEXT(C167,"mmmm")</f>
        <v>April</v>
      </c>
      <c r="Y167" s="3" t="str">
        <f aca="false">LEFT(G167,1)&amp;MID(G167,FIND(" ",G167)+1,1)</f>
        <v>LM</v>
      </c>
    </row>
    <row r="168" customFormat="false" ht="15" hidden="false" customHeight="false" outlineLevel="0" collapsed="false">
      <c r="A168" s="3" t="n">
        <v>167</v>
      </c>
      <c r="B168" s="3" t="s">
        <v>734</v>
      </c>
      <c r="C168" s="4" t="s">
        <v>711</v>
      </c>
      <c r="D168" s="4" t="s">
        <v>735</v>
      </c>
      <c r="E168" s="3" t="s">
        <v>28</v>
      </c>
      <c r="F168" s="3" t="s">
        <v>397</v>
      </c>
      <c r="G168" s="3" t="s">
        <v>398</v>
      </c>
      <c r="H168" s="3" t="s">
        <v>56</v>
      </c>
      <c r="I168" s="3" t="s">
        <v>32</v>
      </c>
      <c r="J168" s="3" t="s">
        <v>208</v>
      </c>
      <c r="K168" s="3" t="s">
        <v>134</v>
      </c>
      <c r="L168" s="3" t="s">
        <v>69</v>
      </c>
      <c r="M168" s="3" t="s">
        <v>300</v>
      </c>
      <c r="N168" s="3" t="s">
        <v>49</v>
      </c>
      <c r="O168" s="3" t="s">
        <v>143</v>
      </c>
      <c r="P168" s="3" t="s">
        <v>301</v>
      </c>
      <c r="Q168" s="5" t="n">
        <v>520.02</v>
      </c>
      <c r="R168" s="3" t="n">
        <v>7</v>
      </c>
      <c r="S168" s="6" t="n">
        <v>0</v>
      </c>
      <c r="T168" s="5" t="n">
        <v>77.13</v>
      </c>
      <c r="U168" s="3" t="str">
        <f aca="false">IF(T168&lt;0,"Loss",IF(T168=0,"Break-even","Profit"))</f>
        <v>Profit</v>
      </c>
      <c r="V168" s="3" t="str">
        <f aca="false">IF(Q168&lt;100,"Low",IF(Q168&lt;=500,"Medium","High"))</f>
        <v>High</v>
      </c>
      <c r="W168" s="3" t="n">
        <f aca="false">D168-C168</f>
        <v>5</v>
      </c>
      <c r="X168" s="3" t="str">
        <f aca="false">TEXT(C168,"mmmm")</f>
        <v>April</v>
      </c>
      <c r="Y168" s="3" t="str">
        <f aca="false">LEFT(G168,1)&amp;MID(G168,FIND(" ",G168)+1,1)</f>
        <v>DN</v>
      </c>
    </row>
    <row r="169" customFormat="false" ht="15" hidden="false" customHeight="false" outlineLevel="0" collapsed="false">
      <c r="A169" s="3" t="n">
        <v>168</v>
      </c>
      <c r="B169" s="3" t="s">
        <v>736</v>
      </c>
      <c r="C169" s="4" t="s">
        <v>711</v>
      </c>
      <c r="D169" s="4" t="s">
        <v>728</v>
      </c>
      <c r="E169" s="3" t="s">
        <v>84</v>
      </c>
      <c r="F169" s="3" t="s">
        <v>681</v>
      </c>
      <c r="G169" s="3" t="s">
        <v>682</v>
      </c>
      <c r="H169" s="3" t="s">
        <v>56</v>
      </c>
      <c r="I169" s="3" t="s">
        <v>32</v>
      </c>
      <c r="J169" s="3" t="s">
        <v>737</v>
      </c>
      <c r="K169" s="3" t="s">
        <v>307</v>
      </c>
      <c r="L169" s="3" t="s">
        <v>69</v>
      </c>
      <c r="M169" s="3" t="s">
        <v>225</v>
      </c>
      <c r="N169" s="3" t="s">
        <v>37</v>
      </c>
      <c r="O169" s="3" t="s">
        <v>196</v>
      </c>
      <c r="P169" s="3" t="s">
        <v>226</v>
      </c>
      <c r="Q169" s="5" t="n">
        <v>11330.42</v>
      </c>
      <c r="R169" s="3" t="n">
        <v>10</v>
      </c>
      <c r="S169" s="6" t="n">
        <v>0.1</v>
      </c>
      <c r="T169" s="5" t="n">
        <v>853.72</v>
      </c>
      <c r="U169" s="3" t="str">
        <f aca="false">IF(T169&lt;0,"Loss",IF(T169=0,"Break-even","Profit"))</f>
        <v>Profit</v>
      </c>
      <c r="V169" s="3" t="str">
        <f aca="false">IF(Q169&lt;100,"Low",IF(Q169&lt;=500,"Medium","High"))</f>
        <v>High</v>
      </c>
      <c r="W169" s="3" t="n">
        <f aca="false">D169-C169</f>
        <v>4</v>
      </c>
      <c r="X169" s="3" t="str">
        <f aca="false">TEXT(C169,"mmmm")</f>
        <v>April</v>
      </c>
      <c r="Y169" s="3" t="str">
        <f aca="false">LEFT(G169,1)&amp;MID(G169,FIND(" ",G169)+1,1)</f>
        <v>CB</v>
      </c>
    </row>
    <row r="170" customFormat="false" ht="15" hidden="false" customHeight="false" outlineLevel="0" collapsed="false">
      <c r="A170" s="3" t="n">
        <v>169</v>
      </c>
      <c r="B170" s="3" t="s">
        <v>738</v>
      </c>
      <c r="C170" s="4" t="s">
        <v>726</v>
      </c>
      <c r="D170" s="4" t="s">
        <v>726</v>
      </c>
      <c r="E170" s="3" t="s">
        <v>53</v>
      </c>
      <c r="F170" s="3" t="s">
        <v>575</v>
      </c>
      <c r="G170" s="3" t="s">
        <v>576</v>
      </c>
      <c r="H170" s="3" t="s">
        <v>56</v>
      </c>
      <c r="I170" s="3" t="s">
        <v>32</v>
      </c>
      <c r="J170" s="3" t="s">
        <v>112</v>
      </c>
      <c r="K170" s="3" t="s">
        <v>113</v>
      </c>
      <c r="L170" s="3" t="s">
        <v>69</v>
      </c>
      <c r="M170" s="3" t="s">
        <v>253</v>
      </c>
      <c r="N170" s="3" t="s">
        <v>89</v>
      </c>
      <c r="O170" s="3" t="s">
        <v>90</v>
      </c>
      <c r="P170" s="3" t="s">
        <v>254</v>
      </c>
      <c r="Q170" s="5" t="n">
        <v>2769.79</v>
      </c>
      <c r="R170" s="3" t="n">
        <v>12</v>
      </c>
      <c r="S170" s="6" t="n">
        <v>0</v>
      </c>
      <c r="T170" s="5" t="n">
        <v>304.44</v>
      </c>
      <c r="U170" s="3" t="str">
        <f aca="false">IF(T170&lt;0,"Loss",IF(T170=0,"Break-even","Profit"))</f>
        <v>Profit</v>
      </c>
      <c r="V170" s="3" t="str">
        <f aca="false">IF(Q170&lt;100,"Low",IF(Q170&lt;=500,"Medium","High"))</f>
        <v>High</v>
      </c>
      <c r="W170" s="3" t="n">
        <f aca="false">D170-C170</f>
        <v>0</v>
      </c>
      <c r="X170" s="3" t="str">
        <f aca="false">TEXT(C170,"mmmm")</f>
        <v>April</v>
      </c>
      <c r="Y170" s="3" t="str">
        <f aca="false">LEFT(G170,1)&amp;MID(G170,FIND(" ",G170)+1,1)</f>
        <v>PC</v>
      </c>
    </row>
    <row r="171" customFormat="false" ht="15" hidden="false" customHeight="false" outlineLevel="0" collapsed="false">
      <c r="A171" s="3" t="n">
        <v>170</v>
      </c>
      <c r="B171" s="3" t="s">
        <v>739</v>
      </c>
      <c r="C171" s="4" t="s">
        <v>740</v>
      </c>
      <c r="D171" s="4" t="s">
        <v>741</v>
      </c>
      <c r="E171" s="3" t="s">
        <v>28</v>
      </c>
      <c r="F171" s="3" t="s">
        <v>338</v>
      </c>
      <c r="G171" s="3" t="s">
        <v>339</v>
      </c>
      <c r="H171" s="3" t="s">
        <v>45</v>
      </c>
      <c r="I171" s="3" t="s">
        <v>32</v>
      </c>
      <c r="J171" s="3" t="s">
        <v>67</v>
      </c>
      <c r="K171" s="3" t="s">
        <v>68</v>
      </c>
      <c r="L171" s="3" t="s">
        <v>69</v>
      </c>
      <c r="M171" s="3" t="s">
        <v>237</v>
      </c>
      <c r="N171" s="3" t="s">
        <v>49</v>
      </c>
      <c r="O171" s="3" t="s">
        <v>220</v>
      </c>
      <c r="P171" s="3" t="s">
        <v>238</v>
      </c>
      <c r="Q171" s="5" t="n">
        <v>142.82</v>
      </c>
      <c r="R171" s="3" t="n">
        <v>2</v>
      </c>
      <c r="S171" s="6" t="n">
        <v>0.4</v>
      </c>
      <c r="T171" s="5" t="n">
        <v>-24.76</v>
      </c>
      <c r="U171" s="3" t="str">
        <f aca="false">IF(T171&lt;0,"Loss",IF(T171=0,"Break-even","Profit"))</f>
        <v>Loss</v>
      </c>
      <c r="V171" s="3" t="str">
        <f aca="false">IF(Q171&lt;100,"Low",IF(Q171&lt;=500,"Medium","High"))</f>
        <v>Medium</v>
      </c>
      <c r="W171" s="3" t="n">
        <f aca="false">D171-C171</f>
        <v>7</v>
      </c>
      <c r="X171" s="3" t="str">
        <f aca="false">TEXT(C171,"mmmm")</f>
        <v>April</v>
      </c>
      <c r="Y171" s="3" t="str">
        <f aca="false">LEFT(G171,1)&amp;MID(G171,FIND(" ",G171)+1,1)</f>
        <v>DS</v>
      </c>
    </row>
    <row r="172" customFormat="false" ht="15" hidden="false" customHeight="false" outlineLevel="0" collapsed="false">
      <c r="A172" s="3" t="n">
        <v>171</v>
      </c>
      <c r="B172" s="3" t="s">
        <v>742</v>
      </c>
      <c r="C172" s="4" t="s">
        <v>740</v>
      </c>
      <c r="D172" s="4" t="s">
        <v>741</v>
      </c>
      <c r="E172" s="3" t="s">
        <v>28</v>
      </c>
      <c r="F172" s="3" t="s">
        <v>743</v>
      </c>
      <c r="G172" s="3" t="s">
        <v>744</v>
      </c>
      <c r="H172" s="3" t="s">
        <v>56</v>
      </c>
      <c r="I172" s="3" t="s">
        <v>32</v>
      </c>
      <c r="J172" s="3" t="s">
        <v>299</v>
      </c>
      <c r="K172" s="3" t="s">
        <v>189</v>
      </c>
      <c r="L172" s="3" t="s">
        <v>59</v>
      </c>
      <c r="M172" s="3" t="s">
        <v>683</v>
      </c>
      <c r="N172" s="3" t="s">
        <v>37</v>
      </c>
      <c r="O172" s="3" t="s">
        <v>136</v>
      </c>
      <c r="P172" s="3" t="s">
        <v>684</v>
      </c>
      <c r="Q172" s="5" t="n">
        <v>2137.32</v>
      </c>
      <c r="R172" s="3" t="n">
        <v>7</v>
      </c>
      <c r="S172" s="6" t="n">
        <v>0</v>
      </c>
      <c r="T172" s="5" t="n">
        <v>79.92</v>
      </c>
      <c r="U172" s="3" t="str">
        <f aca="false">IF(T172&lt;0,"Loss",IF(T172=0,"Break-even","Profit"))</f>
        <v>Profit</v>
      </c>
      <c r="V172" s="3" t="str">
        <f aca="false">IF(Q172&lt;100,"Low",IF(Q172&lt;=500,"Medium","High"))</f>
        <v>High</v>
      </c>
      <c r="W172" s="3" t="n">
        <f aca="false">D172-C172</f>
        <v>7</v>
      </c>
      <c r="X172" s="3" t="str">
        <f aca="false">TEXT(C172,"mmmm")</f>
        <v>April</v>
      </c>
      <c r="Y172" s="3" t="str">
        <f aca="false">LEFT(G172,1)&amp;MID(G172,FIND(" ",G172)+1,1)</f>
        <v>AN</v>
      </c>
    </row>
    <row r="173" customFormat="false" ht="15" hidden="false" customHeight="false" outlineLevel="0" collapsed="false">
      <c r="A173" s="3" t="n">
        <v>172</v>
      </c>
      <c r="B173" s="3" t="s">
        <v>745</v>
      </c>
      <c r="C173" s="4" t="s">
        <v>728</v>
      </c>
      <c r="D173" s="4" t="s">
        <v>746</v>
      </c>
      <c r="E173" s="3" t="s">
        <v>28</v>
      </c>
      <c r="F173" s="3" t="s">
        <v>479</v>
      </c>
      <c r="G173" s="3" t="s">
        <v>480</v>
      </c>
      <c r="H173" s="3" t="s">
        <v>45</v>
      </c>
      <c r="I173" s="3" t="s">
        <v>32</v>
      </c>
      <c r="J173" s="3" t="s">
        <v>476</v>
      </c>
      <c r="K173" s="3" t="s">
        <v>366</v>
      </c>
      <c r="L173" s="3" t="s">
        <v>157</v>
      </c>
      <c r="M173" s="3" t="s">
        <v>158</v>
      </c>
      <c r="N173" s="3" t="s">
        <v>49</v>
      </c>
      <c r="O173" s="3" t="s">
        <v>159</v>
      </c>
      <c r="P173" s="3" t="s">
        <v>160</v>
      </c>
      <c r="Q173" s="5" t="n">
        <v>678.1</v>
      </c>
      <c r="R173" s="3" t="n">
        <v>12</v>
      </c>
      <c r="S173" s="6" t="n">
        <v>0.2</v>
      </c>
      <c r="T173" s="5" t="n">
        <v>91.65</v>
      </c>
      <c r="U173" s="3" t="str">
        <f aca="false">IF(T173&lt;0,"Loss",IF(T173=0,"Break-even","Profit"))</f>
        <v>Profit</v>
      </c>
      <c r="V173" s="3" t="str">
        <f aca="false">IF(Q173&lt;100,"Low",IF(Q173&lt;=500,"Medium","High"))</f>
        <v>High</v>
      </c>
      <c r="W173" s="3" t="n">
        <f aca="false">D173-C173</f>
        <v>7</v>
      </c>
      <c r="X173" s="3" t="str">
        <f aca="false">TEXT(C173,"mmmm")</f>
        <v>April</v>
      </c>
      <c r="Y173" s="3" t="str">
        <f aca="false">LEFT(G173,1)&amp;MID(G173,FIND(" ",G173)+1,1)</f>
        <v>MK</v>
      </c>
    </row>
    <row r="174" customFormat="false" ht="15" hidden="false" customHeight="false" outlineLevel="0" collapsed="false">
      <c r="A174" s="3" t="n">
        <v>173</v>
      </c>
      <c r="B174" s="3" t="s">
        <v>747</v>
      </c>
      <c r="C174" s="4" t="s">
        <v>728</v>
      </c>
      <c r="D174" s="4" t="s">
        <v>748</v>
      </c>
      <c r="E174" s="3" t="s">
        <v>28</v>
      </c>
      <c r="F174" s="3" t="s">
        <v>749</v>
      </c>
      <c r="G174" s="3" t="s">
        <v>750</v>
      </c>
      <c r="H174" s="3" t="s">
        <v>56</v>
      </c>
      <c r="I174" s="3" t="s">
        <v>32</v>
      </c>
      <c r="J174" s="3" t="s">
        <v>737</v>
      </c>
      <c r="K174" s="3" t="s">
        <v>307</v>
      </c>
      <c r="L174" s="3" t="s">
        <v>69</v>
      </c>
      <c r="M174" s="3" t="s">
        <v>237</v>
      </c>
      <c r="N174" s="3" t="s">
        <v>49</v>
      </c>
      <c r="O174" s="3" t="s">
        <v>220</v>
      </c>
      <c r="P174" s="3" t="s">
        <v>238</v>
      </c>
      <c r="Q174" s="5" t="n">
        <v>77.96</v>
      </c>
      <c r="R174" s="3" t="n">
        <v>1</v>
      </c>
      <c r="S174" s="6" t="n">
        <v>0</v>
      </c>
      <c r="T174" s="5" t="n">
        <v>25.03</v>
      </c>
      <c r="U174" s="3" t="str">
        <f aca="false">IF(T174&lt;0,"Loss",IF(T174=0,"Break-even","Profit"))</f>
        <v>Profit</v>
      </c>
      <c r="V174" s="3" t="str">
        <f aca="false">IF(Q174&lt;100,"Low",IF(Q174&lt;=500,"Medium","High"))</f>
        <v>Low</v>
      </c>
      <c r="W174" s="3" t="n">
        <f aca="false">D174-C174</f>
        <v>3</v>
      </c>
      <c r="X174" s="3" t="str">
        <f aca="false">TEXT(C174,"mmmm")</f>
        <v>April</v>
      </c>
      <c r="Y174" s="3" t="str">
        <f aca="false">LEFT(G174,1)&amp;MID(G174,FIND(" ",G174)+1,1)</f>
        <v>EA</v>
      </c>
    </row>
    <row r="175" customFormat="false" ht="15" hidden="false" customHeight="false" outlineLevel="0" collapsed="false">
      <c r="A175" s="3" t="n">
        <v>174</v>
      </c>
      <c r="B175" s="3" t="s">
        <v>751</v>
      </c>
      <c r="C175" s="4" t="s">
        <v>748</v>
      </c>
      <c r="D175" s="4" t="s">
        <v>741</v>
      </c>
      <c r="E175" s="3" t="s">
        <v>28</v>
      </c>
      <c r="F175" s="3" t="s">
        <v>752</v>
      </c>
      <c r="G175" s="3" t="s">
        <v>753</v>
      </c>
      <c r="H175" s="3" t="s">
        <v>56</v>
      </c>
      <c r="I175" s="3" t="s">
        <v>32</v>
      </c>
      <c r="J175" s="3" t="s">
        <v>476</v>
      </c>
      <c r="K175" s="3" t="s">
        <v>366</v>
      </c>
      <c r="L175" s="3" t="s">
        <v>157</v>
      </c>
      <c r="M175" s="3" t="s">
        <v>219</v>
      </c>
      <c r="N175" s="3" t="s">
        <v>49</v>
      </c>
      <c r="O175" s="3" t="s">
        <v>220</v>
      </c>
      <c r="P175" s="3" t="s">
        <v>221</v>
      </c>
      <c r="Q175" s="5" t="n">
        <v>1065.53</v>
      </c>
      <c r="R175" s="3" t="n">
        <v>13</v>
      </c>
      <c r="S175" s="6" t="n">
        <v>0.2</v>
      </c>
      <c r="T175" s="5" t="n">
        <v>-218.25</v>
      </c>
      <c r="U175" s="3" t="str">
        <f aca="false">IF(T175&lt;0,"Loss",IF(T175=0,"Break-even","Profit"))</f>
        <v>Loss</v>
      </c>
      <c r="V175" s="3" t="str">
        <f aca="false">IF(Q175&lt;100,"Low",IF(Q175&lt;=500,"Medium","High"))</f>
        <v>High</v>
      </c>
      <c r="W175" s="3" t="n">
        <f aca="false">D175-C175</f>
        <v>3</v>
      </c>
      <c r="X175" s="3" t="str">
        <f aca="false">TEXT(C175,"mmmm")</f>
        <v>May</v>
      </c>
      <c r="Y175" s="3" t="str">
        <f aca="false">LEFT(G175,1)&amp;MID(G175,FIND(" ",G175)+1,1)</f>
        <v>DM</v>
      </c>
    </row>
    <row r="176" customFormat="false" ht="15" hidden="false" customHeight="false" outlineLevel="0" collapsed="false">
      <c r="A176" s="3" t="n">
        <v>175</v>
      </c>
      <c r="B176" s="3" t="s">
        <v>754</v>
      </c>
      <c r="C176" s="4" t="s">
        <v>748</v>
      </c>
      <c r="D176" s="4" t="s">
        <v>741</v>
      </c>
      <c r="E176" s="3" t="s">
        <v>28</v>
      </c>
      <c r="F176" s="3" t="s">
        <v>755</v>
      </c>
      <c r="G176" s="3" t="s">
        <v>756</v>
      </c>
      <c r="H176" s="3" t="s">
        <v>56</v>
      </c>
      <c r="I176" s="3" t="s">
        <v>32</v>
      </c>
      <c r="J176" s="3" t="s">
        <v>171</v>
      </c>
      <c r="K176" s="3" t="s">
        <v>172</v>
      </c>
      <c r="L176" s="3" t="s">
        <v>157</v>
      </c>
      <c r="M176" s="3" t="s">
        <v>347</v>
      </c>
      <c r="N176" s="3" t="s">
        <v>49</v>
      </c>
      <c r="O176" s="3" t="s">
        <v>220</v>
      </c>
      <c r="P176" s="3" t="s">
        <v>348</v>
      </c>
      <c r="Q176" s="5" t="n">
        <v>96.81</v>
      </c>
      <c r="R176" s="3" t="n">
        <v>7</v>
      </c>
      <c r="S176" s="6" t="n">
        <v>0.1</v>
      </c>
      <c r="T176" s="5" t="n">
        <v>5.72</v>
      </c>
      <c r="U176" s="3" t="str">
        <f aca="false">IF(T176&lt;0,"Loss",IF(T176=0,"Break-even","Profit"))</f>
        <v>Profit</v>
      </c>
      <c r="V176" s="3" t="str">
        <f aca="false">IF(Q176&lt;100,"Low",IF(Q176&lt;=500,"Medium","High"))</f>
        <v>Low</v>
      </c>
      <c r="W176" s="3" t="n">
        <f aca="false">D176-C176</f>
        <v>3</v>
      </c>
      <c r="X176" s="3" t="str">
        <f aca="false">TEXT(C176,"mmmm")</f>
        <v>May</v>
      </c>
      <c r="Y176" s="3" t="str">
        <f aca="false">LEFT(G176,1)&amp;MID(G176,FIND(" ",G176)+1,1)</f>
        <v>MA</v>
      </c>
    </row>
    <row r="177" customFormat="false" ht="15" hidden="false" customHeight="false" outlineLevel="0" collapsed="false">
      <c r="A177" s="3" t="n">
        <v>176</v>
      </c>
      <c r="B177" s="3" t="s">
        <v>757</v>
      </c>
      <c r="C177" s="4" t="s">
        <v>758</v>
      </c>
      <c r="D177" s="4" t="s">
        <v>759</v>
      </c>
      <c r="E177" s="3" t="s">
        <v>28</v>
      </c>
      <c r="F177" s="3" t="s">
        <v>760</v>
      </c>
      <c r="G177" s="3" t="s">
        <v>761</v>
      </c>
      <c r="H177" s="3" t="s">
        <v>56</v>
      </c>
      <c r="I177" s="3" t="s">
        <v>32</v>
      </c>
      <c r="J177" s="3" t="s">
        <v>77</v>
      </c>
      <c r="K177" s="3" t="s">
        <v>78</v>
      </c>
      <c r="L177" s="3" t="s">
        <v>59</v>
      </c>
      <c r="M177" s="3" t="s">
        <v>420</v>
      </c>
      <c r="N177" s="3" t="s">
        <v>49</v>
      </c>
      <c r="O177" s="3" t="s">
        <v>80</v>
      </c>
      <c r="P177" s="3" t="s">
        <v>421</v>
      </c>
      <c r="Q177" s="5" t="n">
        <v>687.35</v>
      </c>
      <c r="R177" s="3" t="n">
        <v>6</v>
      </c>
      <c r="S177" s="6" t="n">
        <v>0</v>
      </c>
      <c r="T177" s="5" t="n">
        <v>-6.62</v>
      </c>
      <c r="U177" s="3" t="str">
        <f aca="false">IF(T177&lt;0,"Loss",IF(T177=0,"Break-even","Profit"))</f>
        <v>Loss</v>
      </c>
      <c r="V177" s="3" t="str">
        <f aca="false">IF(Q177&lt;100,"Low",IF(Q177&lt;=500,"Medium","High"))</f>
        <v>High</v>
      </c>
      <c r="W177" s="3" t="n">
        <f aca="false">D177-C177</f>
        <v>3</v>
      </c>
      <c r="X177" s="3" t="str">
        <f aca="false">TEXT(C177,"mmmm")</f>
        <v>May</v>
      </c>
      <c r="Y177" s="3" t="str">
        <f aca="false">LEFT(G177,1)&amp;MID(G177,FIND(" ",G177)+1,1)</f>
        <v>MM</v>
      </c>
    </row>
    <row r="178" customFormat="false" ht="15" hidden="false" customHeight="false" outlineLevel="0" collapsed="false">
      <c r="A178" s="3" t="n">
        <v>177</v>
      </c>
      <c r="B178" s="3" t="s">
        <v>762</v>
      </c>
      <c r="C178" s="4" t="s">
        <v>741</v>
      </c>
      <c r="D178" s="4" t="s">
        <v>763</v>
      </c>
      <c r="E178" s="3" t="s">
        <v>84</v>
      </c>
      <c r="F178" s="3" t="s">
        <v>568</v>
      </c>
      <c r="G178" s="3" t="s">
        <v>569</v>
      </c>
      <c r="H178" s="3" t="s">
        <v>56</v>
      </c>
      <c r="I178" s="3" t="s">
        <v>32</v>
      </c>
      <c r="J178" s="3" t="s">
        <v>252</v>
      </c>
      <c r="K178" s="3" t="s">
        <v>172</v>
      </c>
      <c r="L178" s="3" t="s">
        <v>157</v>
      </c>
      <c r="M178" s="3" t="s">
        <v>97</v>
      </c>
      <c r="N178" s="3" t="s">
        <v>89</v>
      </c>
      <c r="O178" s="3" t="s">
        <v>90</v>
      </c>
      <c r="P178" s="3" t="s">
        <v>98</v>
      </c>
      <c r="Q178" s="5" t="n">
        <v>653.7</v>
      </c>
      <c r="R178" s="3" t="n">
        <v>13</v>
      </c>
      <c r="S178" s="6" t="n">
        <v>0.1</v>
      </c>
      <c r="T178" s="5" t="n">
        <v>-40.07</v>
      </c>
      <c r="U178" s="3" t="str">
        <f aca="false">IF(T178&lt;0,"Loss",IF(T178=0,"Break-even","Profit"))</f>
        <v>Loss</v>
      </c>
      <c r="V178" s="3" t="str">
        <f aca="false">IF(Q178&lt;100,"Low",IF(Q178&lt;=500,"Medium","High"))</f>
        <v>High</v>
      </c>
      <c r="W178" s="3" t="n">
        <f aca="false">D178-C178</f>
        <v>4</v>
      </c>
      <c r="X178" s="3" t="str">
        <f aca="false">TEXT(C178,"mmmm")</f>
        <v>May</v>
      </c>
      <c r="Y178" s="3" t="str">
        <f aca="false">LEFT(G178,1)&amp;MID(G178,FIND(" ",G178)+1,1)</f>
        <v>JT</v>
      </c>
    </row>
    <row r="179" customFormat="false" ht="15" hidden="false" customHeight="false" outlineLevel="0" collapsed="false">
      <c r="A179" s="3" t="n">
        <v>178</v>
      </c>
      <c r="B179" s="3" t="s">
        <v>764</v>
      </c>
      <c r="C179" s="4" t="s">
        <v>765</v>
      </c>
      <c r="D179" s="4" t="s">
        <v>766</v>
      </c>
      <c r="E179" s="3" t="s">
        <v>28</v>
      </c>
      <c r="F179" s="3" t="s">
        <v>618</v>
      </c>
      <c r="G179" s="3" t="s">
        <v>619</v>
      </c>
      <c r="H179" s="3" t="s">
        <v>31</v>
      </c>
      <c r="I179" s="3" t="s">
        <v>32</v>
      </c>
      <c r="J179" s="3" t="s">
        <v>104</v>
      </c>
      <c r="K179" s="3" t="s">
        <v>96</v>
      </c>
      <c r="L179" s="3" t="s">
        <v>59</v>
      </c>
      <c r="M179" s="3" t="s">
        <v>334</v>
      </c>
      <c r="N179" s="3" t="s">
        <v>37</v>
      </c>
      <c r="O179" s="3" t="s">
        <v>136</v>
      </c>
      <c r="P179" s="3" t="s">
        <v>335</v>
      </c>
      <c r="Q179" s="5" t="n">
        <v>1241.83</v>
      </c>
      <c r="R179" s="3" t="n">
        <v>2</v>
      </c>
      <c r="S179" s="6" t="n">
        <v>0.2</v>
      </c>
      <c r="T179" s="5" t="n">
        <v>-220.06</v>
      </c>
      <c r="U179" s="3" t="str">
        <f aca="false">IF(T179&lt;0,"Loss",IF(T179=0,"Break-even","Profit"))</f>
        <v>Loss</v>
      </c>
      <c r="V179" s="3" t="str">
        <f aca="false">IF(Q179&lt;100,"Low",IF(Q179&lt;=500,"Medium","High"))</f>
        <v>High</v>
      </c>
      <c r="W179" s="3" t="n">
        <f aca="false">D179-C179</f>
        <v>5</v>
      </c>
      <c r="X179" s="3" t="str">
        <f aca="false">TEXT(C179,"mmmm")</f>
        <v>May</v>
      </c>
      <c r="Y179" s="3" t="str">
        <f aca="false">LEFT(G179,1)&amp;MID(G179,FIND(" ",G179)+1,1)</f>
        <v>AJ</v>
      </c>
    </row>
    <row r="180" customFormat="false" ht="15" hidden="false" customHeight="false" outlineLevel="0" collapsed="false">
      <c r="A180" s="3" t="n">
        <v>179</v>
      </c>
      <c r="B180" s="3" t="s">
        <v>767</v>
      </c>
      <c r="C180" s="4" t="s">
        <v>763</v>
      </c>
      <c r="D180" s="4" t="s">
        <v>766</v>
      </c>
      <c r="E180" s="3" t="s">
        <v>28</v>
      </c>
      <c r="F180" s="3" t="s">
        <v>768</v>
      </c>
      <c r="G180" s="3" t="s">
        <v>769</v>
      </c>
      <c r="H180" s="3" t="s">
        <v>56</v>
      </c>
      <c r="I180" s="3" t="s">
        <v>32</v>
      </c>
      <c r="J180" s="3" t="s">
        <v>252</v>
      </c>
      <c r="K180" s="3" t="s">
        <v>172</v>
      </c>
      <c r="L180" s="3" t="s">
        <v>157</v>
      </c>
      <c r="M180" s="3" t="s">
        <v>149</v>
      </c>
      <c r="N180" s="3" t="s">
        <v>49</v>
      </c>
      <c r="O180" s="3" t="s">
        <v>150</v>
      </c>
      <c r="P180" s="3" t="s">
        <v>151</v>
      </c>
      <c r="Q180" s="5" t="n">
        <v>1375.35</v>
      </c>
      <c r="R180" s="3" t="n">
        <v>13</v>
      </c>
      <c r="S180" s="6" t="n">
        <v>0</v>
      </c>
      <c r="T180" s="5" t="n">
        <v>420.42</v>
      </c>
      <c r="U180" s="3" t="str">
        <f aca="false">IF(T180&lt;0,"Loss",IF(T180=0,"Break-even","Profit"))</f>
        <v>Profit</v>
      </c>
      <c r="V180" s="3" t="str">
        <f aca="false">IF(Q180&lt;100,"Low",IF(Q180&lt;=500,"Medium","High"))</f>
        <v>High</v>
      </c>
      <c r="W180" s="3" t="n">
        <f aca="false">D180-C180</f>
        <v>4</v>
      </c>
      <c r="X180" s="3" t="str">
        <f aca="false">TEXT(C180,"mmmm")</f>
        <v>May</v>
      </c>
      <c r="Y180" s="3" t="str">
        <f aca="false">LEFT(G180,1)&amp;MID(G180,FIND(" ",G180)+1,1)</f>
        <v>OC</v>
      </c>
    </row>
    <row r="181" customFormat="false" ht="15" hidden="false" customHeight="false" outlineLevel="0" collapsed="false">
      <c r="A181" s="3" t="n">
        <v>180</v>
      </c>
      <c r="B181" s="3" t="s">
        <v>770</v>
      </c>
      <c r="C181" s="4" t="s">
        <v>763</v>
      </c>
      <c r="D181" s="4" t="s">
        <v>771</v>
      </c>
      <c r="E181" s="3" t="s">
        <v>28</v>
      </c>
      <c r="F181" s="3" t="s">
        <v>708</v>
      </c>
      <c r="G181" s="3" t="s">
        <v>709</v>
      </c>
      <c r="H181" s="3" t="s">
        <v>45</v>
      </c>
      <c r="I181" s="3" t="s">
        <v>32</v>
      </c>
      <c r="J181" s="3" t="s">
        <v>148</v>
      </c>
      <c r="K181" s="3" t="s">
        <v>78</v>
      </c>
      <c r="L181" s="3" t="s">
        <v>59</v>
      </c>
      <c r="M181" s="3" t="s">
        <v>190</v>
      </c>
      <c r="N181" s="3" t="s">
        <v>49</v>
      </c>
      <c r="O181" s="3" t="s">
        <v>150</v>
      </c>
      <c r="P181" s="3" t="s">
        <v>191</v>
      </c>
      <c r="Q181" s="5" t="n">
        <v>324.19</v>
      </c>
      <c r="R181" s="3" t="n">
        <v>3</v>
      </c>
      <c r="S181" s="6" t="n">
        <v>0</v>
      </c>
      <c r="T181" s="5" t="n">
        <v>46.2</v>
      </c>
      <c r="U181" s="3" t="str">
        <f aca="false">IF(T181&lt;0,"Loss",IF(T181=0,"Break-even","Profit"))</f>
        <v>Profit</v>
      </c>
      <c r="V181" s="3" t="str">
        <f aca="false">IF(Q181&lt;100,"Low",IF(Q181&lt;=500,"Medium","High"))</f>
        <v>Medium</v>
      </c>
      <c r="W181" s="3" t="n">
        <f aca="false">D181-C181</f>
        <v>3</v>
      </c>
      <c r="X181" s="3" t="str">
        <f aca="false">TEXT(C181,"mmmm")</f>
        <v>May</v>
      </c>
      <c r="Y181" s="3" t="str">
        <f aca="false">LEFT(G181,1)&amp;MID(G181,FIND(" ",G181)+1,1)</f>
        <v>PM</v>
      </c>
    </row>
    <row r="182" customFormat="false" ht="15" hidden="false" customHeight="false" outlineLevel="0" collapsed="false">
      <c r="A182" s="3" t="n">
        <v>181</v>
      </c>
      <c r="B182" s="3" t="s">
        <v>772</v>
      </c>
      <c r="C182" s="4" t="s">
        <v>763</v>
      </c>
      <c r="D182" s="4" t="s">
        <v>766</v>
      </c>
      <c r="E182" s="3" t="s">
        <v>28</v>
      </c>
      <c r="F182" s="3" t="s">
        <v>368</v>
      </c>
      <c r="G182" s="3" t="s">
        <v>369</v>
      </c>
      <c r="H182" s="3" t="s">
        <v>45</v>
      </c>
      <c r="I182" s="3" t="s">
        <v>32</v>
      </c>
      <c r="J182" s="3" t="s">
        <v>120</v>
      </c>
      <c r="K182" s="3" t="s">
        <v>113</v>
      </c>
      <c r="L182" s="3" t="s">
        <v>69</v>
      </c>
      <c r="M182" s="3" t="s">
        <v>88</v>
      </c>
      <c r="N182" s="3" t="s">
        <v>89</v>
      </c>
      <c r="O182" s="3" t="s">
        <v>90</v>
      </c>
      <c r="P182" s="3" t="s">
        <v>91</v>
      </c>
      <c r="Q182" s="5" t="n">
        <v>6597.53</v>
      </c>
      <c r="R182" s="3" t="n">
        <v>10</v>
      </c>
      <c r="S182" s="6" t="n">
        <v>0</v>
      </c>
      <c r="T182" s="5" t="n">
        <v>-1194.07</v>
      </c>
      <c r="U182" s="3" t="str">
        <f aca="false">IF(T182&lt;0,"Loss",IF(T182=0,"Break-even","Profit"))</f>
        <v>Loss</v>
      </c>
      <c r="V182" s="3" t="str">
        <f aca="false">IF(Q182&lt;100,"Low",IF(Q182&lt;=500,"Medium","High"))</f>
        <v>High</v>
      </c>
      <c r="W182" s="3" t="n">
        <f aca="false">D182-C182</f>
        <v>4</v>
      </c>
      <c r="X182" s="3" t="str">
        <f aca="false">TEXT(C182,"mmmm")</f>
        <v>May</v>
      </c>
      <c r="Y182" s="3" t="str">
        <f aca="false">LEFT(G182,1)&amp;MID(G182,FIND(" ",G182)+1,1)</f>
        <v>AS</v>
      </c>
    </row>
    <row r="183" customFormat="false" ht="15" hidden="false" customHeight="false" outlineLevel="0" collapsed="false">
      <c r="A183" s="3" t="n">
        <v>182</v>
      </c>
      <c r="B183" s="3" t="s">
        <v>773</v>
      </c>
      <c r="C183" s="4" t="s">
        <v>774</v>
      </c>
      <c r="D183" s="4" t="s">
        <v>775</v>
      </c>
      <c r="E183" s="3" t="s">
        <v>28</v>
      </c>
      <c r="F183" s="3" t="s">
        <v>776</v>
      </c>
      <c r="G183" s="3" t="s">
        <v>777</v>
      </c>
      <c r="H183" s="3" t="s">
        <v>45</v>
      </c>
      <c r="I183" s="3" t="s">
        <v>32</v>
      </c>
      <c r="J183" s="3" t="s">
        <v>215</v>
      </c>
      <c r="K183" s="3" t="s">
        <v>34</v>
      </c>
      <c r="L183" s="3" t="s">
        <v>35</v>
      </c>
      <c r="M183" s="3" t="s">
        <v>36</v>
      </c>
      <c r="N183" s="3" t="s">
        <v>37</v>
      </c>
      <c r="O183" s="3" t="s">
        <v>38</v>
      </c>
      <c r="P183" s="3" t="s">
        <v>39</v>
      </c>
      <c r="Q183" s="5" t="n">
        <v>13085.79</v>
      </c>
      <c r="R183" s="3" t="n">
        <v>8</v>
      </c>
      <c r="S183" s="6" t="n">
        <v>0.3</v>
      </c>
      <c r="T183" s="5" t="n">
        <v>-709.72</v>
      </c>
      <c r="U183" s="3" t="str">
        <f aca="false">IF(T183&lt;0,"Loss",IF(T183=0,"Break-even","Profit"))</f>
        <v>Loss</v>
      </c>
      <c r="V183" s="3" t="str">
        <f aca="false">IF(Q183&lt;100,"Low",IF(Q183&lt;=500,"Medium","High"))</f>
        <v>High</v>
      </c>
      <c r="W183" s="3" t="n">
        <f aca="false">D183-C183</f>
        <v>7</v>
      </c>
      <c r="X183" s="3" t="str">
        <f aca="false">TEXT(C183,"mmmm")</f>
        <v>May</v>
      </c>
      <c r="Y183" s="3" t="str">
        <f aca="false">LEFT(G183,1)&amp;MID(G183,FIND(" ",G183)+1,1)</f>
        <v>AM</v>
      </c>
    </row>
    <row r="184" customFormat="false" ht="15" hidden="false" customHeight="false" outlineLevel="0" collapsed="false">
      <c r="A184" s="3" t="n">
        <v>183</v>
      </c>
      <c r="B184" s="3" t="s">
        <v>778</v>
      </c>
      <c r="C184" s="4" t="s">
        <v>771</v>
      </c>
      <c r="D184" s="4" t="s">
        <v>779</v>
      </c>
      <c r="E184" s="3" t="s">
        <v>28</v>
      </c>
      <c r="F184" s="3" t="s">
        <v>780</v>
      </c>
      <c r="G184" s="3" t="s">
        <v>781</v>
      </c>
      <c r="H184" s="3" t="s">
        <v>56</v>
      </c>
      <c r="I184" s="3" t="s">
        <v>32</v>
      </c>
      <c r="J184" s="3" t="s">
        <v>663</v>
      </c>
      <c r="K184" s="3" t="s">
        <v>307</v>
      </c>
      <c r="L184" s="3" t="s">
        <v>69</v>
      </c>
      <c r="M184" s="3" t="s">
        <v>79</v>
      </c>
      <c r="N184" s="3" t="s">
        <v>49</v>
      </c>
      <c r="O184" s="3" t="s">
        <v>80</v>
      </c>
      <c r="P184" s="3" t="s">
        <v>81</v>
      </c>
      <c r="Q184" s="5" t="n">
        <v>701.4</v>
      </c>
      <c r="R184" s="3" t="n">
        <v>7</v>
      </c>
      <c r="S184" s="6" t="n">
        <v>0.3</v>
      </c>
      <c r="T184" s="5" t="n">
        <v>-182.78</v>
      </c>
      <c r="U184" s="3" t="str">
        <f aca="false">IF(T184&lt;0,"Loss",IF(T184=0,"Break-even","Profit"))</f>
        <v>Loss</v>
      </c>
      <c r="V184" s="3" t="str">
        <f aca="false">IF(Q184&lt;100,"Low",IF(Q184&lt;=500,"Medium","High"))</f>
        <v>High</v>
      </c>
      <c r="W184" s="3" t="n">
        <f aca="false">D184-C184</f>
        <v>3</v>
      </c>
      <c r="X184" s="3" t="str">
        <f aca="false">TEXT(C184,"mmmm")</f>
        <v>May</v>
      </c>
      <c r="Y184" s="3" t="str">
        <f aca="false">LEFT(G184,1)&amp;MID(G184,FIND(" ",G184)+1,1)</f>
        <v>LT</v>
      </c>
    </row>
    <row r="185" customFormat="false" ht="15" hidden="false" customHeight="false" outlineLevel="0" collapsed="false">
      <c r="A185" s="3" t="n">
        <v>184</v>
      </c>
      <c r="B185" s="3" t="s">
        <v>782</v>
      </c>
      <c r="C185" s="4" t="s">
        <v>771</v>
      </c>
      <c r="D185" s="4" t="s">
        <v>775</v>
      </c>
      <c r="E185" s="3" t="s">
        <v>28</v>
      </c>
      <c r="F185" s="3" t="s">
        <v>193</v>
      </c>
      <c r="G185" s="3" t="s">
        <v>194</v>
      </c>
      <c r="H185" s="3" t="s">
        <v>56</v>
      </c>
      <c r="I185" s="3" t="s">
        <v>32</v>
      </c>
      <c r="J185" s="3" t="s">
        <v>112</v>
      </c>
      <c r="K185" s="3" t="s">
        <v>113</v>
      </c>
      <c r="L185" s="3" t="s">
        <v>69</v>
      </c>
      <c r="M185" s="3" t="s">
        <v>158</v>
      </c>
      <c r="N185" s="3" t="s">
        <v>49</v>
      </c>
      <c r="O185" s="3" t="s">
        <v>159</v>
      </c>
      <c r="P185" s="3" t="s">
        <v>160</v>
      </c>
      <c r="Q185" s="5" t="n">
        <v>111.2</v>
      </c>
      <c r="R185" s="3" t="n">
        <v>3</v>
      </c>
      <c r="S185" s="6" t="n">
        <v>0.5</v>
      </c>
      <c r="T185" s="5" t="n">
        <v>-27.79</v>
      </c>
      <c r="U185" s="3" t="str">
        <f aca="false">IF(T185&lt;0,"Loss",IF(T185=0,"Break-even","Profit"))</f>
        <v>Loss</v>
      </c>
      <c r="V185" s="3" t="str">
        <f aca="false">IF(Q185&lt;100,"Low",IF(Q185&lt;=500,"Medium","High"))</f>
        <v>Medium</v>
      </c>
      <c r="W185" s="3" t="n">
        <f aca="false">D185-C185</f>
        <v>5</v>
      </c>
      <c r="X185" s="3" t="str">
        <f aca="false">TEXT(C185,"mmmm")</f>
        <v>May</v>
      </c>
      <c r="Y185" s="3" t="str">
        <f aca="false">LEFT(G185,1)&amp;MID(G185,FIND(" ",G185)+1,1)</f>
        <v>PB</v>
      </c>
    </row>
    <row r="186" customFormat="false" ht="15" hidden="false" customHeight="false" outlineLevel="0" collapsed="false">
      <c r="A186" s="3" t="n">
        <v>185</v>
      </c>
      <c r="B186" s="3" t="s">
        <v>783</v>
      </c>
      <c r="C186" s="4" t="s">
        <v>766</v>
      </c>
      <c r="D186" s="4" t="s">
        <v>775</v>
      </c>
      <c r="E186" s="3" t="s">
        <v>84</v>
      </c>
      <c r="F186" s="3" t="s">
        <v>784</v>
      </c>
      <c r="G186" s="3" t="s">
        <v>785</v>
      </c>
      <c r="H186" s="3" t="s">
        <v>56</v>
      </c>
      <c r="I186" s="3" t="s">
        <v>32</v>
      </c>
      <c r="J186" s="3" t="s">
        <v>285</v>
      </c>
      <c r="K186" s="3" t="s">
        <v>202</v>
      </c>
      <c r="L186" s="3" t="s">
        <v>35</v>
      </c>
      <c r="M186" s="3" t="s">
        <v>114</v>
      </c>
      <c r="N186" s="3" t="s">
        <v>49</v>
      </c>
      <c r="O186" s="3" t="s">
        <v>61</v>
      </c>
      <c r="P186" s="3" t="s">
        <v>115</v>
      </c>
      <c r="Q186" s="5" t="n">
        <v>760.85</v>
      </c>
      <c r="R186" s="3" t="n">
        <v>7</v>
      </c>
      <c r="S186" s="6" t="n">
        <v>0.3</v>
      </c>
      <c r="T186" s="5" t="n">
        <v>48.34</v>
      </c>
      <c r="U186" s="3" t="str">
        <f aca="false">IF(T186&lt;0,"Loss",IF(T186=0,"Break-even","Profit"))</f>
        <v>Profit</v>
      </c>
      <c r="V186" s="3" t="str">
        <f aca="false">IF(Q186&lt;100,"Low",IF(Q186&lt;=500,"Medium","High"))</f>
        <v>High</v>
      </c>
      <c r="W186" s="3" t="n">
        <f aca="false">D186-C186</f>
        <v>4</v>
      </c>
      <c r="X186" s="3" t="str">
        <f aca="false">TEXT(C186,"mmmm")</f>
        <v>May</v>
      </c>
      <c r="Y186" s="3" t="str">
        <f aca="false">LEFT(G186,1)&amp;MID(G186,FIND(" ",G186)+1,1)</f>
        <v>CR</v>
      </c>
    </row>
    <row r="187" customFormat="false" ht="15" hidden="false" customHeight="false" outlineLevel="0" collapsed="false">
      <c r="A187" s="3" t="n">
        <v>186</v>
      </c>
      <c r="B187" s="3" t="s">
        <v>786</v>
      </c>
      <c r="C187" s="4" t="s">
        <v>787</v>
      </c>
      <c r="D187" s="4" t="s">
        <v>788</v>
      </c>
      <c r="E187" s="3" t="s">
        <v>28</v>
      </c>
      <c r="F187" s="3" t="s">
        <v>789</v>
      </c>
      <c r="G187" s="3" t="s">
        <v>790</v>
      </c>
      <c r="H187" s="3" t="s">
        <v>56</v>
      </c>
      <c r="I187" s="3" t="s">
        <v>32</v>
      </c>
      <c r="J187" s="3" t="s">
        <v>616</v>
      </c>
      <c r="K187" s="3" t="s">
        <v>156</v>
      </c>
      <c r="L187" s="3" t="s">
        <v>157</v>
      </c>
      <c r="M187" s="3" t="s">
        <v>142</v>
      </c>
      <c r="N187" s="3" t="s">
        <v>49</v>
      </c>
      <c r="O187" s="3" t="s">
        <v>143</v>
      </c>
      <c r="P187" s="3" t="s">
        <v>144</v>
      </c>
      <c r="Q187" s="5" t="n">
        <v>356.07</v>
      </c>
      <c r="R187" s="3" t="n">
        <v>3</v>
      </c>
      <c r="S187" s="6" t="n">
        <v>0</v>
      </c>
      <c r="T187" s="5" t="n">
        <v>-70.72</v>
      </c>
      <c r="U187" s="3" t="str">
        <f aca="false">IF(T187&lt;0,"Loss",IF(T187=0,"Break-even","Profit"))</f>
        <v>Loss</v>
      </c>
      <c r="V187" s="3" t="str">
        <f aca="false">IF(Q187&lt;100,"Low",IF(Q187&lt;=500,"Medium","High"))</f>
        <v>Medium</v>
      </c>
      <c r="W187" s="3" t="n">
        <f aca="false">D187-C187</f>
        <v>7</v>
      </c>
      <c r="X187" s="3" t="str">
        <f aca="false">TEXT(C187,"mmmm")</f>
        <v>May</v>
      </c>
      <c r="Y187" s="3" t="str">
        <f aca="false">LEFT(G187,1)&amp;MID(G187,FIND(" ",G187)+1,1)</f>
        <v>LB</v>
      </c>
    </row>
    <row r="188" customFormat="false" ht="15" hidden="false" customHeight="false" outlineLevel="0" collapsed="false">
      <c r="A188" s="3" t="n">
        <v>187</v>
      </c>
      <c r="B188" s="3" t="s">
        <v>791</v>
      </c>
      <c r="C188" s="4" t="s">
        <v>787</v>
      </c>
      <c r="D188" s="4" t="s">
        <v>792</v>
      </c>
      <c r="E188" s="3" t="s">
        <v>28</v>
      </c>
      <c r="F188" s="3" t="s">
        <v>532</v>
      </c>
      <c r="G188" s="3" t="s">
        <v>533</v>
      </c>
      <c r="H188" s="3" t="s">
        <v>56</v>
      </c>
      <c r="I188" s="3" t="s">
        <v>32</v>
      </c>
      <c r="J188" s="3" t="s">
        <v>57</v>
      </c>
      <c r="K188" s="3" t="s">
        <v>58</v>
      </c>
      <c r="L188" s="3" t="s">
        <v>59</v>
      </c>
      <c r="M188" s="3" t="s">
        <v>290</v>
      </c>
      <c r="N188" s="3" t="s">
        <v>37</v>
      </c>
      <c r="O188" s="3" t="s">
        <v>38</v>
      </c>
      <c r="P188" s="3" t="s">
        <v>291</v>
      </c>
      <c r="Q188" s="5" t="n">
        <v>3487.31</v>
      </c>
      <c r="R188" s="3" t="n">
        <v>3</v>
      </c>
      <c r="S188" s="6" t="n">
        <v>0</v>
      </c>
      <c r="T188" s="5" t="n">
        <v>1149.97</v>
      </c>
      <c r="U188" s="3" t="str">
        <f aca="false">IF(T188&lt;0,"Loss",IF(T188=0,"Break-even","Profit"))</f>
        <v>Profit</v>
      </c>
      <c r="V188" s="3" t="str">
        <f aca="false">IF(Q188&lt;100,"Low",IF(Q188&lt;=500,"Medium","High"))</f>
        <v>High</v>
      </c>
      <c r="W188" s="3" t="n">
        <f aca="false">D188-C188</f>
        <v>6</v>
      </c>
      <c r="X188" s="3" t="str">
        <f aca="false">TEXT(C188,"mmmm")</f>
        <v>May</v>
      </c>
      <c r="Y188" s="3" t="str">
        <f aca="false">LEFT(G188,1)&amp;MID(G188,FIND(" ",G188)+1,1)</f>
        <v>AN</v>
      </c>
    </row>
    <row r="189" customFormat="false" ht="15" hidden="false" customHeight="false" outlineLevel="0" collapsed="false">
      <c r="A189" s="3" t="n">
        <v>188</v>
      </c>
      <c r="B189" s="3" t="s">
        <v>793</v>
      </c>
      <c r="C189" s="4" t="s">
        <v>787</v>
      </c>
      <c r="D189" s="4" t="s">
        <v>775</v>
      </c>
      <c r="E189" s="3" t="s">
        <v>28</v>
      </c>
      <c r="F189" s="3" t="s">
        <v>418</v>
      </c>
      <c r="G189" s="3" t="s">
        <v>419</v>
      </c>
      <c r="H189" s="3" t="s">
        <v>31</v>
      </c>
      <c r="I189" s="3" t="s">
        <v>32</v>
      </c>
      <c r="J189" s="3" t="s">
        <v>679</v>
      </c>
      <c r="K189" s="3" t="s">
        <v>202</v>
      </c>
      <c r="L189" s="3" t="s">
        <v>35</v>
      </c>
      <c r="M189" s="3" t="s">
        <v>334</v>
      </c>
      <c r="N189" s="3" t="s">
        <v>37</v>
      </c>
      <c r="O189" s="3" t="s">
        <v>136</v>
      </c>
      <c r="P189" s="3" t="s">
        <v>335</v>
      </c>
      <c r="Q189" s="5" t="n">
        <v>8955.18</v>
      </c>
      <c r="R189" s="3" t="n">
        <v>6</v>
      </c>
      <c r="S189" s="6" t="n">
        <v>0.2</v>
      </c>
      <c r="T189" s="5" t="n">
        <v>-1375.09</v>
      </c>
      <c r="U189" s="3" t="str">
        <f aca="false">IF(T189&lt;0,"Loss",IF(T189=0,"Break-even","Profit"))</f>
        <v>Loss</v>
      </c>
      <c r="V189" s="3" t="str">
        <f aca="false">IF(Q189&lt;100,"Low",IF(Q189&lt;=500,"Medium","High"))</f>
        <v>High</v>
      </c>
      <c r="W189" s="3" t="n">
        <f aca="false">D189-C189</f>
        <v>3</v>
      </c>
      <c r="X189" s="3" t="str">
        <f aca="false">TEXT(C189,"mmmm")</f>
        <v>May</v>
      </c>
      <c r="Y189" s="3" t="str">
        <f aca="false">LEFT(G189,1)&amp;MID(G189,FIND(" ",G189)+1,1)</f>
        <v>PW</v>
      </c>
    </row>
    <row r="190" customFormat="false" ht="15" hidden="false" customHeight="false" outlineLevel="0" collapsed="false">
      <c r="A190" s="3" t="n">
        <v>189</v>
      </c>
      <c r="B190" s="3" t="s">
        <v>794</v>
      </c>
      <c r="C190" s="4" t="s">
        <v>779</v>
      </c>
      <c r="D190" s="4" t="s">
        <v>795</v>
      </c>
      <c r="E190" s="3" t="s">
        <v>84</v>
      </c>
      <c r="F190" s="3" t="s">
        <v>796</v>
      </c>
      <c r="G190" s="3" t="s">
        <v>797</v>
      </c>
      <c r="H190" s="3" t="s">
        <v>31</v>
      </c>
      <c r="I190" s="3" t="s">
        <v>32</v>
      </c>
      <c r="J190" s="3" t="s">
        <v>299</v>
      </c>
      <c r="K190" s="3" t="s">
        <v>189</v>
      </c>
      <c r="L190" s="3" t="s">
        <v>59</v>
      </c>
      <c r="M190" s="3" t="s">
        <v>190</v>
      </c>
      <c r="N190" s="3" t="s">
        <v>49</v>
      </c>
      <c r="O190" s="3" t="s">
        <v>150</v>
      </c>
      <c r="P190" s="3" t="s">
        <v>191</v>
      </c>
      <c r="Q190" s="5" t="n">
        <v>478.96</v>
      </c>
      <c r="R190" s="3" t="n">
        <v>4</v>
      </c>
      <c r="S190" s="6" t="n">
        <v>0</v>
      </c>
      <c r="T190" s="5" t="n">
        <v>-58.23</v>
      </c>
      <c r="U190" s="3" t="str">
        <f aca="false">IF(T190&lt;0,"Loss",IF(T190=0,"Break-even","Profit"))</f>
        <v>Loss</v>
      </c>
      <c r="V190" s="3" t="str">
        <f aca="false">IF(Q190&lt;100,"Low",IF(Q190&lt;=500,"Medium","High"))</f>
        <v>Medium</v>
      </c>
      <c r="W190" s="3" t="n">
        <f aca="false">D190-C190</f>
        <v>3</v>
      </c>
      <c r="X190" s="3" t="str">
        <f aca="false">TEXT(C190,"mmmm")</f>
        <v>May</v>
      </c>
      <c r="Y190" s="3" t="str">
        <f aca="false">LEFT(G190,1)&amp;MID(G190,FIND(" ",G190)+1,1)</f>
        <v>PM</v>
      </c>
    </row>
    <row r="191" customFormat="false" ht="15" hidden="false" customHeight="false" outlineLevel="0" collapsed="false">
      <c r="A191" s="3" t="n">
        <v>190</v>
      </c>
      <c r="B191" s="3" t="s">
        <v>798</v>
      </c>
      <c r="C191" s="4" t="s">
        <v>799</v>
      </c>
      <c r="D191" s="4" t="s">
        <v>792</v>
      </c>
      <c r="E191" s="3" t="s">
        <v>28</v>
      </c>
      <c r="F191" s="3" t="s">
        <v>125</v>
      </c>
      <c r="G191" s="3" t="s">
        <v>126</v>
      </c>
      <c r="H191" s="3" t="s">
        <v>56</v>
      </c>
      <c r="I191" s="3" t="s">
        <v>32</v>
      </c>
      <c r="J191" s="3" t="s">
        <v>215</v>
      </c>
      <c r="K191" s="3" t="s">
        <v>34</v>
      </c>
      <c r="L191" s="3" t="s">
        <v>35</v>
      </c>
      <c r="M191" s="3" t="s">
        <v>300</v>
      </c>
      <c r="N191" s="3" t="s">
        <v>49</v>
      </c>
      <c r="O191" s="3" t="s">
        <v>143</v>
      </c>
      <c r="P191" s="3" t="s">
        <v>301</v>
      </c>
      <c r="Q191" s="5" t="n">
        <v>44.54</v>
      </c>
      <c r="R191" s="3" t="n">
        <v>1</v>
      </c>
      <c r="S191" s="6" t="n">
        <v>0</v>
      </c>
      <c r="T191" s="5" t="n">
        <v>6.9</v>
      </c>
      <c r="U191" s="3" t="str">
        <f aca="false">IF(T191&lt;0,"Loss",IF(T191=0,"Break-even","Profit"))</f>
        <v>Profit</v>
      </c>
      <c r="V191" s="3" t="str">
        <f aca="false">IF(Q191&lt;100,"Low",IF(Q191&lt;=500,"Medium","High"))</f>
        <v>Low</v>
      </c>
      <c r="W191" s="3" t="n">
        <f aca="false">D191-C191</f>
        <v>4</v>
      </c>
      <c r="X191" s="3" t="str">
        <f aca="false">TEXT(C191,"mmmm")</f>
        <v>May</v>
      </c>
      <c r="Y191" s="3" t="str">
        <f aca="false">LEFT(G191,1)&amp;MID(G191,FIND(" ",G191)+1,1)</f>
        <v>LM</v>
      </c>
    </row>
    <row r="192" customFormat="false" ht="15" hidden="false" customHeight="false" outlineLevel="0" collapsed="false">
      <c r="A192" s="3" t="n">
        <v>191</v>
      </c>
      <c r="B192" s="3" t="s">
        <v>800</v>
      </c>
      <c r="C192" s="4" t="s">
        <v>799</v>
      </c>
      <c r="D192" s="4" t="s">
        <v>801</v>
      </c>
      <c r="E192" s="3" t="s">
        <v>28</v>
      </c>
      <c r="F192" s="3" t="s">
        <v>304</v>
      </c>
      <c r="G192" s="3" t="s">
        <v>305</v>
      </c>
      <c r="H192" s="3" t="s">
        <v>56</v>
      </c>
      <c r="I192" s="3" t="s">
        <v>32</v>
      </c>
      <c r="J192" s="3" t="s">
        <v>243</v>
      </c>
      <c r="K192" s="3" t="s">
        <v>244</v>
      </c>
      <c r="L192" s="3" t="s">
        <v>157</v>
      </c>
      <c r="M192" s="3" t="s">
        <v>79</v>
      </c>
      <c r="N192" s="3" t="s">
        <v>49</v>
      </c>
      <c r="O192" s="3" t="s">
        <v>80</v>
      </c>
      <c r="P192" s="3" t="s">
        <v>81</v>
      </c>
      <c r="Q192" s="5" t="n">
        <v>21.7</v>
      </c>
      <c r="R192" s="3" t="n">
        <v>5</v>
      </c>
      <c r="S192" s="6" t="n">
        <v>0.5</v>
      </c>
      <c r="T192" s="5" t="n">
        <v>4.37</v>
      </c>
      <c r="U192" s="3" t="str">
        <f aca="false">IF(T192&lt;0,"Loss",IF(T192=0,"Break-even","Profit"))</f>
        <v>Profit</v>
      </c>
      <c r="V192" s="3" t="str">
        <f aca="false">IF(Q192&lt;100,"Low",IF(Q192&lt;=500,"Medium","High"))</f>
        <v>Low</v>
      </c>
      <c r="W192" s="3" t="n">
        <f aca="false">D192-C192</f>
        <v>6</v>
      </c>
      <c r="X192" s="3" t="str">
        <f aca="false">TEXT(C192,"mmmm")</f>
        <v>May</v>
      </c>
      <c r="Y192" s="3" t="str">
        <f aca="false">LEFT(G192,1)&amp;MID(G192,FIND(" ",G192)+1,1)</f>
        <v>DW</v>
      </c>
    </row>
    <row r="193" customFormat="false" ht="15" hidden="false" customHeight="false" outlineLevel="0" collapsed="false">
      <c r="A193" s="3" t="n">
        <v>192</v>
      </c>
      <c r="B193" s="3" t="s">
        <v>802</v>
      </c>
      <c r="C193" s="4" t="s">
        <v>775</v>
      </c>
      <c r="D193" s="4" t="s">
        <v>803</v>
      </c>
      <c r="E193" s="3" t="s">
        <v>28</v>
      </c>
      <c r="F193" s="3" t="s">
        <v>459</v>
      </c>
      <c r="G193" s="3" t="s">
        <v>460</v>
      </c>
      <c r="H193" s="3" t="s">
        <v>56</v>
      </c>
      <c r="I193" s="3" t="s">
        <v>32</v>
      </c>
      <c r="J193" s="3" t="s">
        <v>386</v>
      </c>
      <c r="K193" s="3" t="s">
        <v>387</v>
      </c>
      <c r="L193" s="3" t="s">
        <v>35</v>
      </c>
      <c r="M193" s="3" t="s">
        <v>300</v>
      </c>
      <c r="N193" s="3" t="s">
        <v>49</v>
      </c>
      <c r="O193" s="3" t="s">
        <v>143</v>
      </c>
      <c r="P193" s="3" t="s">
        <v>301</v>
      </c>
      <c r="Q193" s="5" t="n">
        <v>258.68</v>
      </c>
      <c r="R193" s="3" t="n">
        <v>9</v>
      </c>
      <c r="S193" s="6" t="n">
        <v>0.1</v>
      </c>
      <c r="T193" s="5" t="n">
        <v>19.79</v>
      </c>
      <c r="U193" s="3" t="str">
        <f aca="false">IF(T193&lt;0,"Loss",IF(T193=0,"Break-even","Profit"))</f>
        <v>Profit</v>
      </c>
      <c r="V193" s="3" t="str">
        <f aca="false">IF(Q193&lt;100,"Low",IF(Q193&lt;=500,"Medium","High"))</f>
        <v>Medium</v>
      </c>
      <c r="W193" s="3" t="n">
        <f aca="false">D193-C193</f>
        <v>7</v>
      </c>
      <c r="X193" s="3" t="str">
        <f aca="false">TEXT(C193,"mmmm")</f>
        <v>May</v>
      </c>
      <c r="Y193" s="3" t="str">
        <f aca="false">LEFT(G193,1)&amp;MID(G193,FIND(" ",G193)+1,1)</f>
        <v>MJ</v>
      </c>
    </row>
    <row r="194" customFormat="false" ht="15" hidden="false" customHeight="false" outlineLevel="0" collapsed="false">
      <c r="A194" s="3" t="n">
        <v>193</v>
      </c>
      <c r="B194" s="3" t="s">
        <v>804</v>
      </c>
      <c r="C194" s="4" t="s">
        <v>775</v>
      </c>
      <c r="D194" s="4" t="s">
        <v>775</v>
      </c>
      <c r="E194" s="3" t="s">
        <v>53</v>
      </c>
      <c r="F194" s="3" t="s">
        <v>805</v>
      </c>
      <c r="G194" s="3" t="s">
        <v>806</v>
      </c>
      <c r="H194" s="3" t="s">
        <v>56</v>
      </c>
      <c r="I194" s="3" t="s">
        <v>32</v>
      </c>
      <c r="J194" s="3" t="s">
        <v>386</v>
      </c>
      <c r="K194" s="3" t="s">
        <v>387</v>
      </c>
      <c r="L194" s="3" t="s">
        <v>35</v>
      </c>
      <c r="M194" s="3" t="s">
        <v>190</v>
      </c>
      <c r="N194" s="3" t="s">
        <v>49</v>
      </c>
      <c r="O194" s="3" t="s">
        <v>150</v>
      </c>
      <c r="P194" s="3" t="s">
        <v>191</v>
      </c>
      <c r="Q194" s="5" t="n">
        <v>175.84</v>
      </c>
      <c r="R194" s="3" t="n">
        <v>2</v>
      </c>
      <c r="S194" s="6" t="n">
        <v>0</v>
      </c>
      <c r="T194" s="5" t="n">
        <v>-18.88</v>
      </c>
      <c r="U194" s="3" t="str">
        <f aca="false">IF(T194&lt;0,"Loss",IF(T194=0,"Break-even","Profit"))</f>
        <v>Loss</v>
      </c>
      <c r="V194" s="3" t="str">
        <f aca="false">IF(Q194&lt;100,"Low",IF(Q194&lt;=500,"Medium","High"))</f>
        <v>Medium</v>
      </c>
      <c r="W194" s="3" t="n">
        <f aca="false">D194-C194</f>
        <v>0</v>
      </c>
      <c r="X194" s="3" t="str">
        <f aca="false">TEXT(C194,"mmmm")</f>
        <v>May</v>
      </c>
      <c r="Y194" s="3" t="str">
        <f aca="false">LEFT(G194,1)&amp;MID(G194,FIND(" ",G194)+1,1)</f>
        <v>MG</v>
      </c>
    </row>
    <row r="195" customFormat="false" ht="15" hidden="false" customHeight="false" outlineLevel="0" collapsed="false">
      <c r="A195" s="3" t="n">
        <v>194</v>
      </c>
      <c r="B195" s="3" t="s">
        <v>807</v>
      </c>
      <c r="C195" s="4" t="s">
        <v>775</v>
      </c>
      <c r="D195" s="4" t="s">
        <v>801</v>
      </c>
      <c r="E195" s="3" t="s">
        <v>28</v>
      </c>
      <c r="F195" s="3" t="s">
        <v>808</v>
      </c>
      <c r="G195" s="3" t="s">
        <v>809</v>
      </c>
      <c r="H195" s="3" t="s">
        <v>56</v>
      </c>
      <c r="I195" s="3" t="s">
        <v>32</v>
      </c>
      <c r="J195" s="3" t="s">
        <v>315</v>
      </c>
      <c r="K195" s="3" t="s">
        <v>58</v>
      </c>
      <c r="L195" s="3" t="s">
        <v>59</v>
      </c>
      <c r="M195" s="3" t="s">
        <v>470</v>
      </c>
      <c r="N195" s="3" t="s">
        <v>49</v>
      </c>
      <c r="O195" s="3" t="s">
        <v>159</v>
      </c>
      <c r="P195" s="3" t="s">
        <v>471</v>
      </c>
      <c r="Q195" s="5" t="n">
        <v>584.56</v>
      </c>
      <c r="R195" s="3" t="n">
        <v>10</v>
      </c>
      <c r="S195" s="6" t="n">
        <v>0</v>
      </c>
      <c r="T195" s="5" t="n">
        <v>26.19</v>
      </c>
      <c r="U195" s="3" t="str">
        <f aca="false">IF(T195&lt;0,"Loss",IF(T195=0,"Break-even","Profit"))</f>
        <v>Profit</v>
      </c>
      <c r="V195" s="3" t="str">
        <f aca="false">IF(Q195&lt;100,"Low",IF(Q195&lt;=500,"Medium","High"))</f>
        <v>High</v>
      </c>
      <c r="W195" s="3" t="n">
        <f aca="false">D195-C195</f>
        <v>5</v>
      </c>
      <c r="X195" s="3" t="str">
        <f aca="false">TEXT(C195,"mmmm")</f>
        <v>May</v>
      </c>
      <c r="Y195" s="3" t="str">
        <f aca="false">LEFT(G195,1)&amp;MID(G195,FIND(" ",G195)+1,1)</f>
        <v>ET</v>
      </c>
    </row>
    <row r="196" customFormat="false" ht="15" hidden="false" customHeight="false" outlineLevel="0" collapsed="false">
      <c r="A196" s="3" t="n">
        <v>195</v>
      </c>
      <c r="B196" s="3" t="s">
        <v>810</v>
      </c>
      <c r="C196" s="4" t="s">
        <v>795</v>
      </c>
      <c r="D196" s="4" t="s">
        <v>811</v>
      </c>
      <c r="E196" s="3" t="s">
        <v>42</v>
      </c>
      <c r="F196" s="3" t="s">
        <v>812</v>
      </c>
      <c r="G196" s="3" t="s">
        <v>813</v>
      </c>
      <c r="H196" s="3" t="s">
        <v>45</v>
      </c>
      <c r="I196" s="3" t="s">
        <v>32</v>
      </c>
      <c r="J196" s="3" t="s">
        <v>814</v>
      </c>
      <c r="K196" s="3" t="s">
        <v>156</v>
      </c>
      <c r="L196" s="3" t="s">
        <v>157</v>
      </c>
      <c r="M196" s="3" t="s">
        <v>158</v>
      </c>
      <c r="N196" s="3" t="s">
        <v>49</v>
      </c>
      <c r="O196" s="3" t="s">
        <v>159</v>
      </c>
      <c r="P196" s="3" t="s">
        <v>160</v>
      </c>
      <c r="Q196" s="5" t="n">
        <v>181.09</v>
      </c>
      <c r="R196" s="3" t="n">
        <v>9</v>
      </c>
      <c r="S196" s="6" t="n">
        <v>0.1</v>
      </c>
      <c r="T196" s="5" t="n">
        <v>2.48</v>
      </c>
      <c r="U196" s="3" t="str">
        <f aca="false">IF(T196&lt;0,"Loss",IF(T196=0,"Break-even","Profit"))</f>
        <v>Profit</v>
      </c>
      <c r="V196" s="3" t="str">
        <f aca="false">IF(Q196&lt;100,"Low",IF(Q196&lt;=500,"Medium","High"))</f>
        <v>Medium</v>
      </c>
      <c r="W196" s="3" t="n">
        <f aca="false">D196-C196</f>
        <v>1</v>
      </c>
      <c r="X196" s="3" t="str">
        <f aca="false">TEXT(C196,"mmmm")</f>
        <v>May</v>
      </c>
      <c r="Y196" s="3" t="str">
        <f aca="false">LEFT(G196,1)&amp;MID(G196,FIND(" ",G196)+1,1)</f>
        <v>AG</v>
      </c>
    </row>
    <row r="197" customFormat="false" ht="15" hidden="false" customHeight="false" outlineLevel="0" collapsed="false">
      <c r="A197" s="3" t="n">
        <v>196</v>
      </c>
      <c r="B197" s="3" t="s">
        <v>662</v>
      </c>
      <c r="C197" s="4" t="s">
        <v>795</v>
      </c>
      <c r="D197" s="4" t="s">
        <v>815</v>
      </c>
      <c r="E197" s="3" t="s">
        <v>28</v>
      </c>
      <c r="F197" s="3" t="s">
        <v>438</v>
      </c>
      <c r="G197" s="3" t="s">
        <v>439</v>
      </c>
      <c r="H197" s="3" t="s">
        <v>31</v>
      </c>
      <c r="I197" s="3" t="s">
        <v>32</v>
      </c>
      <c r="J197" s="3" t="s">
        <v>104</v>
      </c>
      <c r="K197" s="3" t="s">
        <v>96</v>
      </c>
      <c r="L197" s="3" t="s">
        <v>59</v>
      </c>
      <c r="M197" s="3" t="s">
        <v>114</v>
      </c>
      <c r="N197" s="3" t="s">
        <v>49</v>
      </c>
      <c r="O197" s="3" t="s">
        <v>61</v>
      </c>
      <c r="P197" s="3" t="s">
        <v>115</v>
      </c>
      <c r="Q197" s="5" t="n">
        <v>136.58</v>
      </c>
      <c r="R197" s="3" t="n">
        <v>14</v>
      </c>
      <c r="S197" s="6" t="n">
        <v>0.2</v>
      </c>
      <c r="T197" s="5" t="n">
        <v>-5.55</v>
      </c>
      <c r="U197" s="3" t="str">
        <f aca="false">IF(T197&lt;0,"Loss",IF(T197=0,"Break-even","Profit"))</f>
        <v>Loss</v>
      </c>
      <c r="V197" s="3" t="str">
        <f aca="false">IF(Q197&lt;100,"Low",IF(Q197&lt;=500,"Medium","High"))</f>
        <v>Medium</v>
      </c>
      <c r="W197" s="3" t="n">
        <f aca="false">D197-C197</f>
        <v>7</v>
      </c>
      <c r="X197" s="3" t="str">
        <f aca="false">TEXT(C197,"mmmm")</f>
        <v>May</v>
      </c>
      <c r="Y197" s="3" t="str">
        <f aca="false">LEFT(G197,1)&amp;MID(G197,FIND(" ",G197)+1,1)</f>
        <v>JB</v>
      </c>
    </row>
    <row r="198" customFormat="false" ht="15" hidden="false" customHeight="false" outlineLevel="0" collapsed="false">
      <c r="A198" s="3" t="n">
        <v>197</v>
      </c>
      <c r="B198" s="3" t="s">
        <v>816</v>
      </c>
      <c r="C198" s="4" t="s">
        <v>795</v>
      </c>
      <c r="D198" s="4" t="s">
        <v>801</v>
      </c>
      <c r="E198" s="3" t="s">
        <v>28</v>
      </c>
      <c r="F198" s="3" t="s">
        <v>817</v>
      </c>
      <c r="G198" s="3" t="s">
        <v>818</v>
      </c>
      <c r="H198" s="3" t="s">
        <v>56</v>
      </c>
      <c r="I198" s="3" t="s">
        <v>32</v>
      </c>
      <c r="J198" s="3" t="s">
        <v>737</v>
      </c>
      <c r="K198" s="3" t="s">
        <v>307</v>
      </c>
      <c r="L198" s="3" t="s">
        <v>69</v>
      </c>
      <c r="M198" s="3" t="s">
        <v>259</v>
      </c>
      <c r="N198" s="3" t="s">
        <v>89</v>
      </c>
      <c r="O198" s="3" t="s">
        <v>174</v>
      </c>
      <c r="P198" s="3" t="s">
        <v>260</v>
      </c>
      <c r="Q198" s="5" t="n">
        <v>1625.44</v>
      </c>
      <c r="R198" s="3" t="n">
        <v>6</v>
      </c>
      <c r="S198" s="6" t="n">
        <v>0.1</v>
      </c>
      <c r="T198" s="5" t="n">
        <v>-268.46</v>
      </c>
      <c r="U198" s="3" t="str">
        <f aca="false">IF(T198&lt;0,"Loss",IF(T198=0,"Break-even","Profit"))</f>
        <v>Loss</v>
      </c>
      <c r="V198" s="3" t="str">
        <f aca="false">IF(Q198&lt;100,"Low",IF(Q198&lt;=500,"Medium","High"))</f>
        <v>High</v>
      </c>
      <c r="W198" s="3" t="n">
        <f aca="false">D198-C198</f>
        <v>4</v>
      </c>
      <c r="X198" s="3" t="str">
        <f aca="false">TEXT(C198,"mmmm")</f>
        <v>May</v>
      </c>
      <c r="Y198" s="3" t="str">
        <f aca="false">LEFT(G198,1)&amp;MID(G198,FIND(" ",G198)+1,1)</f>
        <v>ES</v>
      </c>
    </row>
    <row r="199" customFormat="false" ht="15" hidden="false" customHeight="false" outlineLevel="0" collapsed="false">
      <c r="A199" s="3" t="n">
        <v>198</v>
      </c>
      <c r="B199" s="3" t="s">
        <v>819</v>
      </c>
      <c r="C199" s="4" t="s">
        <v>811</v>
      </c>
      <c r="D199" s="4" t="s">
        <v>820</v>
      </c>
      <c r="E199" s="3" t="s">
        <v>28</v>
      </c>
      <c r="F199" s="3" t="s">
        <v>821</v>
      </c>
      <c r="G199" s="3" t="s">
        <v>822</v>
      </c>
      <c r="H199" s="3" t="s">
        <v>45</v>
      </c>
      <c r="I199" s="3" t="s">
        <v>32</v>
      </c>
      <c r="J199" s="3" t="s">
        <v>179</v>
      </c>
      <c r="K199" s="3" t="s">
        <v>47</v>
      </c>
      <c r="L199" s="3" t="s">
        <v>35</v>
      </c>
      <c r="M199" s="3" t="s">
        <v>158</v>
      </c>
      <c r="N199" s="3" t="s">
        <v>49</v>
      </c>
      <c r="O199" s="3" t="s">
        <v>159</v>
      </c>
      <c r="P199" s="3" t="s">
        <v>160</v>
      </c>
      <c r="Q199" s="5" t="n">
        <v>127.42</v>
      </c>
      <c r="R199" s="3" t="n">
        <v>9</v>
      </c>
      <c r="S199" s="6" t="n">
        <v>0</v>
      </c>
      <c r="T199" s="5" t="n">
        <v>-8.13</v>
      </c>
      <c r="U199" s="3" t="str">
        <f aca="false">IF(T199&lt;0,"Loss",IF(T199=0,"Break-even","Profit"))</f>
        <v>Loss</v>
      </c>
      <c r="V199" s="3" t="str">
        <f aca="false">IF(Q199&lt;100,"Low",IF(Q199&lt;=500,"Medium","High"))</f>
        <v>Medium</v>
      </c>
      <c r="W199" s="3" t="n">
        <f aca="false">D199-C199</f>
        <v>4</v>
      </c>
      <c r="X199" s="3" t="str">
        <f aca="false">TEXT(C199,"mmmm")</f>
        <v>May</v>
      </c>
      <c r="Y199" s="3" t="str">
        <f aca="false">LEFT(G199,1)&amp;MID(G199,FIND(" ",G199)+1,1)</f>
        <v>SM</v>
      </c>
    </row>
    <row r="200" customFormat="false" ht="15" hidden="false" customHeight="false" outlineLevel="0" collapsed="false">
      <c r="A200" s="3" t="n">
        <v>199</v>
      </c>
      <c r="B200" s="3" t="s">
        <v>636</v>
      </c>
      <c r="C200" s="4" t="s">
        <v>792</v>
      </c>
      <c r="D200" s="4" t="s">
        <v>803</v>
      </c>
      <c r="E200" s="3" t="s">
        <v>84</v>
      </c>
      <c r="F200" s="3" t="s">
        <v>823</v>
      </c>
      <c r="G200" s="3" t="s">
        <v>824</v>
      </c>
      <c r="H200" s="3" t="s">
        <v>56</v>
      </c>
      <c r="I200" s="3" t="s">
        <v>32</v>
      </c>
      <c r="J200" s="3" t="s">
        <v>87</v>
      </c>
      <c r="K200" s="3" t="s">
        <v>68</v>
      </c>
      <c r="L200" s="3" t="s">
        <v>69</v>
      </c>
      <c r="M200" s="3" t="s">
        <v>60</v>
      </c>
      <c r="N200" s="3" t="s">
        <v>49</v>
      </c>
      <c r="O200" s="3" t="s">
        <v>61</v>
      </c>
      <c r="P200" s="3" t="s">
        <v>62</v>
      </c>
      <c r="Q200" s="5" t="n">
        <v>27.39</v>
      </c>
      <c r="R200" s="3" t="n">
        <v>9</v>
      </c>
      <c r="S200" s="6" t="n">
        <v>0.1</v>
      </c>
      <c r="T200" s="5" t="n">
        <v>-2.2</v>
      </c>
      <c r="U200" s="3" t="str">
        <f aca="false">IF(T200&lt;0,"Loss",IF(T200=0,"Break-even","Profit"))</f>
        <v>Loss</v>
      </c>
      <c r="V200" s="3" t="str">
        <f aca="false">IF(Q200&lt;100,"Low",IF(Q200&lt;=500,"Medium","High"))</f>
        <v>Low</v>
      </c>
      <c r="W200" s="3" t="n">
        <f aca="false">D200-C200</f>
        <v>4</v>
      </c>
      <c r="X200" s="3" t="str">
        <f aca="false">TEXT(C200,"mmmm")</f>
        <v>May</v>
      </c>
      <c r="Y200" s="3" t="str">
        <f aca="false">LEFT(G200,1)&amp;MID(G200,FIND(" ",G200)+1,1)</f>
        <v>JS</v>
      </c>
    </row>
    <row r="201" customFormat="false" ht="15" hidden="false" customHeight="false" outlineLevel="0" collapsed="false">
      <c r="A201" s="3" t="n">
        <v>200</v>
      </c>
      <c r="B201" s="3" t="s">
        <v>825</v>
      </c>
      <c r="C201" s="4" t="s">
        <v>788</v>
      </c>
      <c r="D201" s="4" t="s">
        <v>826</v>
      </c>
      <c r="E201" s="3" t="s">
        <v>28</v>
      </c>
      <c r="F201" s="3" t="s">
        <v>827</v>
      </c>
      <c r="G201" s="3" t="s">
        <v>828</v>
      </c>
      <c r="H201" s="3" t="s">
        <v>31</v>
      </c>
      <c r="I201" s="3" t="s">
        <v>32</v>
      </c>
      <c r="J201" s="3" t="s">
        <v>365</v>
      </c>
      <c r="K201" s="3" t="s">
        <v>366</v>
      </c>
      <c r="L201" s="3" t="s">
        <v>157</v>
      </c>
      <c r="M201" s="3" t="s">
        <v>225</v>
      </c>
      <c r="N201" s="3" t="s">
        <v>37</v>
      </c>
      <c r="O201" s="3" t="s">
        <v>196</v>
      </c>
      <c r="P201" s="3" t="s">
        <v>226</v>
      </c>
      <c r="Q201" s="5" t="n">
        <v>1570.37</v>
      </c>
      <c r="R201" s="3" t="n">
        <v>13</v>
      </c>
      <c r="S201" s="6" t="n">
        <v>0.5</v>
      </c>
      <c r="T201" s="5" t="n">
        <v>222.1</v>
      </c>
      <c r="U201" s="3" t="str">
        <f aca="false">IF(T201&lt;0,"Loss",IF(T201=0,"Break-even","Profit"))</f>
        <v>Profit</v>
      </c>
      <c r="V201" s="3" t="str">
        <f aca="false">IF(Q201&lt;100,"Low",IF(Q201&lt;=500,"Medium","High"))</f>
        <v>High</v>
      </c>
      <c r="W201" s="3" t="n">
        <f aca="false">D201-C201</f>
        <v>5</v>
      </c>
      <c r="X201" s="3" t="str">
        <f aca="false">TEXT(C201,"mmmm")</f>
        <v>May</v>
      </c>
      <c r="Y201" s="3" t="str">
        <f aca="false">LEFT(G201,1)&amp;MID(G201,FIND(" ",G201)+1,1)</f>
        <v>ON</v>
      </c>
    </row>
    <row r="202" customFormat="false" ht="15" hidden="false" customHeight="false" outlineLevel="0" collapsed="false">
      <c r="A202" s="3" t="n">
        <v>201</v>
      </c>
      <c r="B202" s="3" t="s">
        <v>829</v>
      </c>
      <c r="C202" s="4" t="s">
        <v>801</v>
      </c>
      <c r="D202" s="4" t="s">
        <v>803</v>
      </c>
      <c r="E202" s="3" t="s">
        <v>42</v>
      </c>
      <c r="F202" s="3" t="s">
        <v>830</v>
      </c>
      <c r="G202" s="3" t="s">
        <v>831</v>
      </c>
      <c r="H202" s="3" t="s">
        <v>45</v>
      </c>
      <c r="I202" s="3" t="s">
        <v>32</v>
      </c>
      <c r="J202" s="3" t="s">
        <v>299</v>
      </c>
      <c r="K202" s="3" t="s">
        <v>189</v>
      </c>
      <c r="L202" s="3" t="s">
        <v>59</v>
      </c>
      <c r="M202" s="3" t="s">
        <v>253</v>
      </c>
      <c r="N202" s="3" t="s">
        <v>89</v>
      </c>
      <c r="O202" s="3" t="s">
        <v>90</v>
      </c>
      <c r="P202" s="3" t="s">
        <v>254</v>
      </c>
      <c r="Q202" s="5" t="n">
        <v>826.18</v>
      </c>
      <c r="R202" s="3" t="n">
        <v>4</v>
      </c>
      <c r="S202" s="6" t="n">
        <v>0.2</v>
      </c>
      <c r="T202" s="5" t="n">
        <v>71.03</v>
      </c>
      <c r="U202" s="3" t="str">
        <f aca="false">IF(T202&lt;0,"Loss",IF(T202=0,"Break-even","Profit"))</f>
        <v>Profit</v>
      </c>
      <c r="V202" s="3" t="str">
        <f aca="false">IF(Q202&lt;100,"Low",IF(Q202&lt;=500,"Medium","High"))</f>
        <v>High</v>
      </c>
      <c r="W202" s="3" t="n">
        <f aca="false">D202-C202</f>
        <v>2</v>
      </c>
      <c r="X202" s="3" t="str">
        <f aca="false">TEXT(C202,"mmmm")</f>
        <v>May</v>
      </c>
      <c r="Y202" s="3" t="str">
        <f aca="false">LEFT(G202,1)&amp;MID(G202,FIND(" ",G202)+1,1)</f>
        <v>WM</v>
      </c>
    </row>
    <row r="203" customFormat="false" ht="15" hidden="false" customHeight="false" outlineLevel="0" collapsed="false">
      <c r="A203" s="3" t="n">
        <v>202</v>
      </c>
      <c r="B203" s="3" t="s">
        <v>832</v>
      </c>
      <c r="C203" s="4" t="s">
        <v>820</v>
      </c>
      <c r="D203" s="4" t="s">
        <v>833</v>
      </c>
      <c r="E203" s="3" t="s">
        <v>28</v>
      </c>
      <c r="F203" s="3" t="s">
        <v>720</v>
      </c>
      <c r="G203" s="3" t="s">
        <v>721</v>
      </c>
      <c r="H203" s="3" t="s">
        <v>45</v>
      </c>
      <c r="I203" s="3" t="s">
        <v>32</v>
      </c>
      <c r="J203" s="3" t="s">
        <v>120</v>
      </c>
      <c r="K203" s="3" t="s">
        <v>113</v>
      </c>
      <c r="L203" s="3" t="s">
        <v>69</v>
      </c>
      <c r="M203" s="3" t="s">
        <v>36</v>
      </c>
      <c r="N203" s="3" t="s">
        <v>37</v>
      </c>
      <c r="O203" s="3" t="s">
        <v>38</v>
      </c>
      <c r="P203" s="3" t="s">
        <v>39</v>
      </c>
      <c r="Q203" s="5" t="n">
        <v>3331.64</v>
      </c>
      <c r="R203" s="3" t="n">
        <v>9</v>
      </c>
      <c r="S203" s="6" t="n">
        <v>0</v>
      </c>
      <c r="T203" s="5" t="n">
        <v>289.7</v>
      </c>
      <c r="U203" s="3" t="str">
        <f aca="false">IF(T203&lt;0,"Loss",IF(T203=0,"Break-even","Profit"))</f>
        <v>Profit</v>
      </c>
      <c r="V203" s="3" t="str">
        <f aca="false">IF(Q203&lt;100,"Low",IF(Q203&lt;=500,"Medium","High"))</f>
        <v>High</v>
      </c>
      <c r="W203" s="3" t="n">
        <f aca="false">D203-C203</f>
        <v>5</v>
      </c>
      <c r="X203" s="3" t="str">
        <f aca="false">TEXT(C203,"mmmm")</f>
        <v>May</v>
      </c>
      <c r="Y203" s="3" t="str">
        <f aca="false">LEFT(G203,1)&amp;MID(G203,FIND(" ",G203)+1,1)</f>
        <v>LJ</v>
      </c>
    </row>
    <row r="204" customFormat="false" ht="15" hidden="false" customHeight="false" outlineLevel="0" collapsed="false">
      <c r="A204" s="3" t="n">
        <v>203</v>
      </c>
      <c r="B204" s="3" t="s">
        <v>834</v>
      </c>
      <c r="C204" s="4" t="s">
        <v>820</v>
      </c>
      <c r="D204" s="4" t="s">
        <v>820</v>
      </c>
      <c r="E204" s="3" t="s">
        <v>53</v>
      </c>
      <c r="F204" s="3" t="s">
        <v>835</v>
      </c>
      <c r="G204" s="3" t="s">
        <v>836</v>
      </c>
      <c r="H204" s="3" t="s">
        <v>45</v>
      </c>
      <c r="I204" s="3" t="s">
        <v>32</v>
      </c>
      <c r="J204" s="3" t="s">
        <v>120</v>
      </c>
      <c r="K204" s="3" t="s">
        <v>113</v>
      </c>
      <c r="L204" s="3" t="s">
        <v>69</v>
      </c>
      <c r="M204" s="3" t="s">
        <v>173</v>
      </c>
      <c r="N204" s="3" t="s">
        <v>89</v>
      </c>
      <c r="O204" s="3" t="s">
        <v>174</v>
      </c>
      <c r="P204" s="3" t="s">
        <v>175</v>
      </c>
      <c r="Q204" s="5" t="n">
        <v>851.53</v>
      </c>
      <c r="R204" s="3" t="n">
        <v>5</v>
      </c>
      <c r="S204" s="6" t="n">
        <v>0.2</v>
      </c>
      <c r="T204" s="5" t="n">
        <v>-92.08</v>
      </c>
      <c r="U204" s="3" t="str">
        <f aca="false">IF(T204&lt;0,"Loss",IF(T204=0,"Break-even","Profit"))</f>
        <v>Loss</v>
      </c>
      <c r="V204" s="3" t="str">
        <f aca="false">IF(Q204&lt;100,"Low",IF(Q204&lt;=500,"Medium","High"))</f>
        <v>High</v>
      </c>
      <c r="W204" s="3" t="n">
        <f aca="false">D204-C204</f>
        <v>0</v>
      </c>
      <c r="X204" s="3" t="str">
        <f aca="false">TEXT(C204,"mmmm")</f>
        <v>May</v>
      </c>
      <c r="Y204" s="3" t="str">
        <f aca="false">LEFT(G204,1)&amp;MID(G204,FIND(" ",G204)+1,1)</f>
        <v>AN</v>
      </c>
    </row>
    <row r="205" customFormat="false" ht="15" hidden="false" customHeight="false" outlineLevel="0" collapsed="false">
      <c r="A205" s="3" t="n">
        <v>204</v>
      </c>
      <c r="B205" s="3" t="s">
        <v>837</v>
      </c>
      <c r="C205" s="4" t="s">
        <v>803</v>
      </c>
      <c r="D205" s="4" t="s">
        <v>838</v>
      </c>
      <c r="E205" s="3" t="s">
        <v>28</v>
      </c>
      <c r="F205" s="3" t="s">
        <v>839</v>
      </c>
      <c r="G205" s="3" t="s">
        <v>840</v>
      </c>
      <c r="H205" s="3" t="s">
        <v>45</v>
      </c>
      <c r="I205" s="3" t="s">
        <v>32</v>
      </c>
      <c r="J205" s="3" t="s">
        <v>148</v>
      </c>
      <c r="K205" s="3" t="s">
        <v>78</v>
      </c>
      <c r="L205" s="3" t="s">
        <v>59</v>
      </c>
      <c r="M205" s="3" t="s">
        <v>190</v>
      </c>
      <c r="N205" s="3" t="s">
        <v>49</v>
      </c>
      <c r="O205" s="3" t="s">
        <v>150</v>
      </c>
      <c r="P205" s="3" t="s">
        <v>191</v>
      </c>
      <c r="Q205" s="5" t="n">
        <v>104.08</v>
      </c>
      <c r="R205" s="3" t="n">
        <v>11</v>
      </c>
      <c r="S205" s="6" t="n">
        <v>0</v>
      </c>
      <c r="T205" s="5" t="n">
        <v>26.95</v>
      </c>
      <c r="U205" s="3" t="str">
        <f aca="false">IF(T205&lt;0,"Loss",IF(T205=0,"Break-even","Profit"))</f>
        <v>Profit</v>
      </c>
      <c r="V205" s="3" t="str">
        <f aca="false">IF(Q205&lt;100,"Low",IF(Q205&lt;=500,"Medium","High"))</f>
        <v>Medium</v>
      </c>
      <c r="W205" s="3" t="n">
        <f aca="false">D205-C205</f>
        <v>6</v>
      </c>
      <c r="X205" s="3" t="str">
        <f aca="false">TEXT(C205,"mmmm")</f>
        <v>May</v>
      </c>
      <c r="Y205" s="3" t="str">
        <f aca="false">LEFT(G205,1)&amp;MID(G205,FIND(" ",G205)+1,1)</f>
        <v>FS</v>
      </c>
    </row>
    <row r="206" customFormat="false" ht="15" hidden="false" customHeight="false" outlineLevel="0" collapsed="false">
      <c r="A206" s="3" t="n">
        <v>205</v>
      </c>
      <c r="B206" s="3" t="s">
        <v>841</v>
      </c>
      <c r="C206" s="4" t="s">
        <v>815</v>
      </c>
      <c r="D206" s="4" t="s">
        <v>842</v>
      </c>
      <c r="E206" s="3" t="s">
        <v>42</v>
      </c>
      <c r="F206" s="3" t="s">
        <v>665</v>
      </c>
      <c r="G206" s="3" t="s">
        <v>666</v>
      </c>
      <c r="H206" s="3" t="s">
        <v>56</v>
      </c>
      <c r="I206" s="3" t="s">
        <v>32</v>
      </c>
      <c r="J206" s="3" t="s">
        <v>679</v>
      </c>
      <c r="K206" s="3" t="s">
        <v>202</v>
      </c>
      <c r="L206" s="3" t="s">
        <v>35</v>
      </c>
      <c r="M206" s="3" t="s">
        <v>559</v>
      </c>
      <c r="N206" s="3" t="s">
        <v>37</v>
      </c>
      <c r="O206" s="3" t="s">
        <v>38</v>
      </c>
      <c r="P206" s="3" t="s">
        <v>560</v>
      </c>
      <c r="Q206" s="5" t="n">
        <v>1946.75</v>
      </c>
      <c r="R206" s="3" t="n">
        <v>11</v>
      </c>
      <c r="S206" s="6" t="n">
        <v>0</v>
      </c>
      <c r="T206" s="5" t="n">
        <v>504.31</v>
      </c>
      <c r="U206" s="3" t="str">
        <f aca="false">IF(T206&lt;0,"Loss",IF(T206=0,"Break-even","Profit"))</f>
        <v>Profit</v>
      </c>
      <c r="V206" s="3" t="str">
        <f aca="false">IF(Q206&lt;100,"Low",IF(Q206&lt;=500,"Medium","High"))</f>
        <v>High</v>
      </c>
      <c r="W206" s="3" t="n">
        <f aca="false">D206-C206</f>
        <v>2</v>
      </c>
      <c r="X206" s="3" t="str">
        <f aca="false">TEXT(C206,"mmmm")</f>
        <v>May</v>
      </c>
      <c r="Y206" s="3" t="str">
        <f aca="false">LEFT(G206,1)&amp;MID(G206,FIND(" ",G206)+1,1)</f>
        <v>EM</v>
      </c>
    </row>
    <row r="207" customFormat="false" ht="15" hidden="false" customHeight="false" outlineLevel="0" collapsed="false">
      <c r="A207" s="3" t="n">
        <v>206</v>
      </c>
      <c r="B207" s="3" t="s">
        <v>843</v>
      </c>
      <c r="C207" s="4" t="s">
        <v>815</v>
      </c>
      <c r="D207" s="4" t="s">
        <v>833</v>
      </c>
      <c r="E207" s="3" t="s">
        <v>84</v>
      </c>
      <c r="F207" s="3" t="s">
        <v>844</v>
      </c>
      <c r="G207" s="3" t="s">
        <v>845</v>
      </c>
      <c r="H207" s="3" t="s">
        <v>45</v>
      </c>
      <c r="I207" s="3" t="s">
        <v>32</v>
      </c>
      <c r="J207" s="3" t="s">
        <v>57</v>
      </c>
      <c r="K207" s="3" t="s">
        <v>58</v>
      </c>
      <c r="L207" s="3" t="s">
        <v>59</v>
      </c>
      <c r="M207" s="3" t="s">
        <v>420</v>
      </c>
      <c r="N207" s="3" t="s">
        <v>49</v>
      </c>
      <c r="O207" s="3" t="s">
        <v>80</v>
      </c>
      <c r="P207" s="3" t="s">
        <v>421</v>
      </c>
      <c r="Q207" s="5" t="n">
        <v>519.8</v>
      </c>
      <c r="R207" s="3" t="n">
        <v>6</v>
      </c>
      <c r="S207" s="6" t="n">
        <v>0</v>
      </c>
      <c r="T207" s="5" t="n">
        <v>-67.18</v>
      </c>
      <c r="U207" s="3" t="str">
        <f aca="false">IF(T207&lt;0,"Loss",IF(T207=0,"Break-even","Profit"))</f>
        <v>Loss</v>
      </c>
      <c r="V207" s="3" t="str">
        <f aca="false">IF(Q207&lt;100,"Low",IF(Q207&lt;=500,"Medium","High"))</f>
        <v>High</v>
      </c>
      <c r="W207" s="3" t="n">
        <f aca="false">D207-C207</f>
        <v>3</v>
      </c>
      <c r="X207" s="3" t="str">
        <f aca="false">TEXT(C207,"mmmm")</f>
        <v>May</v>
      </c>
      <c r="Y207" s="3" t="str">
        <f aca="false">LEFT(G207,1)&amp;MID(G207,FIND(" ",G207)+1,1)</f>
        <v>AJ</v>
      </c>
    </row>
    <row r="208" customFormat="false" ht="15" hidden="false" customHeight="false" outlineLevel="0" collapsed="false">
      <c r="A208" s="3" t="n">
        <v>207</v>
      </c>
      <c r="B208" s="3" t="s">
        <v>846</v>
      </c>
      <c r="C208" s="4" t="s">
        <v>826</v>
      </c>
      <c r="D208" s="4" t="s">
        <v>847</v>
      </c>
      <c r="E208" s="3" t="s">
        <v>28</v>
      </c>
      <c r="F208" s="3" t="s">
        <v>848</v>
      </c>
      <c r="G208" s="3" t="s">
        <v>849</v>
      </c>
      <c r="H208" s="3" t="s">
        <v>56</v>
      </c>
      <c r="I208" s="3" t="s">
        <v>32</v>
      </c>
      <c r="J208" s="3" t="s">
        <v>299</v>
      </c>
      <c r="K208" s="3" t="s">
        <v>189</v>
      </c>
      <c r="L208" s="3" t="s">
        <v>59</v>
      </c>
      <c r="M208" s="3" t="s">
        <v>461</v>
      </c>
      <c r="N208" s="3" t="s">
        <v>37</v>
      </c>
      <c r="O208" s="3" t="s">
        <v>71</v>
      </c>
      <c r="P208" s="3" t="s">
        <v>462</v>
      </c>
      <c r="Q208" s="5" t="n">
        <v>19018.84</v>
      </c>
      <c r="R208" s="3" t="n">
        <v>13</v>
      </c>
      <c r="S208" s="6" t="n">
        <v>0</v>
      </c>
      <c r="T208" s="5" t="n">
        <v>-1074.6</v>
      </c>
      <c r="U208" s="3" t="str">
        <f aca="false">IF(T208&lt;0,"Loss",IF(T208=0,"Break-even","Profit"))</f>
        <v>Loss</v>
      </c>
      <c r="V208" s="3" t="str">
        <f aca="false">IF(Q208&lt;100,"Low",IF(Q208&lt;=500,"Medium","High"))</f>
        <v>High</v>
      </c>
      <c r="W208" s="3" t="n">
        <f aca="false">D208-C208</f>
        <v>5</v>
      </c>
      <c r="X208" s="3" t="str">
        <f aca="false">TEXT(C208,"mmmm")</f>
        <v>May</v>
      </c>
      <c r="Y208" s="3" t="str">
        <f aca="false">LEFT(G208,1)&amp;MID(G208,FIND(" ",G208)+1,1)</f>
        <v>JS</v>
      </c>
    </row>
    <row r="209" customFormat="false" ht="15" hidden="false" customHeight="false" outlineLevel="0" collapsed="false">
      <c r="A209" s="3" t="n">
        <v>208</v>
      </c>
      <c r="B209" s="3" t="s">
        <v>850</v>
      </c>
      <c r="C209" s="4" t="s">
        <v>842</v>
      </c>
      <c r="D209" s="4" t="s">
        <v>847</v>
      </c>
      <c r="E209" s="3" t="s">
        <v>28</v>
      </c>
      <c r="F209" s="3" t="s">
        <v>851</v>
      </c>
      <c r="G209" s="3" t="s">
        <v>852</v>
      </c>
      <c r="H209" s="3" t="s">
        <v>56</v>
      </c>
      <c r="I209" s="3" t="s">
        <v>32</v>
      </c>
      <c r="J209" s="3" t="s">
        <v>215</v>
      </c>
      <c r="K209" s="3" t="s">
        <v>34</v>
      </c>
      <c r="L209" s="3" t="s">
        <v>35</v>
      </c>
      <c r="M209" s="3" t="s">
        <v>173</v>
      </c>
      <c r="N209" s="3" t="s">
        <v>89</v>
      </c>
      <c r="O209" s="3" t="s">
        <v>174</v>
      </c>
      <c r="P209" s="3" t="s">
        <v>175</v>
      </c>
      <c r="Q209" s="5" t="n">
        <v>4044.74</v>
      </c>
      <c r="R209" s="3" t="n">
        <v>14</v>
      </c>
      <c r="S209" s="6" t="n">
        <v>0.4</v>
      </c>
      <c r="T209" s="5" t="n">
        <v>-1288.98</v>
      </c>
      <c r="U209" s="3" t="str">
        <f aca="false">IF(T209&lt;0,"Loss",IF(T209=0,"Break-even","Profit"))</f>
        <v>Loss</v>
      </c>
      <c r="V209" s="3" t="str">
        <f aca="false">IF(Q209&lt;100,"Low",IF(Q209&lt;=500,"Medium","High"))</f>
        <v>High</v>
      </c>
      <c r="W209" s="3" t="n">
        <f aca="false">D209-C209</f>
        <v>4</v>
      </c>
      <c r="X209" s="3" t="str">
        <f aca="false">TEXT(C209,"mmmm")</f>
        <v>May</v>
      </c>
      <c r="Y209" s="3" t="str">
        <f aca="false">LEFT(G209,1)&amp;MID(G209,FIND(" ",G209)+1,1)</f>
        <v>AT</v>
      </c>
    </row>
    <row r="210" customFormat="false" ht="15" hidden="false" customHeight="false" outlineLevel="0" collapsed="false">
      <c r="A210" s="3" t="n">
        <v>209</v>
      </c>
      <c r="B210" s="3" t="s">
        <v>853</v>
      </c>
      <c r="C210" s="4" t="s">
        <v>842</v>
      </c>
      <c r="D210" s="4" t="s">
        <v>847</v>
      </c>
      <c r="E210" s="3" t="s">
        <v>28</v>
      </c>
      <c r="F210" s="3" t="s">
        <v>854</v>
      </c>
      <c r="G210" s="3" t="s">
        <v>855</v>
      </c>
      <c r="H210" s="3" t="s">
        <v>56</v>
      </c>
      <c r="I210" s="3" t="s">
        <v>32</v>
      </c>
      <c r="J210" s="3" t="s">
        <v>57</v>
      </c>
      <c r="K210" s="3" t="s">
        <v>58</v>
      </c>
      <c r="L210" s="3" t="s">
        <v>59</v>
      </c>
      <c r="M210" s="3" t="s">
        <v>190</v>
      </c>
      <c r="N210" s="3" t="s">
        <v>49</v>
      </c>
      <c r="O210" s="3" t="s">
        <v>150</v>
      </c>
      <c r="P210" s="3" t="s">
        <v>191</v>
      </c>
      <c r="Q210" s="5" t="n">
        <v>176.78</v>
      </c>
      <c r="R210" s="3" t="n">
        <v>3</v>
      </c>
      <c r="S210" s="6" t="n">
        <v>0</v>
      </c>
      <c r="T210" s="5" t="n">
        <v>41.12</v>
      </c>
      <c r="U210" s="3" t="str">
        <f aca="false">IF(T210&lt;0,"Loss",IF(T210=0,"Break-even","Profit"))</f>
        <v>Profit</v>
      </c>
      <c r="V210" s="3" t="str">
        <f aca="false">IF(Q210&lt;100,"Low",IF(Q210&lt;=500,"Medium","High"))</f>
        <v>Medium</v>
      </c>
      <c r="W210" s="3" t="n">
        <f aca="false">D210-C210</f>
        <v>4</v>
      </c>
      <c r="X210" s="3" t="str">
        <f aca="false">TEXT(C210,"mmmm")</f>
        <v>May</v>
      </c>
      <c r="Y210" s="3" t="str">
        <f aca="false">LEFT(G210,1)&amp;MID(G210,FIND(" ",G210)+1,1)</f>
        <v>JM</v>
      </c>
    </row>
    <row r="211" customFormat="false" ht="15" hidden="false" customHeight="false" outlineLevel="0" collapsed="false">
      <c r="A211" s="3" t="n">
        <v>210</v>
      </c>
      <c r="B211" s="3" t="s">
        <v>856</v>
      </c>
      <c r="C211" s="4" t="s">
        <v>833</v>
      </c>
      <c r="D211" s="4" t="s">
        <v>857</v>
      </c>
      <c r="E211" s="3" t="s">
        <v>28</v>
      </c>
      <c r="F211" s="3" t="s">
        <v>342</v>
      </c>
      <c r="G211" s="3" t="s">
        <v>343</v>
      </c>
      <c r="H211" s="3" t="s">
        <v>56</v>
      </c>
      <c r="I211" s="3" t="s">
        <v>32</v>
      </c>
      <c r="J211" s="3" t="s">
        <v>208</v>
      </c>
      <c r="K211" s="3" t="s">
        <v>134</v>
      </c>
      <c r="L211" s="3" t="s">
        <v>69</v>
      </c>
      <c r="M211" s="3" t="s">
        <v>559</v>
      </c>
      <c r="N211" s="3" t="s">
        <v>37</v>
      </c>
      <c r="O211" s="3" t="s">
        <v>38</v>
      </c>
      <c r="P211" s="3" t="s">
        <v>560</v>
      </c>
      <c r="Q211" s="5" t="n">
        <v>22567.9</v>
      </c>
      <c r="R211" s="3" t="n">
        <v>14</v>
      </c>
      <c r="S211" s="6" t="n">
        <v>0.3</v>
      </c>
      <c r="T211" s="5" t="n">
        <v>166.2</v>
      </c>
      <c r="U211" s="3" t="str">
        <f aca="false">IF(T211&lt;0,"Loss",IF(T211=0,"Break-even","Profit"))</f>
        <v>Profit</v>
      </c>
      <c r="V211" s="3" t="str">
        <f aca="false">IF(Q211&lt;100,"Low",IF(Q211&lt;=500,"Medium","High"))</f>
        <v>High</v>
      </c>
      <c r="W211" s="3" t="n">
        <f aca="false">D211-C211</f>
        <v>7</v>
      </c>
      <c r="X211" s="3" t="str">
        <f aca="false">TEXT(C211,"mmmm")</f>
        <v>May</v>
      </c>
      <c r="Y211" s="3" t="str">
        <f aca="false">LEFT(G211,1)&amp;MID(G211,FIND(" ",G211)+1,1)</f>
        <v>JN</v>
      </c>
    </row>
    <row r="212" customFormat="false" ht="15" hidden="false" customHeight="false" outlineLevel="0" collapsed="false">
      <c r="A212" s="3" t="n">
        <v>211</v>
      </c>
      <c r="B212" s="3" t="s">
        <v>858</v>
      </c>
      <c r="C212" s="4" t="s">
        <v>859</v>
      </c>
      <c r="D212" s="4" t="s">
        <v>860</v>
      </c>
      <c r="E212" s="3" t="s">
        <v>28</v>
      </c>
      <c r="F212" s="3" t="s">
        <v>768</v>
      </c>
      <c r="G212" s="3" t="s">
        <v>769</v>
      </c>
      <c r="H212" s="3" t="s">
        <v>56</v>
      </c>
      <c r="I212" s="3" t="s">
        <v>32</v>
      </c>
      <c r="J212" s="3" t="s">
        <v>67</v>
      </c>
      <c r="K212" s="3" t="s">
        <v>68</v>
      </c>
      <c r="L212" s="3" t="s">
        <v>69</v>
      </c>
      <c r="M212" s="3" t="s">
        <v>559</v>
      </c>
      <c r="N212" s="3" t="s">
        <v>37</v>
      </c>
      <c r="O212" s="3" t="s">
        <v>38</v>
      </c>
      <c r="P212" s="3" t="s">
        <v>560</v>
      </c>
      <c r="Q212" s="5" t="n">
        <v>1161.87</v>
      </c>
      <c r="R212" s="3" t="n">
        <v>5</v>
      </c>
      <c r="S212" s="6" t="n">
        <v>0.4</v>
      </c>
      <c r="T212" s="5" t="n">
        <v>-354.75</v>
      </c>
      <c r="U212" s="3" t="str">
        <f aca="false">IF(T212&lt;0,"Loss",IF(T212=0,"Break-even","Profit"))</f>
        <v>Loss</v>
      </c>
      <c r="V212" s="3" t="str">
        <f aca="false">IF(Q212&lt;100,"Low",IF(Q212&lt;=500,"Medium","High"))</f>
        <v>High</v>
      </c>
      <c r="W212" s="3" t="n">
        <f aca="false">D212-C212</f>
        <v>5</v>
      </c>
      <c r="X212" s="3" t="str">
        <f aca="false">TEXT(C212,"mmmm")</f>
        <v>May</v>
      </c>
      <c r="Y212" s="3" t="str">
        <f aca="false">LEFT(G212,1)&amp;MID(G212,FIND(" ",G212)+1,1)</f>
        <v>OC</v>
      </c>
    </row>
    <row r="213" customFormat="false" ht="15" hidden="false" customHeight="false" outlineLevel="0" collapsed="false">
      <c r="A213" s="3" t="n">
        <v>212</v>
      </c>
      <c r="B213" s="3" t="s">
        <v>861</v>
      </c>
      <c r="C213" s="4" t="s">
        <v>859</v>
      </c>
      <c r="D213" s="4" t="s">
        <v>857</v>
      </c>
      <c r="E213" s="3" t="s">
        <v>28</v>
      </c>
      <c r="F213" s="3" t="s">
        <v>862</v>
      </c>
      <c r="G213" s="3" t="s">
        <v>863</v>
      </c>
      <c r="H213" s="3" t="s">
        <v>45</v>
      </c>
      <c r="I213" s="3" t="s">
        <v>32</v>
      </c>
      <c r="J213" s="3" t="s">
        <v>77</v>
      </c>
      <c r="K213" s="3" t="s">
        <v>78</v>
      </c>
      <c r="L213" s="3" t="s">
        <v>59</v>
      </c>
      <c r="M213" s="3" t="s">
        <v>447</v>
      </c>
      <c r="N213" s="3" t="s">
        <v>89</v>
      </c>
      <c r="O213" s="3" t="s">
        <v>323</v>
      </c>
      <c r="P213" s="3" t="s">
        <v>448</v>
      </c>
      <c r="Q213" s="5" t="n">
        <v>11230.06</v>
      </c>
      <c r="R213" s="3" t="n">
        <v>13</v>
      </c>
      <c r="S213" s="6" t="n">
        <v>0</v>
      </c>
      <c r="T213" s="5" t="n">
        <v>2908.61</v>
      </c>
      <c r="U213" s="3" t="str">
        <f aca="false">IF(T213&lt;0,"Loss",IF(T213=0,"Break-even","Profit"))</f>
        <v>Profit</v>
      </c>
      <c r="V213" s="3" t="str">
        <f aca="false">IF(Q213&lt;100,"Low",IF(Q213&lt;=500,"Medium","High"))</f>
        <v>High</v>
      </c>
      <c r="W213" s="3" t="n">
        <f aca="false">D213-C213</f>
        <v>6</v>
      </c>
      <c r="X213" s="3" t="str">
        <f aca="false">TEXT(C213,"mmmm")</f>
        <v>May</v>
      </c>
      <c r="Y213" s="3" t="str">
        <f aca="false">LEFT(G213,1)&amp;MID(G213,FIND(" ",G213)+1,1)</f>
        <v>LG</v>
      </c>
    </row>
    <row r="214" customFormat="false" ht="15" hidden="false" customHeight="false" outlineLevel="0" collapsed="false">
      <c r="A214" s="3" t="n">
        <v>213</v>
      </c>
      <c r="B214" s="3" t="s">
        <v>864</v>
      </c>
      <c r="C214" s="4" t="s">
        <v>859</v>
      </c>
      <c r="D214" s="4" t="s">
        <v>847</v>
      </c>
      <c r="E214" s="3" t="s">
        <v>42</v>
      </c>
      <c r="F214" s="3" t="s">
        <v>865</v>
      </c>
      <c r="G214" s="3" t="s">
        <v>866</v>
      </c>
      <c r="H214" s="3" t="s">
        <v>56</v>
      </c>
      <c r="I214" s="3" t="s">
        <v>32</v>
      </c>
      <c r="J214" s="3" t="s">
        <v>285</v>
      </c>
      <c r="K214" s="3" t="s">
        <v>202</v>
      </c>
      <c r="L214" s="3" t="s">
        <v>35</v>
      </c>
      <c r="M214" s="3" t="s">
        <v>290</v>
      </c>
      <c r="N214" s="3" t="s">
        <v>37</v>
      </c>
      <c r="O214" s="3" t="s">
        <v>38</v>
      </c>
      <c r="P214" s="3" t="s">
        <v>291</v>
      </c>
      <c r="Q214" s="5" t="n">
        <v>2870.81</v>
      </c>
      <c r="R214" s="3" t="n">
        <v>7</v>
      </c>
      <c r="S214" s="6" t="n">
        <v>0.2</v>
      </c>
      <c r="T214" s="5" t="n">
        <v>33.95</v>
      </c>
      <c r="U214" s="3" t="str">
        <f aca="false">IF(T214&lt;0,"Loss",IF(T214=0,"Break-even","Profit"))</f>
        <v>Profit</v>
      </c>
      <c r="V214" s="3" t="str">
        <f aca="false">IF(Q214&lt;100,"Low",IF(Q214&lt;=500,"Medium","High"))</f>
        <v>High</v>
      </c>
      <c r="W214" s="3" t="n">
        <f aca="false">D214-C214</f>
        <v>2</v>
      </c>
      <c r="X214" s="3" t="str">
        <f aca="false">TEXT(C214,"mmmm")</f>
        <v>May</v>
      </c>
      <c r="Y214" s="3" t="str">
        <f aca="false">LEFT(G214,1)&amp;MID(G214,FIND(" ",G214)+1,1)</f>
        <v>MJ</v>
      </c>
    </row>
    <row r="215" customFormat="false" ht="15" hidden="false" customHeight="false" outlineLevel="0" collapsed="false">
      <c r="A215" s="3" t="n">
        <v>214</v>
      </c>
      <c r="B215" s="3" t="s">
        <v>498</v>
      </c>
      <c r="C215" s="4" t="s">
        <v>838</v>
      </c>
      <c r="D215" s="4" t="s">
        <v>867</v>
      </c>
      <c r="E215" s="3" t="s">
        <v>28</v>
      </c>
      <c r="F215" s="3" t="s">
        <v>868</v>
      </c>
      <c r="G215" s="3" t="s">
        <v>869</v>
      </c>
      <c r="H215" s="3" t="s">
        <v>45</v>
      </c>
      <c r="I215" s="3" t="s">
        <v>32</v>
      </c>
      <c r="J215" s="3" t="s">
        <v>120</v>
      </c>
      <c r="K215" s="3" t="s">
        <v>113</v>
      </c>
      <c r="L215" s="3" t="s">
        <v>69</v>
      </c>
      <c r="M215" s="3" t="s">
        <v>683</v>
      </c>
      <c r="N215" s="3" t="s">
        <v>37</v>
      </c>
      <c r="O215" s="3" t="s">
        <v>136</v>
      </c>
      <c r="P215" s="3" t="s">
        <v>684</v>
      </c>
      <c r="Q215" s="5" t="n">
        <v>4965.67</v>
      </c>
      <c r="R215" s="3" t="n">
        <v>7</v>
      </c>
      <c r="S215" s="6" t="n">
        <v>0</v>
      </c>
      <c r="T215" s="5" t="n">
        <v>1638.17</v>
      </c>
      <c r="U215" s="3" t="str">
        <f aca="false">IF(T215&lt;0,"Loss",IF(T215=0,"Break-even","Profit"))</f>
        <v>Profit</v>
      </c>
      <c r="V215" s="3" t="str">
        <f aca="false">IF(Q215&lt;100,"Low",IF(Q215&lt;=500,"Medium","High"))</f>
        <v>High</v>
      </c>
      <c r="W215" s="3" t="n">
        <f aca="false">D215-C215</f>
        <v>6</v>
      </c>
      <c r="X215" s="3" t="str">
        <f aca="false">TEXT(C215,"mmmm")</f>
        <v>May</v>
      </c>
      <c r="Y215" s="3" t="str">
        <f aca="false">LEFT(G215,1)&amp;MID(G215,FIND(" ",G215)+1,1)</f>
        <v>JG</v>
      </c>
    </row>
    <row r="216" customFormat="false" ht="15" hidden="false" customHeight="false" outlineLevel="0" collapsed="false">
      <c r="A216" s="3" t="n">
        <v>215</v>
      </c>
      <c r="B216" s="3" t="s">
        <v>870</v>
      </c>
      <c r="C216" s="4" t="s">
        <v>838</v>
      </c>
      <c r="D216" s="4" t="s">
        <v>857</v>
      </c>
      <c r="E216" s="3" t="s">
        <v>28</v>
      </c>
      <c r="F216" s="3" t="s">
        <v>871</v>
      </c>
      <c r="G216" s="3" t="s">
        <v>872</v>
      </c>
      <c r="H216" s="3" t="s">
        <v>31</v>
      </c>
      <c r="I216" s="3" t="s">
        <v>32</v>
      </c>
      <c r="J216" s="3" t="s">
        <v>873</v>
      </c>
      <c r="K216" s="3" t="s">
        <v>387</v>
      </c>
      <c r="L216" s="3" t="s">
        <v>35</v>
      </c>
      <c r="M216" s="3" t="s">
        <v>60</v>
      </c>
      <c r="N216" s="3" t="s">
        <v>49</v>
      </c>
      <c r="O216" s="3" t="s">
        <v>61</v>
      </c>
      <c r="P216" s="3" t="s">
        <v>62</v>
      </c>
      <c r="Q216" s="5" t="n">
        <v>324.68</v>
      </c>
      <c r="R216" s="3" t="n">
        <v>10</v>
      </c>
      <c r="S216" s="6" t="n">
        <v>0.5</v>
      </c>
      <c r="T216" s="5" t="n">
        <v>54.26</v>
      </c>
      <c r="U216" s="3" t="str">
        <f aca="false">IF(T216&lt;0,"Loss",IF(T216=0,"Break-even","Profit"))</f>
        <v>Profit</v>
      </c>
      <c r="V216" s="3" t="str">
        <f aca="false">IF(Q216&lt;100,"Low",IF(Q216&lt;=500,"Medium","High"))</f>
        <v>Medium</v>
      </c>
      <c r="W216" s="3" t="n">
        <f aca="false">D216-C216</f>
        <v>5</v>
      </c>
      <c r="X216" s="3" t="str">
        <f aca="false">TEXT(C216,"mmmm")</f>
        <v>May</v>
      </c>
      <c r="Y216" s="3" t="str">
        <f aca="false">LEFT(G216,1)&amp;MID(G216,FIND(" ",G216)+1,1)</f>
        <v>MM</v>
      </c>
    </row>
    <row r="217" customFormat="false" ht="15" hidden="false" customHeight="false" outlineLevel="0" collapsed="false">
      <c r="A217" s="3" t="n">
        <v>216</v>
      </c>
      <c r="B217" s="3" t="s">
        <v>874</v>
      </c>
      <c r="C217" s="4" t="s">
        <v>847</v>
      </c>
      <c r="D217" s="4" t="s">
        <v>875</v>
      </c>
      <c r="E217" s="3" t="s">
        <v>28</v>
      </c>
      <c r="F217" s="3" t="s">
        <v>614</v>
      </c>
      <c r="G217" s="3" t="s">
        <v>615</v>
      </c>
      <c r="H217" s="3" t="s">
        <v>56</v>
      </c>
      <c r="I217" s="3" t="s">
        <v>32</v>
      </c>
      <c r="J217" s="3" t="s">
        <v>179</v>
      </c>
      <c r="K217" s="3" t="s">
        <v>47</v>
      </c>
      <c r="L217" s="3" t="s">
        <v>35</v>
      </c>
      <c r="M217" s="3" t="s">
        <v>114</v>
      </c>
      <c r="N217" s="3" t="s">
        <v>49</v>
      </c>
      <c r="O217" s="3" t="s">
        <v>61</v>
      </c>
      <c r="P217" s="3" t="s">
        <v>115</v>
      </c>
      <c r="Q217" s="5" t="n">
        <v>81.54</v>
      </c>
      <c r="R217" s="3" t="n">
        <v>3</v>
      </c>
      <c r="S217" s="6" t="n">
        <v>0.1</v>
      </c>
      <c r="T217" s="5" t="n">
        <v>8.55</v>
      </c>
      <c r="U217" s="3" t="str">
        <f aca="false">IF(T217&lt;0,"Loss",IF(T217=0,"Break-even","Profit"))</f>
        <v>Profit</v>
      </c>
      <c r="V217" s="3" t="str">
        <f aca="false">IF(Q217&lt;100,"Low",IF(Q217&lt;=500,"Medium","High"))</f>
        <v>Low</v>
      </c>
      <c r="W217" s="3" t="n">
        <f aca="false">D217-C217</f>
        <v>7</v>
      </c>
      <c r="X217" s="3" t="str">
        <f aca="false">TEXT(C217,"mmmm")</f>
        <v>June</v>
      </c>
      <c r="Y217" s="3" t="str">
        <f aca="false">LEFT(G217,1)&amp;MID(G217,FIND(" ",G217)+1,1)</f>
        <v>MM</v>
      </c>
    </row>
    <row r="218" customFormat="false" ht="15" hidden="false" customHeight="false" outlineLevel="0" collapsed="false">
      <c r="A218" s="3" t="n">
        <v>217</v>
      </c>
      <c r="B218" s="3" t="s">
        <v>876</v>
      </c>
      <c r="C218" s="4" t="s">
        <v>877</v>
      </c>
      <c r="D218" s="4" t="s">
        <v>878</v>
      </c>
      <c r="E218" s="3" t="s">
        <v>28</v>
      </c>
      <c r="F218" s="3" t="s">
        <v>320</v>
      </c>
      <c r="G218" s="3" t="s">
        <v>321</v>
      </c>
      <c r="H218" s="3" t="s">
        <v>31</v>
      </c>
      <c r="I218" s="3" t="s">
        <v>32</v>
      </c>
      <c r="J218" s="3" t="s">
        <v>306</v>
      </c>
      <c r="K218" s="3" t="s">
        <v>307</v>
      </c>
      <c r="L218" s="3" t="s">
        <v>69</v>
      </c>
      <c r="M218" s="3" t="s">
        <v>322</v>
      </c>
      <c r="N218" s="3" t="s">
        <v>89</v>
      </c>
      <c r="O218" s="3" t="s">
        <v>323</v>
      </c>
      <c r="P218" s="3" t="s">
        <v>324</v>
      </c>
      <c r="Q218" s="5" t="n">
        <v>1526.1</v>
      </c>
      <c r="R218" s="3" t="n">
        <v>3</v>
      </c>
      <c r="S218" s="6" t="n">
        <v>0.2</v>
      </c>
      <c r="T218" s="5" t="n">
        <v>-139.58</v>
      </c>
      <c r="U218" s="3" t="str">
        <f aca="false">IF(T218&lt;0,"Loss",IF(T218=0,"Break-even","Profit"))</f>
        <v>Loss</v>
      </c>
      <c r="V218" s="3" t="str">
        <f aca="false">IF(Q218&lt;100,"Low",IF(Q218&lt;=500,"Medium","High"))</f>
        <v>High</v>
      </c>
      <c r="W218" s="3" t="n">
        <f aca="false">D218-C218</f>
        <v>7</v>
      </c>
      <c r="X218" s="3" t="str">
        <f aca="false">TEXT(C218,"mmmm")</f>
        <v>June</v>
      </c>
      <c r="Y218" s="3" t="str">
        <f aca="false">LEFT(G218,1)&amp;MID(G218,FIND(" ",G218)+1,1)</f>
        <v>OW</v>
      </c>
    </row>
    <row r="219" customFormat="false" ht="15" hidden="false" customHeight="false" outlineLevel="0" collapsed="false">
      <c r="A219" s="3" t="n">
        <v>218</v>
      </c>
      <c r="B219" s="3" t="s">
        <v>879</v>
      </c>
      <c r="C219" s="4" t="s">
        <v>877</v>
      </c>
      <c r="D219" s="4" t="s">
        <v>857</v>
      </c>
      <c r="E219" s="3" t="s">
        <v>28</v>
      </c>
      <c r="F219" s="3" t="s">
        <v>880</v>
      </c>
      <c r="G219" s="3" t="s">
        <v>881</v>
      </c>
      <c r="H219" s="3" t="s">
        <v>45</v>
      </c>
      <c r="I219" s="3" t="s">
        <v>32</v>
      </c>
      <c r="J219" s="3" t="s">
        <v>299</v>
      </c>
      <c r="K219" s="3" t="s">
        <v>189</v>
      </c>
      <c r="L219" s="3" t="s">
        <v>59</v>
      </c>
      <c r="M219" s="3" t="s">
        <v>114</v>
      </c>
      <c r="N219" s="3" t="s">
        <v>49</v>
      </c>
      <c r="O219" s="3" t="s">
        <v>61</v>
      </c>
      <c r="P219" s="3" t="s">
        <v>115</v>
      </c>
      <c r="Q219" s="5" t="n">
        <v>435.72</v>
      </c>
      <c r="R219" s="3" t="n">
        <v>9</v>
      </c>
      <c r="S219" s="6" t="n">
        <v>0.4</v>
      </c>
      <c r="T219" s="5" t="n">
        <v>95.01</v>
      </c>
      <c r="U219" s="3" t="str">
        <f aca="false">IF(T219&lt;0,"Loss",IF(T219=0,"Break-even","Profit"))</f>
        <v>Profit</v>
      </c>
      <c r="V219" s="3" t="str">
        <f aca="false">IF(Q219&lt;100,"Low",IF(Q219&lt;=500,"Medium","High"))</f>
        <v>Medium</v>
      </c>
      <c r="W219" s="3" t="n">
        <f aca="false">D219-C219</f>
        <v>3</v>
      </c>
      <c r="X219" s="3" t="str">
        <f aca="false">TEXT(C219,"mmmm")</f>
        <v>June</v>
      </c>
      <c r="Y219" s="3" t="str">
        <f aca="false">LEFT(G219,1)&amp;MID(G219,FIND(" ",G219)+1,1)</f>
        <v>MK</v>
      </c>
    </row>
    <row r="220" customFormat="false" ht="15" hidden="false" customHeight="false" outlineLevel="0" collapsed="false">
      <c r="A220" s="3" t="n">
        <v>219</v>
      </c>
      <c r="B220" s="3" t="s">
        <v>882</v>
      </c>
      <c r="C220" s="4" t="s">
        <v>877</v>
      </c>
      <c r="D220" s="4" t="s">
        <v>860</v>
      </c>
      <c r="E220" s="3" t="s">
        <v>42</v>
      </c>
      <c r="F220" s="3" t="s">
        <v>883</v>
      </c>
      <c r="G220" s="3" t="s">
        <v>884</v>
      </c>
      <c r="H220" s="3" t="s">
        <v>45</v>
      </c>
      <c r="I220" s="3" t="s">
        <v>32</v>
      </c>
      <c r="J220" s="3" t="s">
        <v>873</v>
      </c>
      <c r="K220" s="3" t="s">
        <v>387</v>
      </c>
      <c r="L220" s="3" t="s">
        <v>35</v>
      </c>
      <c r="M220" s="3" t="s">
        <v>280</v>
      </c>
      <c r="N220" s="3" t="s">
        <v>89</v>
      </c>
      <c r="O220" s="3" t="s">
        <v>166</v>
      </c>
      <c r="P220" s="3" t="s">
        <v>281</v>
      </c>
      <c r="Q220" s="5" t="n">
        <v>1339</v>
      </c>
      <c r="R220" s="3" t="n">
        <v>5</v>
      </c>
      <c r="S220" s="6" t="n">
        <v>0.2</v>
      </c>
      <c r="T220" s="5" t="n">
        <v>280.12</v>
      </c>
      <c r="U220" s="3" t="str">
        <f aca="false">IF(T220&lt;0,"Loss",IF(T220=0,"Break-even","Profit"))</f>
        <v>Profit</v>
      </c>
      <c r="V220" s="3" t="str">
        <f aca="false">IF(Q220&lt;100,"Low",IF(Q220&lt;=500,"Medium","High"))</f>
        <v>High</v>
      </c>
      <c r="W220" s="3" t="n">
        <f aca="false">D220-C220</f>
        <v>2</v>
      </c>
      <c r="X220" s="3" t="str">
        <f aca="false">TEXT(C220,"mmmm")</f>
        <v>June</v>
      </c>
      <c r="Y220" s="3" t="str">
        <f aca="false">LEFT(G220,1)&amp;MID(G220,FIND(" ",G220)+1,1)</f>
        <v>PT</v>
      </c>
    </row>
    <row r="221" customFormat="false" ht="15" hidden="false" customHeight="false" outlineLevel="0" collapsed="false">
      <c r="A221" s="3" t="n">
        <v>220</v>
      </c>
      <c r="B221" s="3" t="s">
        <v>885</v>
      </c>
      <c r="C221" s="4" t="s">
        <v>877</v>
      </c>
      <c r="D221" s="4" t="s">
        <v>886</v>
      </c>
      <c r="E221" s="3" t="s">
        <v>42</v>
      </c>
      <c r="F221" s="3" t="s">
        <v>887</v>
      </c>
      <c r="G221" s="3" t="s">
        <v>888</v>
      </c>
      <c r="H221" s="3" t="s">
        <v>45</v>
      </c>
      <c r="I221" s="3" t="s">
        <v>32</v>
      </c>
      <c r="J221" s="3" t="s">
        <v>120</v>
      </c>
      <c r="K221" s="3" t="s">
        <v>113</v>
      </c>
      <c r="L221" s="3" t="s">
        <v>69</v>
      </c>
      <c r="M221" s="3" t="s">
        <v>149</v>
      </c>
      <c r="N221" s="3" t="s">
        <v>49</v>
      </c>
      <c r="O221" s="3" t="s">
        <v>150</v>
      </c>
      <c r="P221" s="3" t="s">
        <v>151</v>
      </c>
      <c r="Q221" s="5" t="n">
        <v>1054.69</v>
      </c>
      <c r="R221" s="3" t="n">
        <v>10</v>
      </c>
      <c r="S221" s="6" t="n">
        <v>0.2</v>
      </c>
      <c r="T221" s="5" t="n">
        <v>-295.9</v>
      </c>
      <c r="U221" s="3" t="str">
        <f aca="false">IF(T221&lt;0,"Loss",IF(T221=0,"Break-even","Profit"))</f>
        <v>Loss</v>
      </c>
      <c r="V221" s="3" t="str">
        <f aca="false">IF(Q221&lt;100,"Low",IF(Q221&lt;=500,"Medium","High"))</f>
        <v>High</v>
      </c>
      <c r="W221" s="3" t="n">
        <f aca="false">D221-C221</f>
        <v>1</v>
      </c>
      <c r="X221" s="3" t="str">
        <f aca="false">TEXT(C221,"mmmm")</f>
        <v>June</v>
      </c>
      <c r="Y221" s="3" t="str">
        <f aca="false">LEFT(G221,1)&amp;MID(G221,FIND(" ",G221)+1,1)</f>
        <v>PJ</v>
      </c>
    </row>
    <row r="222" customFormat="false" ht="15" hidden="false" customHeight="false" outlineLevel="0" collapsed="false">
      <c r="A222" s="3" t="n">
        <v>221</v>
      </c>
      <c r="B222" s="3" t="s">
        <v>889</v>
      </c>
      <c r="C222" s="4" t="s">
        <v>886</v>
      </c>
      <c r="D222" s="4" t="s">
        <v>878</v>
      </c>
      <c r="E222" s="3" t="s">
        <v>28</v>
      </c>
      <c r="F222" s="3" t="s">
        <v>702</v>
      </c>
      <c r="G222" s="3" t="s">
        <v>703</v>
      </c>
      <c r="H222" s="3" t="s">
        <v>56</v>
      </c>
      <c r="I222" s="3" t="s">
        <v>32</v>
      </c>
      <c r="J222" s="3" t="s">
        <v>243</v>
      </c>
      <c r="K222" s="3" t="s">
        <v>244</v>
      </c>
      <c r="L222" s="3" t="s">
        <v>157</v>
      </c>
      <c r="M222" s="3" t="s">
        <v>280</v>
      </c>
      <c r="N222" s="3" t="s">
        <v>89</v>
      </c>
      <c r="O222" s="3" t="s">
        <v>166</v>
      </c>
      <c r="P222" s="3" t="s">
        <v>281</v>
      </c>
      <c r="Q222" s="5" t="n">
        <v>293.44</v>
      </c>
      <c r="R222" s="3" t="n">
        <v>2</v>
      </c>
      <c r="S222" s="6" t="n">
        <v>0</v>
      </c>
      <c r="T222" s="5" t="n">
        <v>28.13</v>
      </c>
      <c r="U222" s="3" t="str">
        <f aca="false">IF(T222&lt;0,"Loss",IF(T222=0,"Break-even","Profit"))</f>
        <v>Profit</v>
      </c>
      <c r="V222" s="3" t="str">
        <f aca="false">IF(Q222&lt;100,"Low",IF(Q222&lt;=500,"Medium","High"))</f>
        <v>Medium</v>
      </c>
      <c r="W222" s="3" t="n">
        <f aca="false">D222-C222</f>
        <v>6</v>
      </c>
      <c r="X222" s="3" t="str">
        <f aca="false">TEXT(C222,"mmmm")</f>
        <v>June</v>
      </c>
      <c r="Y222" s="3" t="str">
        <f aca="false">LEFT(G222,1)&amp;MID(G222,FIND(" ",G222)+1,1)</f>
        <v>DT</v>
      </c>
    </row>
    <row r="223" customFormat="false" ht="15" hidden="false" customHeight="false" outlineLevel="0" collapsed="false">
      <c r="A223" s="3" t="n">
        <v>222</v>
      </c>
      <c r="B223" s="3" t="s">
        <v>890</v>
      </c>
      <c r="C223" s="4" t="s">
        <v>860</v>
      </c>
      <c r="D223" s="4" t="s">
        <v>867</v>
      </c>
      <c r="E223" s="3" t="s">
        <v>84</v>
      </c>
      <c r="F223" s="3" t="s">
        <v>891</v>
      </c>
      <c r="G223" s="3" t="s">
        <v>892</v>
      </c>
      <c r="H223" s="3" t="s">
        <v>45</v>
      </c>
      <c r="I223" s="3" t="s">
        <v>32</v>
      </c>
      <c r="J223" s="3" t="s">
        <v>679</v>
      </c>
      <c r="K223" s="3" t="s">
        <v>202</v>
      </c>
      <c r="L223" s="3" t="s">
        <v>35</v>
      </c>
      <c r="M223" s="3" t="s">
        <v>121</v>
      </c>
      <c r="N223" s="3" t="s">
        <v>49</v>
      </c>
      <c r="O223" s="3" t="s">
        <v>50</v>
      </c>
      <c r="P223" s="3" t="s">
        <v>122</v>
      </c>
      <c r="Q223" s="5" t="n">
        <v>943.94</v>
      </c>
      <c r="R223" s="3" t="n">
        <v>10</v>
      </c>
      <c r="S223" s="6" t="n">
        <v>0.1</v>
      </c>
      <c r="T223" s="5" t="n">
        <v>-251.3</v>
      </c>
      <c r="U223" s="3" t="str">
        <f aca="false">IF(T223&lt;0,"Loss",IF(T223=0,"Break-even","Profit"))</f>
        <v>Loss</v>
      </c>
      <c r="V223" s="3" t="str">
        <f aca="false">IF(Q223&lt;100,"Low",IF(Q223&lt;=500,"Medium","High"))</f>
        <v>High</v>
      </c>
      <c r="W223" s="3" t="n">
        <f aca="false">D223-C223</f>
        <v>2</v>
      </c>
      <c r="X223" s="3" t="str">
        <f aca="false">TEXT(C223,"mmmm")</f>
        <v>June</v>
      </c>
      <c r="Y223" s="3" t="str">
        <f aca="false">LEFT(G223,1)&amp;MID(G223,FIND(" ",G223)+1,1)</f>
        <v>MB</v>
      </c>
    </row>
    <row r="224" customFormat="false" ht="15" hidden="false" customHeight="false" outlineLevel="0" collapsed="false">
      <c r="A224" s="3" t="n">
        <v>223</v>
      </c>
      <c r="B224" s="3" t="s">
        <v>893</v>
      </c>
      <c r="C224" s="4" t="s">
        <v>857</v>
      </c>
      <c r="D224" s="4" t="s">
        <v>894</v>
      </c>
      <c r="E224" s="3" t="s">
        <v>42</v>
      </c>
      <c r="F224" s="3" t="s">
        <v>125</v>
      </c>
      <c r="G224" s="3" t="s">
        <v>126</v>
      </c>
      <c r="H224" s="3" t="s">
        <v>56</v>
      </c>
      <c r="I224" s="3" t="s">
        <v>32</v>
      </c>
      <c r="J224" s="3" t="s">
        <v>315</v>
      </c>
      <c r="K224" s="3" t="s">
        <v>58</v>
      </c>
      <c r="L224" s="3" t="s">
        <v>59</v>
      </c>
      <c r="M224" s="3" t="s">
        <v>461</v>
      </c>
      <c r="N224" s="3" t="s">
        <v>37</v>
      </c>
      <c r="O224" s="3" t="s">
        <v>71</v>
      </c>
      <c r="P224" s="3" t="s">
        <v>462</v>
      </c>
      <c r="Q224" s="5" t="n">
        <v>2115.84</v>
      </c>
      <c r="R224" s="3" t="n">
        <v>9</v>
      </c>
      <c r="S224" s="6" t="n">
        <v>0</v>
      </c>
      <c r="T224" s="5" t="n">
        <v>726.93</v>
      </c>
      <c r="U224" s="3" t="str">
        <f aca="false">IF(T224&lt;0,"Loss",IF(T224=0,"Break-even","Profit"))</f>
        <v>Profit</v>
      </c>
      <c r="V224" s="3" t="str">
        <f aca="false">IF(Q224&lt;100,"Low",IF(Q224&lt;=500,"Medium","High"))</f>
        <v>High</v>
      </c>
      <c r="W224" s="3" t="n">
        <f aca="false">D224-C224</f>
        <v>2</v>
      </c>
      <c r="X224" s="3" t="str">
        <f aca="false">TEXT(C224,"mmmm")</f>
        <v>June</v>
      </c>
      <c r="Y224" s="3" t="str">
        <f aca="false">LEFT(G224,1)&amp;MID(G224,FIND(" ",G224)+1,1)</f>
        <v>LM</v>
      </c>
    </row>
    <row r="225" customFormat="false" ht="15" hidden="false" customHeight="false" outlineLevel="0" collapsed="false">
      <c r="A225" s="3" t="n">
        <v>224</v>
      </c>
      <c r="B225" s="3" t="s">
        <v>239</v>
      </c>
      <c r="C225" s="4" t="s">
        <v>867</v>
      </c>
      <c r="D225" s="4" t="s">
        <v>895</v>
      </c>
      <c r="E225" s="3" t="s">
        <v>84</v>
      </c>
      <c r="F225" s="3" t="s">
        <v>896</v>
      </c>
      <c r="G225" s="3" t="s">
        <v>897</v>
      </c>
      <c r="H225" s="3" t="s">
        <v>56</v>
      </c>
      <c r="I225" s="3" t="s">
        <v>32</v>
      </c>
      <c r="J225" s="3" t="s">
        <v>252</v>
      </c>
      <c r="K225" s="3" t="s">
        <v>172</v>
      </c>
      <c r="L225" s="3" t="s">
        <v>157</v>
      </c>
      <c r="M225" s="3" t="s">
        <v>420</v>
      </c>
      <c r="N225" s="3" t="s">
        <v>49</v>
      </c>
      <c r="O225" s="3" t="s">
        <v>80</v>
      </c>
      <c r="P225" s="3" t="s">
        <v>421</v>
      </c>
      <c r="Q225" s="5" t="n">
        <v>358.15</v>
      </c>
      <c r="R225" s="3" t="n">
        <v>3</v>
      </c>
      <c r="S225" s="6" t="n">
        <v>0</v>
      </c>
      <c r="T225" s="5" t="n">
        <v>-20.92</v>
      </c>
      <c r="U225" s="3" t="str">
        <f aca="false">IF(T225&lt;0,"Loss",IF(T225=0,"Break-even","Profit"))</f>
        <v>Loss</v>
      </c>
      <c r="V225" s="3" t="str">
        <f aca="false">IF(Q225&lt;100,"Low",IF(Q225&lt;=500,"Medium","High"))</f>
        <v>Medium</v>
      </c>
      <c r="W225" s="3" t="n">
        <f aca="false">D225-C225</f>
        <v>4</v>
      </c>
      <c r="X225" s="3" t="str">
        <f aca="false">TEXT(C225,"mmmm")</f>
        <v>June</v>
      </c>
      <c r="Y225" s="3" t="str">
        <f aca="false">LEFT(G225,1)&amp;MID(G225,FIND(" ",G225)+1,1)</f>
        <v>AR</v>
      </c>
    </row>
    <row r="226" customFormat="false" ht="15" hidden="false" customHeight="false" outlineLevel="0" collapsed="false">
      <c r="A226" s="3" t="n">
        <v>225</v>
      </c>
      <c r="B226" s="3" t="s">
        <v>898</v>
      </c>
      <c r="C226" s="4" t="s">
        <v>867</v>
      </c>
      <c r="D226" s="4" t="s">
        <v>899</v>
      </c>
      <c r="E226" s="3" t="s">
        <v>28</v>
      </c>
      <c r="F226" s="3" t="s">
        <v>900</v>
      </c>
      <c r="G226" s="3" t="s">
        <v>901</v>
      </c>
      <c r="H226" s="3" t="s">
        <v>56</v>
      </c>
      <c r="I226" s="3" t="s">
        <v>32</v>
      </c>
      <c r="J226" s="3" t="s">
        <v>155</v>
      </c>
      <c r="K226" s="3" t="s">
        <v>156</v>
      </c>
      <c r="L226" s="3" t="s">
        <v>157</v>
      </c>
      <c r="M226" s="3" t="s">
        <v>209</v>
      </c>
      <c r="N226" s="3" t="s">
        <v>49</v>
      </c>
      <c r="O226" s="3" t="s">
        <v>106</v>
      </c>
      <c r="P226" s="3" t="s">
        <v>210</v>
      </c>
      <c r="Q226" s="5" t="n">
        <v>141.17</v>
      </c>
      <c r="R226" s="3" t="n">
        <v>3</v>
      </c>
      <c r="S226" s="6" t="n">
        <v>0.2</v>
      </c>
      <c r="T226" s="5" t="n">
        <v>38.82</v>
      </c>
      <c r="U226" s="3" t="str">
        <f aca="false">IF(T226&lt;0,"Loss",IF(T226=0,"Break-even","Profit"))</f>
        <v>Profit</v>
      </c>
      <c r="V226" s="3" t="str">
        <f aca="false">IF(Q226&lt;100,"Low",IF(Q226&lt;=500,"Medium","High"))</f>
        <v>Medium</v>
      </c>
      <c r="W226" s="3" t="n">
        <f aca="false">D226-C226</f>
        <v>7</v>
      </c>
      <c r="X226" s="3" t="str">
        <f aca="false">TEXT(C226,"mmmm")</f>
        <v>June</v>
      </c>
      <c r="Y226" s="3" t="str">
        <f aca="false">LEFT(G226,1)&amp;MID(G226,FIND(" ",G226)+1,1)</f>
        <v>JM</v>
      </c>
    </row>
    <row r="227" customFormat="false" ht="15" hidden="false" customHeight="false" outlineLevel="0" collapsed="false">
      <c r="A227" s="3" t="n">
        <v>226</v>
      </c>
      <c r="B227" s="3" t="s">
        <v>902</v>
      </c>
      <c r="C227" s="4" t="s">
        <v>867</v>
      </c>
      <c r="D227" s="4" t="s">
        <v>903</v>
      </c>
      <c r="E227" s="3" t="s">
        <v>28</v>
      </c>
      <c r="F227" s="3" t="s">
        <v>423</v>
      </c>
      <c r="G227" s="3" t="s">
        <v>424</v>
      </c>
      <c r="H227" s="3" t="s">
        <v>56</v>
      </c>
      <c r="I227" s="3" t="s">
        <v>32</v>
      </c>
      <c r="J227" s="3" t="s">
        <v>873</v>
      </c>
      <c r="K227" s="3" t="s">
        <v>387</v>
      </c>
      <c r="L227" s="3" t="s">
        <v>35</v>
      </c>
      <c r="M227" s="3" t="s">
        <v>253</v>
      </c>
      <c r="N227" s="3" t="s">
        <v>89</v>
      </c>
      <c r="O227" s="3" t="s">
        <v>90</v>
      </c>
      <c r="P227" s="3" t="s">
        <v>254</v>
      </c>
      <c r="Q227" s="5" t="n">
        <v>5470.37</v>
      </c>
      <c r="R227" s="3" t="n">
        <v>10</v>
      </c>
      <c r="S227" s="6" t="n">
        <v>0.5</v>
      </c>
      <c r="T227" s="5" t="n">
        <v>-1302.65</v>
      </c>
      <c r="U227" s="3" t="str">
        <f aca="false">IF(T227&lt;0,"Loss",IF(T227=0,"Break-even","Profit"))</f>
        <v>Loss</v>
      </c>
      <c r="V227" s="3" t="str">
        <f aca="false">IF(Q227&lt;100,"Low",IF(Q227&lt;=500,"Medium","High"))</f>
        <v>High</v>
      </c>
      <c r="W227" s="3" t="n">
        <f aca="false">D227-C227</f>
        <v>5</v>
      </c>
      <c r="X227" s="3" t="str">
        <f aca="false">TEXT(C227,"mmmm")</f>
        <v>June</v>
      </c>
      <c r="Y227" s="3" t="str">
        <f aca="false">LEFT(G227,1)&amp;MID(G227,FIND(" ",G227)+1,1)</f>
        <v>MC</v>
      </c>
    </row>
    <row r="228" customFormat="false" ht="15" hidden="false" customHeight="false" outlineLevel="0" collapsed="false">
      <c r="A228" s="3" t="n">
        <v>227</v>
      </c>
      <c r="B228" s="3" t="s">
        <v>904</v>
      </c>
      <c r="C228" s="4" t="s">
        <v>894</v>
      </c>
      <c r="D228" s="4" t="s">
        <v>903</v>
      </c>
      <c r="E228" s="3" t="s">
        <v>28</v>
      </c>
      <c r="F228" s="3" t="s">
        <v>905</v>
      </c>
      <c r="G228" s="3" t="s">
        <v>906</v>
      </c>
      <c r="H228" s="3" t="s">
        <v>56</v>
      </c>
      <c r="I228" s="3" t="s">
        <v>32</v>
      </c>
      <c r="J228" s="3" t="s">
        <v>112</v>
      </c>
      <c r="K228" s="3" t="s">
        <v>113</v>
      </c>
      <c r="L228" s="3" t="s">
        <v>69</v>
      </c>
      <c r="M228" s="3" t="s">
        <v>237</v>
      </c>
      <c r="N228" s="3" t="s">
        <v>49</v>
      </c>
      <c r="O228" s="3" t="s">
        <v>220</v>
      </c>
      <c r="P228" s="3" t="s">
        <v>238</v>
      </c>
      <c r="Q228" s="5" t="n">
        <v>440.1</v>
      </c>
      <c r="R228" s="3" t="n">
        <v>8</v>
      </c>
      <c r="S228" s="6" t="n">
        <v>0.2</v>
      </c>
      <c r="T228" s="5" t="n">
        <v>-19.13</v>
      </c>
      <c r="U228" s="3" t="str">
        <f aca="false">IF(T228&lt;0,"Loss",IF(T228=0,"Break-even","Profit"))</f>
        <v>Loss</v>
      </c>
      <c r="V228" s="3" t="str">
        <f aca="false">IF(Q228&lt;100,"Low",IF(Q228&lt;=500,"Medium","High"))</f>
        <v>Medium</v>
      </c>
      <c r="W228" s="3" t="n">
        <f aca="false">D228-C228</f>
        <v>4</v>
      </c>
      <c r="X228" s="3" t="str">
        <f aca="false">TEXT(C228,"mmmm")</f>
        <v>June</v>
      </c>
      <c r="Y228" s="3" t="str">
        <f aca="false">LEFT(G228,1)&amp;MID(G228,FIND(" ",G228)+1,1)</f>
        <v>SB</v>
      </c>
    </row>
    <row r="229" customFormat="false" ht="15" hidden="false" customHeight="false" outlineLevel="0" collapsed="false">
      <c r="A229" s="3" t="n">
        <v>228</v>
      </c>
      <c r="B229" s="3" t="s">
        <v>907</v>
      </c>
      <c r="C229" s="4" t="s">
        <v>894</v>
      </c>
      <c r="D229" s="4" t="s">
        <v>903</v>
      </c>
      <c r="E229" s="3" t="s">
        <v>28</v>
      </c>
      <c r="F229" s="3" t="s">
        <v>908</v>
      </c>
      <c r="G229" s="3" t="s">
        <v>909</v>
      </c>
      <c r="H229" s="3" t="s">
        <v>45</v>
      </c>
      <c r="I229" s="3" t="s">
        <v>32</v>
      </c>
      <c r="J229" s="3" t="s">
        <v>299</v>
      </c>
      <c r="K229" s="3" t="s">
        <v>189</v>
      </c>
      <c r="L229" s="3" t="s">
        <v>59</v>
      </c>
      <c r="M229" s="3" t="s">
        <v>470</v>
      </c>
      <c r="N229" s="3" t="s">
        <v>49</v>
      </c>
      <c r="O229" s="3" t="s">
        <v>159</v>
      </c>
      <c r="P229" s="3" t="s">
        <v>471</v>
      </c>
      <c r="Q229" s="5" t="n">
        <v>192.88</v>
      </c>
      <c r="R229" s="3" t="n">
        <v>2</v>
      </c>
      <c r="S229" s="6" t="n">
        <v>0.3</v>
      </c>
      <c r="T229" s="5" t="n">
        <v>-1.55</v>
      </c>
      <c r="U229" s="3" t="str">
        <f aca="false">IF(T229&lt;0,"Loss",IF(T229=0,"Break-even","Profit"))</f>
        <v>Loss</v>
      </c>
      <c r="V229" s="3" t="str">
        <f aca="false">IF(Q229&lt;100,"Low",IF(Q229&lt;=500,"Medium","High"))</f>
        <v>Medium</v>
      </c>
      <c r="W229" s="3" t="n">
        <f aca="false">D229-C229</f>
        <v>4</v>
      </c>
      <c r="X229" s="3" t="str">
        <f aca="false">TEXT(C229,"mmmm")</f>
        <v>June</v>
      </c>
      <c r="Y229" s="3" t="str">
        <f aca="false">LEFT(G229,1)&amp;MID(G229,FIND(" ",G229)+1,1)</f>
        <v>JM</v>
      </c>
    </row>
    <row r="230" customFormat="false" ht="15" hidden="false" customHeight="false" outlineLevel="0" collapsed="false">
      <c r="A230" s="3" t="n">
        <v>229</v>
      </c>
      <c r="B230" s="3" t="s">
        <v>910</v>
      </c>
      <c r="C230" s="4" t="s">
        <v>875</v>
      </c>
      <c r="D230" s="4" t="s">
        <v>911</v>
      </c>
      <c r="E230" s="3" t="s">
        <v>28</v>
      </c>
      <c r="F230" s="3" t="s">
        <v>912</v>
      </c>
      <c r="G230" s="3" t="s">
        <v>913</v>
      </c>
      <c r="H230" s="3" t="s">
        <v>45</v>
      </c>
      <c r="I230" s="3" t="s">
        <v>32</v>
      </c>
      <c r="J230" s="3" t="s">
        <v>415</v>
      </c>
      <c r="K230" s="3" t="s">
        <v>202</v>
      </c>
      <c r="L230" s="3" t="s">
        <v>35</v>
      </c>
      <c r="M230" s="3" t="s">
        <v>659</v>
      </c>
      <c r="N230" s="3" t="s">
        <v>89</v>
      </c>
      <c r="O230" s="3" t="s">
        <v>323</v>
      </c>
      <c r="P230" s="3" t="s">
        <v>660</v>
      </c>
      <c r="Q230" s="5" t="n">
        <v>1058.02</v>
      </c>
      <c r="R230" s="3" t="n">
        <v>14</v>
      </c>
      <c r="S230" s="6" t="n">
        <v>0.3</v>
      </c>
      <c r="T230" s="5" t="n">
        <v>4.94</v>
      </c>
      <c r="U230" s="3" t="str">
        <f aca="false">IF(T230&lt;0,"Loss",IF(T230=0,"Break-even","Profit"))</f>
        <v>Profit</v>
      </c>
      <c r="V230" s="3" t="str">
        <f aca="false">IF(Q230&lt;100,"Low",IF(Q230&lt;=500,"Medium","High"))</f>
        <v>High</v>
      </c>
      <c r="W230" s="3" t="n">
        <f aca="false">D230-C230</f>
        <v>6</v>
      </c>
      <c r="X230" s="3" t="str">
        <f aca="false">TEXT(C230,"mmmm")</f>
        <v>June</v>
      </c>
      <c r="Y230" s="3" t="str">
        <f aca="false">LEFT(G230,1)&amp;MID(G230,FIND(" ",G230)+1,1)</f>
        <v>AB</v>
      </c>
    </row>
    <row r="231" customFormat="false" ht="15" hidden="false" customHeight="false" outlineLevel="0" collapsed="false">
      <c r="A231" s="3" t="n">
        <v>230</v>
      </c>
      <c r="B231" s="3" t="s">
        <v>914</v>
      </c>
      <c r="C231" s="4" t="s">
        <v>875</v>
      </c>
      <c r="D231" s="4" t="s">
        <v>915</v>
      </c>
      <c r="E231" s="3" t="s">
        <v>28</v>
      </c>
      <c r="F231" s="3" t="s">
        <v>916</v>
      </c>
      <c r="G231" s="3" t="s">
        <v>917</v>
      </c>
      <c r="H231" s="3" t="s">
        <v>31</v>
      </c>
      <c r="I231" s="3" t="s">
        <v>32</v>
      </c>
      <c r="J231" s="3" t="s">
        <v>120</v>
      </c>
      <c r="K231" s="3" t="s">
        <v>113</v>
      </c>
      <c r="L231" s="3" t="s">
        <v>69</v>
      </c>
      <c r="M231" s="3" t="s">
        <v>334</v>
      </c>
      <c r="N231" s="3" t="s">
        <v>37</v>
      </c>
      <c r="O231" s="3" t="s">
        <v>136</v>
      </c>
      <c r="P231" s="3" t="s">
        <v>335</v>
      </c>
      <c r="Q231" s="5" t="n">
        <v>12560.86</v>
      </c>
      <c r="R231" s="3" t="n">
        <v>14</v>
      </c>
      <c r="S231" s="6" t="n">
        <v>0.4</v>
      </c>
      <c r="T231" s="5" t="n">
        <v>-1280.15</v>
      </c>
      <c r="U231" s="3" t="str">
        <f aca="false">IF(T231&lt;0,"Loss",IF(T231=0,"Break-even","Profit"))</f>
        <v>Loss</v>
      </c>
      <c r="V231" s="3" t="str">
        <f aca="false">IF(Q231&lt;100,"Low",IF(Q231&lt;=500,"Medium","High"))</f>
        <v>High</v>
      </c>
      <c r="W231" s="3" t="n">
        <f aca="false">D231-C231</f>
        <v>7</v>
      </c>
      <c r="X231" s="3" t="str">
        <f aca="false">TEXT(C231,"mmmm")</f>
        <v>June</v>
      </c>
      <c r="Y231" s="3" t="str">
        <f aca="false">LEFT(G231,1)&amp;MID(G231,FIND(" ",G231)+1,1)</f>
        <v>PN</v>
      </c>
    </row>
    <row r="232" customFormat="false" ht="15" hidden="false" customHeight="false" outlineLevel="0" collapsed="false">
      <c r="A232" s="3" t="n">
        <v>231</v>
      </c>
      <c r="B232" s="3" t="s">
        <v>918</v>
      </c>
      <c r="C232" s="4" t="s">
        <v>875</v>
      </c>
      <c r="D232" s="4" t="s">
        <v>895</v>
      </c>
      <c r="E232" s="3" t="s">
        <v>84</v>
      </c>
      <c r="F232" s="3" t="s">
        <v>665</v>
      </c>
      <c r="G232" s="3" t="s">
        <v>666</v>
      </c>
      <c r="H232" s="3" t="s">
        <v>56</v>
      </c>
      <c r="I232" s="3" t="s">
        <v>32</v>
      </c>
      <c r="J232" s="3" t="s">
        <v>171</v>
      </c>
      <c r="K232" s="3" t="s">
        <v>172</v>
      </c>
      <c r="L232" s="3" t="s">
        <v>157</v>
      </c>
      <c r="M232" s="3" t="s">
        <v>121</v>
      </c>
      <c r="N232" s="3" t="s">
        <v>49</v>
      </c>
      <c r="O232" s="3" t="s">
        <v>50</v>
      </c>
      <c r="P232" s="3" t="s">
        <v>122</v>
      </c>
      <c r="Q232" s="5" t="n">
        <v>625.78</v>
      </c>
      <c r="R232" s="3" t="n">
        <v>14</v>
      </c>
      <c r="S232" s="6" t="n">
        <v>0</v>
      </c>
      <c r="T232" s="5" t="n">
        <v>-106.62</v>
      </c>
      <c r="U232" s="3" t="str">
        <f aca="false">IF(T232&lt;0,"Loss",IF(T232=0,"Break-even","Profit"))</f>
        <v>Loss</v>
      </c>
      <c r="V232" s="3" t="str">
        <f aca="false">IF(Q232&lt;100,"Low",IF(Q232&lt;=500,"Medium","High"))</f>
        <v>High</v>
      </c>
      <c r="W232" s="3" t="n">
        <f aca="false">D232-C232</f>
        <v>2</v>
      </c>
      <c r="X232" s="3" t="str">
        <f aca="false">TEXT(C232,"mmmm")</f>
        <v>June</v>
      </c>
      <c r="Y232" s="3" t="str">
        <f aca="false">LEFT(G232,1)&amp;MID(G232,FIND(" ",G232)+1,1)</f>
        <v>EM</v>
      </c>
    </row>
    <row r="233" customFormat="false" ht="15" hidden="false" customHeight="false" outlineLevel="0" collapsed="false">
      <c r="A233" s="3" t="n">
        <v>232</v>
      </c>
      <c r="B233" s="3" t="s">
        <v>919</v>
      </c>
      <c r="C233" s="4" t="s">
        <v>878</v>
      </c>
      <c r="D233" s="4" t="s">
        <v>878</v>
      </c>
      <c r="E233" s="3" t="s">
        <v>53</v>
      </c>
      <c r="F233" s="3" t="s">
        <v>920</v>
      </c>
      <c r="G233" s="3" t="s">
        <v>921</v>
      </c>
      <c r="H233" s="3" t="s">
        <v>45</v>
      </c>
      <c r="I233" s="3" t="s">
        <v>32</v>
      </c>
      <c r="J233" s="3" t="s">
        <v>148</v>
      </c>
      <c r="K233" s="3" t="s">
        <v>78</v>
      </c>
      <c r="L233" s="3" t="s">
        <v>59</v>
      </c>
      <c r="M233" s="3" t="s">
        <v>209</v>
      </c>
      <c r="N233" s="3" t="s">
        <v>49</v>
      </c>
      <c r="O233" s="3" t="s">
        <v>106</v>
      </c>
      <c r="P233" s="3" t="s">
        <v>210</v>
      </c>
      <c r="Q233" s="5" t="n">
        <v>150.88</v>
      </c>
      <c r="R233" s="3" t="n">
        <v>6</v>
      </c>
      <c r="S233" s="6" t="n">
        <v>0</v>
      </c>
      <c r="T233" s="5" t="n">
        <v>20.52</v>
      </c>
      <c r="U233" s="3" t="str">
        <f aca="false">IF(T233&lt;0,"Loss",IF(T233=0,"Break-even","Profit"))</f>
        <v>Profit</v>
      </c>
      <c r="V233" s="3" t="str">
        <f aca="false">IF(Q233&lt;100,"Low",IF(Q233&lt;=500,"Medium","High"))</f>
        <v>Medium</v>
      </c>
      <c r="W233" s="3" t="n">
        <f aca="false">D233-C233</f>
        <v>0</v>
      </c>
      <c r="X233" s="3" t="str">
        <f aca="false">TEXT(C233,"mmmm")</f>
        <v>June</v>
      </c>
      <c r="Y233" s="3" t="str">
        <f aca="false">LEFT(G233,1)&amp;MID(G233,FIND(" ",G233)+1,1)</f>
        <v>JJ</v>
      </c>
    </row>
    <row r="234" customFormat="false" ht="15" hidden="false" customHeight="false" outlineLevel="0" collapsed="false">
      <c r="A234" s="3" t="n">
        <v>233</v>
      </c>
      <c r="B234" s="3" t="s">
        <v>754</v>
      </c>
      <c r="C234" s="4" t="s">
        <v>878</v>
      </c>
      <c r="D234" s="4" t="s">
        <v>915</v>
      </c>
      <c r="E234" s="3" t="s">
        <v>28</v>
      </c>
      <c r="F234" s="3" t="s">
        <v>920</v>
      </c>
      <c r="G234" s="3" t="s">
        <v>921</v>
      </c>
      <c r="H234" s="3" t="s">
        <v>45</v>
      </c>
      <c r="I234" s="3" t="s">
        <v>32</v>
      </c>
      <c r="J234" s="3" t="s">
        <v>208</v>
      </c>
      <c r="K234" s="3" t="s">
        <v>134</v>
      </c>
      <c r="L234" s="3" t="s">
        <v>69</v>
      </c>
      <c r="M234" s="3" t="s">
        <v>559</v>
      </c>
      <c r="N234" s="3" t="s">
        <v>37</v>
      </c>
      <c r="O234" s="3" t="s">
        <v>38</v>
      </c>
      <c r="P234" s="3" t="s">
        <v>560</v>
      </c>
      <c r="Q234" s="5" t="n">
        <v>11910.73</v>
      </c>
      <c r="R234" s="3" t="n">
        <v>11</v>
      </c>
      <c r="S234" s="6" t="n">
        <v>0.1</v>
      </c>
      <c r="T234" s="5" t="n">
        <v>-2698.71</v>
      </c>
      <c r="U234" s="3" t="str">
        <f aca="false">IF(T234&lt;0,"Loss",IF(T234=0,"Break-even","Profit"))</f>
        <v>Loss</v>
      </c>
      <c r="V234" s="3" t="str">
        <f aca="false">IF(Q234&lt;100,"Low",IF(Q234&lt;=500,"Medium","High"))</f>
        <v>High</v>
      </c>
      <c r="W234" s="3" t="n">
        <f aca="false">D234-C234</f>
        <v>6</v>
      </c>
      <c r="X234" s="3" t="str">
        <f aca="false">TEXT(C234,"mmmm")</f>
        <v>June</v>
      </c>
      <c r="Y234" s="3" t="str">
        <f aca="false">LEFT(G234,1)&amp;MID(G234,FIND(" ",G234)+1,1)</f>
        <v>JJ</v>
      </c>
    </row>
    <row r="235" customFormat="false" ht="15" hidden="false" customHeight="false" outlineLevel="0" collapsed="false">
      <c r="A235" s="3" t="n">
        <v>234</v>
      </c>
      <c r="B235" s="3" t="s">
        <v>922</v>
      </c>
      <c r="C235" s="4" t="s">
        <v>903</v>
      </c>
      <c r="D235" s="4" t="s">
        <v>923</v>
      </c>
      <c r="E235" s="3" t="s">
        <v>28</v>
      </c>
      <c r="F235" s="3" t="s">
        <v>140</v>
      </c>
      <c r="G235" s="3" t="s">
        <v>141</v>
      </c>
      <c r="H235" s="3" t="s">
        <v>31</v>
      </c>
      <c r="I235" s="3" t="s">
        <v>32</v>
      </c>
      <c r="J235" s="3" t="s">
        <v>112</v>
      </c>
      <c r="K235" s="3" t="s">
        <v>113</v>
      </c>
      <c r="L235" s="3" t="s">
        <v>69</v>
      </c>
      <c r="M235" s="3" t="s">
        <v>237</v>
      </c>
      <c r="N235" s="3" t="s">
        <v>49</v>
      </c>
      <c r="O235" s="3" t="s">
        <v>220</v>
      </c>
      <c r="P235" s="3" t="s">
        <v>238</v>
      </c>
      <c r="Q235" s="5" t="n">
        <v>470.53</v>
      </c>
      <c r="R235" s="3" t="n">
        <v>7</v>
      </c>
      <c r="S235" s="6" t="n">
        <v>0</v>
      </c>
      <c r="T235" s="5" t="n">
        <v>-69.25</v>
      </c>
      <c r="U235" s="3" t="str">
        <f aca="false">IF(T235&lt;0,"Loss",IF(T235=0,"Break-even","Profit"))</f>
        <v>Loss</v>
      </c>
      <c r="V235" s="3" t="str">
        <f aca="false">IF(Q235&lt;100,"Low",IF(Q235&lt;=500,"Medium","High"))</f>
        <v>Medium</v>
      </c>
      <c r="W235" s="3" t="n">
        <f aca="false">D235-C235</f>
        <v>7</v>
      </c>
      <c r="X235" s="3" t="str">
        <f aca="false">TEXT(C235,"mmmm")</f>
        <v>June</v>
      </c>
      <c r="Y235" s="3" t="str">
        <f aca="false">LEFT(G235,1)&amp;MID(G235,FIND(" ",G235)+1,1)</f>
        <v>MW</v>
      </c>
    </row>
    <row r="236" customFormat="false" ht="15" hidden="false" customHeight="false" outlineLevel="0" collapsed="false">
      <c r="A236" s="3" t="n">
        <v>235</v>
      </c>
      <c r="B236" s="3" t="s">
        <v>924</v>
      </c>
      <c r="C236" s="4" t="s">
        <v>903</v>
      </c>
      <c r="D236" s="4" t="s">
        <v>923</v>
      </c>
      <c r="E236" s="3" t="s">
        <v>28</v>
      </c>
      <c r="F236" s="3" t="s">
        <v>925</v>
      </c>
      <c r="G236" s="3" t="s">
        <v>926</v>
      </c>
      <c r="H236" s="3" t="s">
        <v>56</v>
      </c>
      <c r="I236" s="3" t="s">
        <v>32</v>
      </c>
      <c r="J236" s="3" t="s">
        <v>299</v>
      </c>
      <c r="K236" s="3" t="s">
        <v>189</v>
      </c>
      <c r="L236" s="3" t="s">
        <v>59</v>
      </c>
      <c r="M236" s="3" t="s">
        <v>253</v>
      </c>
      <c r="N236" s="3" t="s">
        <v>89</v>
      </c>
      <c r="O236" s="3" t="s">
        <v>90</v>
      </c>
      <c r="P236" s="3" t="s">
        <v>254</v>
      </c>
      <c r="Q236" s="5" t="n">
        <v>1983.44</v>
      </c>
      <c r="R236" s="3" t="n">
        <v>6</v>
      </c>
      <c r="S236" s="6" t="n">
        <v>0.1</v>
      </c>
      <c r="T236" s="5" t="n">
        <v>-289.94</v>
      </c>
      <c r="U236" s="3" t="str">
        <f aca="false">IF(T236&lt;0,"Loss",IF(T236=0,"Break-even","Profit"))</f>
        <v>Loss</v>
      </c>
      <c r="V236" s="3" t="str">
        <f aca="false">IF(Q236&lt;100,"Low",IF(Q236&lt;=500,"Medium","High"))</f>
        <v>High</v>
      </c>
      <c r="W236" s="3" t="n">
        <f aca="false">D236-C236</f>
        <v>7</v>
      </c>
      <c r="X236" s="3" t="str">
        <f aca="false">TEXT(C236,"mmmm")</f>
        <v>June</v>
      </c>
      <c r="Y236" s="3" t="str">
        <f aca="false">LEFT(G236,1)&amp;MID(G236,FIND(" ",G236)+1,1)</f>
        <v>JG</v>
      </c>
    </row>
    <row r="237" customFormat="false" ht="15" hidden="false" customHeight="false" outlineLevel="0" collapsed="false">
      <c r="A237" s="3" t="n">
        <v>236</v>
      </c>
      <c r="B237" s="3" t="s">
        <v>742</v>
      </c>
      <c r="C237" s="4" t="s">
        <v>927</v>
      </c>
      <c r="D237" s="4" t="s">
        <v>915</v>
      </c>
      <c r="E237" s="3" t="s">
        <v>28</v>
      </c>
      <c r="F237" s="3" t="s">
        <v>928</v>
      </c>
      <c r="G237" s="3" t="s">
        <v>929</v>
      </c>
      <c r="H237" s="3" t="s">
        <v>31</v>
      </c>
      <c r="I237" s="3" t="s">
        <v>32</v>
      </c>
      <c r="J237" s="3" t="s">
        <v>737</v>
      </c>
      <c r="K237" s="3" t="s">
        <v>307</v>
      </c>
      <c r="L237" s="3" t="s">
        <v>69</v>
      </c>
      <c r="M237" s="3" t="s">
        <v>36</v>
      </c>
      <c r="N237" s="3" t="s">
        <v>37</v>
      </c>
      <c r="O237" s="3" t="s">
        <v>38</v>
      </c>
      <c r="P237" s="3" t="s">
        <v>39</v>
      </c>
      <c r="Q237" s="5" t="n">
        <v>12228.89</v>
      </c>
      <c r="R237" s="3" t="n">
        <v>13</v>
      </c>
      <c r="S237" s="6" t="n">
        <v>0.3</v>
      </c>
      <c r="T237" s="5" t="n">
        <v>46.43</v>
      </c>
      <c r="U237" s="3" t="str">
        <f aca="false">IF(T237&lt;0,"Loss",IF(T237=0,"Break-even","Profit"))</f>
        <v>Profit</v>
      </c>
      <c r="V237" s="3" t="str">
        <f aca="false">IF(Q237&lt;100,"Low",IF(Q237&lt;=500,"Medium","High"))</f>
        <v>High</v>
      </c>
      <c r="W237" s="3" t="n">
        <f aca="false">D237-C237</f>
        <v>3</v>
      </c>
      <c r="X237" s="3" t="str">
        <f aca="false">TEXT(C237,"mmmm")</f>
        <v>June</v>
      </c>
      <c r="Y237" s="3" t="str">
        <f aca="false">LEFT(G237,1)&amp;MID(G237,FIND(" ",G237)+1,1)</f>
        <v>RA</v>
      </c>
    </row>
    <row r="238" customFormat="false" ht="15" hidden="false" customHeight="false" outlineLevel="0" collapsed="false">
      <c r="A238" s="3" t="n">
        <v>237</v>
      </c>
      <c r="B238" s="3" t="s">
        <v>930</v>
      </c>
      <c r="C238" s="4" t="s">
        <v>899</v>
      </c>
      <c r="D238" s="4" t="s">
        <v>915</v>
      </c>
      <c r="E238" s="3" t="s">
        <v>42</v>
      </c>
      <c r="F238" s="3" t="s">
        <v>384</v>
      </c>
      <c r="G238" s="3" t="s">
        <v>385</v>
      </c>
      <c r="H238" s="3" t="s">
        <v>45</v>
      </c>
      <c r="I238" s="3" t="s">
        <v>32</v>
      </c>
      <c r="J238" s="3" t="s">
        <v>215</v>
      </c>
      <c r="K238" s="3" t="s">
        <v>34</v>
      </c>
      <c r="L238" s="3" t="s">
        <v>35</v>
      </c>
      <c r="M238" s="3" t="s">
        <v>105</v>
      </c>
      <c r="N238" s="3" t="s">
        <v>49</v>
      </c>
      <c r="O238" s="3" t="s">
        <v>106</v>
      </c>
      <c r="P238" s="3" t="s">
        <v>107</v>
      </c>
      <c r="Q238" s="5" t="n">
        <v>341.94</v>
      </c>
      <c r="R238" s="3" t="n">
        <v>3</v>
      </c>
      <c r="S238" s="6" t="n">
        <v>0</v>
      </c>
      <c r="T238" s="5" t="n">
        <v>12.37</v>
      </c>
      <c r="U238" s="3" t="str">
        <f aca="false">IF(T238&lt;0,"Loss",IF(T238=0,"Break-even","Profit"))</f>
        <v>Profit</v>
      </c>
      <c r="V238" s="3" t="str">
        <f aca="false">IF(Q238&lt;100,"Low",IF(Q238&lt;=500,"Medium","High"))</f>
        <v>Medium</v>
      </c>
      <c r="W238" s="3" t="n">
        <f aca="false">D238-C238</f>
        <v>2</v>
      </c>
      <c r="X238" s="3" t="str">
        <f aca="false">TEXT(C238,"mmmm")</f>
        <v>June</v>
      </c>
      <c r="Y238" s="3" t="str">
        <f aca="false">LEFT(G238,1)&amp;MID(G238,FIND(" ",G238)+1,1)</f>
        <v>DJ</v>
      </c>
    </row>
    <row r="239" customFormat="false" ht="15" hidden="false" customHeight="false" outlineLevel="0" collapsed="false">
      <c r="A239" s="3" t="n">
        <v>238</v>
      </c>
      <c r="B239" s="3" t="s">
        <v>714</v>
      </c>
      <c r="C239" s="4" t="s">
        <v>899</v>
      </c>
      <c r="D239" s="4" t="s">
        <v>931</v>
      </c>
      <c r="E239" s="3" t="s">
        <v>28</v>
      </c>
      <c r="F239" s="3" t="s">
        <v>932</v>
      </c>
      <c r="G239" s="3" t="s">
        <v>933</v>
      </c>
      <c r="H239" s="3" t="s">
        <v>45</v>
      </c>
      <c r="I239" s="3" t="s">
        <v>32</v>
      </c>
      <c r="J239" s="3" t="s">
        <v>201</v>
      </c>
      <c r="K239" s="3" t="s">
        <v>202</v>
      </c>
      <c r="L239" s="3" t="s">
        <v>35</v>
      </c>
      <c r="M239" s="3" t="s">
        <v>237</v>
      </c>
      <c r="N239" s="3" t="s">
        <v>49</v>
      </c>
      <c r="O239" s="3" t="s">
        <v>220</v>
      </c>
      <c r="P239" s="3" t="s">
        <v>238</v>
      </c>
      <c r="Q239" s="5" t="n">
        <v>412.62</v>
      </c>
      <c r="R239" s="3" t="n">
        <v>10</v>
      </c>
      <c r="S239" s="6" t="n">
        <v>0.1</v>
      </c>
      <c r="T239" s="5" t="n">
        <v>15.51</v>
      </c>
      <c r="U239" s="3" t="str">
        <f aca="false">IF(T239&lt;0,"Loss",IF(T239=0,"Break-even","Profit"))</f>
        <v>Profit</v>
      </c>
      <c r="V239" s="3" t="str">
        <f aca="false">IF(Q239&lt;100,"Low",IF(Q239&lt;=500,"Medium","High"))</f>
        <v>Medium</v>
      </c>
      <c r="W239" s="3" t="n">
        <f aca="false">D239-C239</f>
        <v>7</v>
      </c>
      <c r="X239" s="3" t="str">
        <f aca="false">TEXT(C239,"mmmm")</f>
        <v>June</v>
      </c>
      <c r="Y239" s="3" t="str">
        <f aca="false">LEFT(G239,1)&amp;MID(G239,FIND(" ",G239)+1,1)</f>
        <v>LM</v>
      </c>
    </row>
    <row r="240" customFormat="false" ht="15" hidden="false" customHeight="false" outlineLevel="0" collapsed="false">
      <c r="A240" s="3" t="n">
        <v>239</v>
      </c>
      <c r="B240" s="3" t="s">
        <v>108</v>
      </c>
      <c r="C240" s="4" t="s">
        <v>899</v>
      </c>
      <c r="D240" s="4" t="s">
        <v>931</v>
      </c>
      <c r="E240" s="3" t="s">
        <v>28</v>
      </c>
      <c r="F240" s="3" t="s">
        <v>934</v>
      </c>
      <c r="G240" s="3" t="s">
        <v>935</v>
      </c>
      <c r="H240" s="3" t="s">
        <v>31</v>
      </c>
      <c r="I240" s="3" t="s">
        <v>32</v>
      </c>
      <c r="J240" s="3" t="s">
        <v>33</v>
      </c>
      <c r="K240" s="3" t="s">
        <v>34</v>
      </c>
      <c r="L240" s="3" t="s">
        <v>35</v>
      </c>
      <c r="M240" s="3" t="s">
        <v>79</v>
      </c>
      <c r="N240" s="3" t="s">
        <v>49</v>
      </c>
      <c r="O240" s="3" t="s">
        <v>80</v>
      </c>
      <c r="P240" s="3" t="s">
        <v>81</v>
      </c>
      <c r="Q240" s="5" t="n">
        <v>284.34</v>
      </c>
      <c r="R240" s="3" t="n">
        <v>10</v>
      </c>
      <c r="S240" s="6" t="n">
        <v>0</v>
      </c>
      <c r="T240" s="5" t="n">
        <v>98.42</v>
      </c>
      <c r="U240" s="3" t="str">
        <f aca="false">IF(T240&lt;0,"Loss",IF(T240=0,"Break-even","Profit"))</f>
        <v>Profit</v>
      </c>
      <c r="V240" s="3" t="str">
        <f aca="false">IF(Q240&lt;100,"Low",IF(Q240&lt;=500,"Medium","High"))</f>
        <v>Medium</v>
      </c>
      <c r="W240" s="3" t="n">
        <f aca="false">D240-C240</f>
        <v>7</v>
      </c>
      <c r="X240" s="3" t="str">
        <f aca="false">TEXT(C240,"mmmm")</f>
        <v>June</v>
      </c>
      <c r="Y240" s="3" t="str">
        <f aca="false">LEFT(G240,1)&amp;MID(G240,FIND(" ",G240)+1,1)</f>
        <v>PN</v>
      </c>
    </row>
    <row r="241" customFormat="false" ht="15" hidden="false" customHeight="false" outlineLevel="0" collapsed="false">
      <c r="A241" s="3" t="n">
        <v>240</v>
      </c>
      <c r="B241" s="3" t="s">
        <v>936</v>
      </c>
      <c r="C241" s="4" t="s">
        <v>911</v>
      </c>
      <c r="D241" s="4" t="s">
        <v>937</v>
      </c>
      <c r="E241" s="3" t="s">
        <v>28</v>
      </c>
      <c r="F241" s="3" t="s">
        <v>686</v>
      </c>
      <c r="G241" s="3" t="s">
        <v>687</v>
      </c>
      <c r="H241" s="3" t="s">
        <v>31</v>
      </c>
      <c r="I241" s="3" t="s">
        <v>32</v>
      </c>
      <c r="J241" s="3" t="s">
        <v>873</v>
      </c>
      <c r="K241" s="3" t="s">
        <v>387</v>
      </c>
      <c r="L241" s="3" t="s">
        <v>35</v>
      </c>
      <c r="M241" s="3" t="s">
        <v>165</v>
      </c>
      <c r="N241" s="3" t="s">
        <v>89</v>
      </c>
      <c r="O241" s="3" t="s">
        <v>166</v>
      </c>
      <c r="P241" s="3" t="s">
        <v>167</v>
      </c>
      <c r="Q241" s="5" t="n">
        <v>4718.13</v>
      </c>
      <c r="R241" s="3" t="n">
        <v>14</v>
      </c>
      <c r="S241" s="6" t="n">
        <v>0.1</v>
      </c>
      <c r="T241" s="5" t="n">
        <v>-1185.43</v>
      </c>
      <c r="U241" s="3" t="str">
        <f aca="false">IF(T241&lt;0,"Loss",IF(T241=0,"Break-even","Profit"))</f>
        <v>Loss</v>
      </c>
      <c r="V241" s="3" t="str">
        <f aca="false">IF(Q241&lt;100,"Low",IF(Q241&lt;=500,"Medium","High"))</f>
        <v>High</v>
      </c>
      <c r="W241" s="3" t="n">
        <f aca="false">D241-C241</f>
        <v>7</v>
      </c>
      <c r="X241" s="3" t="str">
        <f aca="false">TEXT(C241,"mmmm")</f>
        <v>June</v>
      </c>
      <c r="Y241" s="3" t="str">
        <f aca="false">LEFT(G241,1)&amp;MID(G241,FIND(" ",G241)+1,1)</f>
        <v>EN</v>
      </c>
    </row>
    <row r="242" customFormat="false" ht="15" hidden="false" customHeight="false" outlineLevel="0" collapsed="false">
      <c r="A242" s="3" t="n">
        <v>241</v>
      </c>
      <c r="B242" s="3" t="s">
        <v>938</v>
      </c>
      <c r="C242" s="4" t="s">
        <v>915</v>
      </c>
      <c r="D242" s="4" t="s">
        <v>939</v>
      </c>
      <c r="E242" s="3" t="s">
        <v>28</v>
      </c>
      <c r="F242" s="3" t="s">
        <v>241</v>
      </c>
      <c r="G242" s="3" t="s">
        <v>242</v>
      </c>
      <c r="H242" s="3" t="s">
        <v>45</v>
      </c>
      <c r="I242" s="3" t="s">
        <v>32</v>
      </c>
      <c r="J242" s="3" t="s">
        <v>188</v>
      </c>
      <c r="K242" s="3" t="s">
        <v>189</v>
      </c>
      <c r="L242" s="3" t="s">
        <v>59</v>
      </c>
      <c r="M242" s="3" t="s">
        <v>121</v>
      </c>
      <c r="N242" s="3" t="s">
        <v>49</v>
      </c>
      <c r="O242" s="3" t="s">
        <v>50</v>
      </c>
      <c r="P242" s="3" t="s">
        <v>122</v>
      </c>
      <c r="Q242" s="5" t="n">
        <v>272.98</v>
      </c>
      <c r="R242" s="3" t="n">
        <v>3</v>
      </c>
      <c r="S242" s="6" t="n">
        <v>0</v>
      </c>
      <c r="T242" s="5" t="n">
        <v>78.82</v>
      </c>
      <c r="U242" s="3" t="str">
        <f aca="false">IF(T242&lt;0,"Loss",IF(T242=0,"Break-even","Profit"))</f>
        <v>Profit</v>
      </c>
      <c r="V242" s="3" t="str">
        <f aca="false">IF(Q242&lt;100,"Low",IF(Q242&lt;=500,"Medium","High"))</f>
        <v>Medium</v>
      </c>
      <c r="W242" s="3" t="n">
        <f aca="false">D242-C242</f>
        <v>4</v>
      </c>
      <c r="X242" s="3" t="str">
        <f aca="false">TEXT(C242,"mmmm")</f>
        <v>June</v>
      </c>
      <c r="Y242" s="3" t="str">
        <f aca="false">LEFT(G242,1)&amp;MID(G242,FIND(" ",G242)+1,1)</f>
        <v>AC</v>
      </c>
    </row>
    <row r="243" customFormat="false" ht="15" hidden="false" customHeight="false" outlineLevel="0" collapsed="false">
      <c r="A243" s="3" t="n">
        <v>242</v>
      </c>
      <c r="B243" s="3" t="s">
        <v>940</v>
      </c>
      <c r="C243" s="4" t="s">
        <v>941</v>
      </c>
      <c r="D243" s="4" t="s">
        <v>937</v>
      </c>
      <c r="E243" s="3" t="s">
        <v>28</v>
      </c>
      <c r="F243" s="3" t="s">
        <v>796</v>
      </c>
      <c r="G243" s="3" t="s">
        <v>797</v>
      </c>
      <c r="H243" s="3" t="s">
        <v>56</v>
      </c>
      <c r="I243" s="3" t="s">
        <v>32</v>
      </c>
      <c r="J243" s="3" t="s">
        <v>67</v>
      </c>
      <c r="K243" s="3" t="s">
        <v>68</v>
      </c>
      <c r="L243" s="3" t="s">
        <v>69</v>
      </c>
      <c r="M243" s="3" t="s">
        <v>683</v>
      </c>
      <c r="N243" s="3" t="s">
        <v>37</v>
      </c>
      <c r="O243" s="3" t="s">
        <v>136</v>
      </c>
      <c r="P243" s="3" t="s">
        <v>684</v>
      </c>
      <c r="Q243" s="5" t="n">
        <v>1253.7</v>
      </c>
      <c r="R243" s="3" t="n">
        <v>1</v>
      </c>
      <c r="S243" s="6" t="n">
        <v>0</v>
      </c>
      <c r="T243" s="5" t="n">
        <v>-266.73</v>
      </c>
      <c r="U243" s="3" t="str">
        <f aca="false">IF(T243&lt;0,"Loss",IF(T243=0,"Break-even","Profit"))</f>
        <v>Loss</v>
      </c>
      <c r="V243" s="3" t="str">
        <f aca="false">IF(Q243&lt;100,"Low",IF(Q243&lt;=500,"Medium","High"))</f>
        <v>High</v>
      </c>
      <c r="W243" s="3" t="n">
        <f aca="false">D243-C243</f>
        <v>5</v>
      </c>
      <c r="X243" s="3" t="str">
        <f aca="false">TEXT(C243,"mmmm")</f>
        <v>June</v>
      </c>
      <c r="Y243" s="3" t="str">
        <f aca="false">LEFT(G243,1)&amp;MID(G243,FIND(" ",G243)+1,1)</f>
        <v>PM</v>
      </c>
    </row>
    <row r="244" customFormat="false" ht="15" hidden="false" customHeight="false" outlineLevel="0" collapsed="false">
      <c r="A244" s="3" t="n">
        <v>243</v>
      </c>
      <c r="B244" s="3" t="s">
        <v>942</v>
      </c>
      <c r="C244" s="4" t="s">
        <v>941</v>
      </c>
      <c r="D244" s="4" t="s">
        <v>937</v>
      </c>
      <c r="E244" s="3" t="s">
        <v>28</v>
      </c>
      <c r="F244" s="3" t="s">
        <v>943</v>
      </c>
      <c r="G244" s="3" t="s">
        <v>944</v>
      </c>
      <c r="H244" s="3" t="s">
        <v>31</v>
      </c>
      <c r="I244" s="3" t="s">
        <v>32</v>
      </c>
      <c r="J244" s="3" t="s">
        <v>188</v>
      </c>
      <c r="K244" s="3" t="s">
        <v>189</v>
      </c>
      <c r="L244" s="3" t="s">
        <v>59</v>
      </c>
      <c r="M244" s="3" t="s">
        <v>209</v>
      </c>
      <c r="N244" s="3" t="s">
        <v>49</v>
      </c>
      <c r="O244" s="3" t="s">
        <v>106</v>
      </c>
      <c r="P244" s="3" t="s">
        <v>210</v>
      </c>
      <c r="Q244" s="5" t="n">
        <v>682.02</v>
      </c>
      <c r="R244" s="3" t="n">
        <v>11</v>
      </c>
      <c r="S244" s="6" t="n">
        <v>0</v>
      </c>
      <c r="T244" s="5" t="n">
        <v>218.72</v>
      </c>
      <c r="U244" s="3" t="str">
        <f aca="false">IF(T244&lt;0,"Loss",IF(T244=0,"Break-even","Profit"))</f>
        <v>Profit</v>
      </c>
      <c r="V244" s="3" t="str">
        <f aca="false">IF(Q244&lt;100,"Low",IF(Q244&lt;=500,"Medium","High"))</f>
        <v>High</v>
      </c>
      <c r="W244" s="3" t="n">
        <f aca="false">D244-C244</f>
        <v>5</v>
      </c>
      <c r="X244" s="3" t="str">
        <f aca="false">TEXT(C244,"mmmm")</f>
        <v>June</v>
      </c>
      <c r="Y244" s="3" t="str">
        <f aca="false">LEFT(G244,1)&amp;MID(G244,FIND(" ",G244)+1,1)</f>
        <v>AW</v>
      </c>
    </row>
    <row r="245" customFormat="false" ht="15" hidden="false" customHeight="false" outlineLevel="0" collapsed="false">
      <c r="A245" s="3" t="n">
        <v>244</v>
      </c>
      <c r="B245" s="3" t="s">
        <v>734</v>
      </c>
      <c r="C245" s="4" t="s">
        <v>945</v>
      </c>
      <c r="D245" s="4" t="s">
        <v>937</v>
      </c>
      <c r="E245" s="3" t="s">
        <v>28</v>
      </c>
      <c r="F245" s="3" t="s">
        <v>946</v>
      </c>
      <c r="G245" s="3" t="s">
        <v>947</v>
      </c>
      <c r="H245" s="3" t="s">
        <v>31</v>
      </c>
      <c r="I245" s="3" t="s">
        <v>32</v>
      </c>
      <c r="J245" s="3" t="s">
        <v>95</v>
      </c>
      <c r="K245" s="3" t="s">
        <v>96</v>
      </c>
      <c r="L245" s="3" t="s">
        <v>59</v>
      </c>
      <c r="M245" s="3" t="s">
        <v>121</v>
      </c>
      <c r="N245" s="3" t="s">
        <v>49</v>
      </c>
      <c r="O245" s="3" t="s">
        <v>50</v>
      </c>
      <c r="P245" s="3" t="s">
        <v>122</v>
      </c>
      <c r="Q245" s="5" t="n">
        <v>1023.24</v>
      </c>
      <c r="R245" s="3" t="n">
        <v>10</v>
      </c>
      <c r="S245" s="6" t="n">
        <v>0</v>
      </c>
      <c r="T245" s="5" t="n">
        <v>266.84</v>
      </c>
      <c r="U245" s="3" t="str">
        <f aca="false">IF(T245&lt;0,"Loss",IF(T245=0,"Break-even","Profit"))</f>
        <v>Profit</v>
      </c>
      <c r="V245" s="3" t="str">
        <f aca="false">IF(Q245&lt;100,"Low",IF(Q245&lt;=500,"Medium","High"))</f>
        <v>High</v>
      </c>
      <c r="W245" s="3" t="n">
        <f aca="false">D245-C245</f>
        <v>4</v>
      </c>
      <c r="X245" s="3" t="str">
        <f aca="false">TEXT(C245,"mmmm")</f>
        <v>June</v>
      </c>
      <c r="Y245" s="3" t="str">
        <f aca="false">LEFT(G245,1)&amp;MID(G245,FIND(" ",G245)+1,1)</f>
        <v>MW</v>
      </c>
    </row>
    <row r="246" customFormat="false" ht="15" hidden="false" customHeight="false" outlineLevel="0" collapsed="false">
      <c r="A246" s="3" t="n">
        <v>245</v>
      </c>
      <c r="B246" s="3" t="s">
        <v>330</v>
      </c>
      <c r="C246" s="4" t="s">
        <v>939</v>
      </c>
      <c r="D246" s="4" t="s">
        <v>948</v>
      </c>
      <c r="E246" s="3" t="s">
        <v>84</v>
      </c>
      <c r="F246" s="3" t="s">
        <v>949</v>
      </c>
      <c r="G246" s="3" t="s">
        <v>950</v>
      </c>
      <c r="H246" s="3" t="s">
        <v>56</v>
      </c>
      <c r="I246" s="3" t="s">
        <v>32</v>
      </c>
      <c r="J246" s="3" t="s">
        <v>155</v>
      </c>
      <c r="K246" s="3" t="s">
        <v>156</v>
      </c>
      <c r="L246" s="3" t="s">
        <v>157</v>
      </c>
      <c r="M246" s="3" t="s">
        <v>219</v>
      </c>
      <c r="N246" s="3" t="s">
        <v>49</v>
      </c>
      <c r="O246" s="3" t="s">
        <v>220</v>
      </c>
      <c r="P246" s="3" t="s">
        <v>221</v>
      </c>
      <c r="Q246" s="5" t="n">
        <v>66.75</v>
      </c>
      <c r="R246" s="3" t="n">
        <v>1</v>
      </c>
      <c r="S246" s="6" t="n">
        <v>0.4</v>
      </c>
      <c r="T246" s="5" t="n">
        <v>11.33</v>
      </c>
      <c r="U246" s="3" t="str">
        <f aca="false">IF(T246&lt;0,"Loss",IF(T246=0,"Break-even","Profit"))</f>
        <v>Profit</v>
      </c>
      <c r="V246" s="3" t="str">
        <f aca="false">IF(Q246&lt;100,"Low",IF(Q246&lt;=500,"Medium","High"))</f>
        <v>Low</v>
      </c>
      <c r="W246" s="3" t="n">
        <f aca="false">D246-C246</f>
        <v>4</v>
      </c>
      <c r="X246" s="3" t="str">
        <f aca="false">TEXT(C246,"mmmm")</f>
        <v>June</v>
      </c>
      <c r="Y246" s="3" t="str">
        <f aca="false">LEFT(G246,1)&amp;MID(G246,FIND(" ",G246)+1,1)</f>
        <v>FK</v>
      </c>
    </row>
    <row r="247" customFormat="false" ht="15" hidden="false" customHeight="false" outlineLevel="0" collapsed="false">
      <c r="A247" s="3" t="n">
        <v>246</v>
      </c>
      <c r="B247" s="3" t="s">
        <v>951</v>
      </c>
      <c r="C247" s="4" t="s">
        <v>939</v>
      </c>
      <c r="D247" s="4" t="s">
        <v>952</v>
      </c>
      <c r="E247" s="3" t="s">
        <v>84</v>
      </c>
      <c r="F247" s="3" t="s">
        <v>953</v>
      </c>
      <c r="G247" s="3" t="s">
        <v>954</v>
      </c>
      <c r="H247" s="3" t="s">
        <v>56</v>
      </c>
      <c r="I247" s="3" t="s">
        <v>32</v>
      </c>
      <c r="J247" s="3" t="s">
        <v>133</v>
      </c>
      <c r="K247" s="3" t="s">
        <v>134</v>
      </c>
      <c r="L247" s="3" t="s">
        <v>69</v>
      </c>
      <c r="M247" s="3" t="s">
        <v>253</v>
      </c>
      <c r="N247" s="3" t="s">
        <v>89</v>
      </c>
      <c r="O247" s="3" t="s">
        <v>90</v>
      </c>
      <c r="P247" s="3" t="s">
        <v>254</v>
      </c>
      <c r="Q247" s="5" t="n">
        <v>4877.52</v>
      </c>
      <c r="R247" s="3" t="n">
        <v>12</v>
      </c>
      <c r="S247" s="6" t="n">
        <v>0</v>
      </c>
      <c r="T247" s="5" t="n">
        <v>1326.79</v>
      </c>
      <c r="U247" s="3" t="str">
        <f aca="false">IF(T247&lt;0,"Loss",IF(T247=0,"Break-even","Profit"))</f>
        <v>Profit</v>
      </c>
      <c r="V247" s="3" t="str">
        <f aca="false">IF(Q247&lt;100,"Low",IF(Q247&lt;=500,"Medium","High"))</f>
        <v>High</v>
      </c>
      <c r="W247" s="3" t="n">
        <f aca="false">D247-C247</f>
        <v>3</v>
      </c>
      <c r="X247" s="3" t="str">
        <f aca="false">TEXT(C247,"mmmm")</f>
        <v>June</v>
      </c>
      <c r="Y247" s="3" t="str">
        <f aca="false">LEFT(G247,1)&amp;MID(G247,FIND(" ",G247)+1,1)</f>
        <v>CB</v>
      </c>
    </row>
    <row r="248" customFormat="false" ht="15" hidden="false" customHeight="false" outlineLevel="0" collapsed="false">
      <c r="A248" s="3" t="n">
        <v>247</v>
      </c>
      <c r="B248" s="3" t="s">
        <v>955</v>
      </c>
      <c r="C248" s="4" t="s">
        <v>939</v>
      </c>
      <c r="D248" s="4" t="s">
        <v>956</v>
      </c>
      <c r="E248" s="3" t="s">
        <v>28</v>
      </c>
      <c r="F248" s="3" t="s">
        <v>957</v>
      </c>
      <c r="G248" s="3" t="s">
        <v>958</v>
      </c>
      <c r="H248" s="3" t="s">
        <v>45</v>
      </c>
      <c r="I248" s="3" t="s">
        <v>32</v>
      </c>
      <c r="J248" s="3" t="s">
        <v>67</v>
      </c>
      <c r="K248" s="3" t="s">
        <v>68</v>
      </c>
      <c r="L248" s="3" t="s">
        <v>69</v>
      </c>
      <c r="M248" s="3" t="s">
        <v>135</v>
      </c>
      <c r="N248" s="3" t="s">
        <v>37</v>
      </c>
      <c r="O248" s="3" t="s">
        <v>136</v>
      </c>
      <c r="P248" s="3" t="s">
        <v>137</v>
      </c>
      <c r="Q248" s="5" t="n">
        <v>304.53</v>
      </c>
      <c r="R248" s="3" t="n">
        <v>2</v>
      </c>
      <c r="S248" s="6" t="n">
        <v>0.3</v>
      </c>
      <c r="T248" s="5" t="n">
        <v>29.37</v>
      </c>
      <c r="U248" s="3" t="str">
        <f aca="false">IF(T248&lt;0,"Loss",IF(T248=0,"Break-even","Profit"))</f>
        <v>Profit</v>
      </c>
      <c r="V248" s="3" t="str">
        <f aca="false">IF(Q248&lt;100,"Low",IF(Q248&lt;=500,"Medium","High"))</f>
        <v>Medium</v>
      </c>
      <c r="W248" s="3" t="n">
        <f aca="false">D248-C248</f>
        <v>6</v>
      </c>
      <c r="X248" s="3" t="str">
        <f aca="false">TEXT(C248,"mmmm")</f>
        <v>June</v>
      </c>
      <c r="Y248" s="3" t="str">
        <f aca="false">LEFT(G248,1)&amp;MID(G248,FIND(" ",G248)+1,1)</f>
        <v>JM</v>
      </c>
    </row>
    <row r="249" customFormat="false" ht="15" hidden="false" customHeight="false" outlineLevel="0" collapsed="false">
      <c r="A249" s="3" t="n">
        <v>248</v>
      </c>
      <c r="B249" s="3" t="s">
        <v>959</v>
      </c>
      <c r="C249" s="4" t="s">
        <v>939</v>
      </c>
      <c r="D249" s="4" t="s">
        <v>952</v>
      </c>
      <c r="E249" s="3" t="s">
        <v>84</v>
      </c>
      <c r="F249" s="3" t="s">
        <v>960</v>
      </c>
      <c r="G249" s="3" t="s">
        <v>961</v>
      </c>
      <c r="H249" s="3" t="s">
        <v>31</v>
      </c>
      <c r="I249" s="3" t="s">
        <v>32</v>
      </c>
      <c r="J249" s="3" t="s">
        <v>873</v>
      </c>
      <c r="K249" s="3" t="s">
        <v>387</v>
      </c>
      <c r="L249" s="3" t="s">
        <v>35</v>
      </c>
      <c r="M249" s="3" t="s">
        <v>470</v>
      </c>
      <c r="N249" s="3" t="s">
        <v>49</v>
      </c>
      <c r="O249" s="3" t="s">
        <v>159</v>
      </c>
      <c r="P249" s="3" t="s">
        <v>471</v>
      </c>
      <c r="Q249" s="5" t="n">
        <v>434.84</v>
      </c>
      <c r="R249" s="3" t="n">
        <v>4</v>
      </c>
      <c r="S249" s="6" t="n">
        <v>0</v>
      </c>
      <c r="T249" s="5" t="n">
        <v>-102.93</v>
      </c>
      <c r="U249" s="3" t="str">
        <f aca="false">IF(T249&lt;0,"Loss",IF(T249=0,"Break-even","Profit"))</f>
        <v>Loss</v>
      </c>
      <c r="V249" s="3" t="str">
        <f aca="false">IF(Q249&lt;100,"Low",IF(Q249&lt;=500,"Medium","High"))</f>
        <v>Medium</v>
      </c>
      <c r="W249" s="3" t="n">
        <f aca="false">D249-C249</f>
        <v>3</v>
      </c>
      <c r="X249" s="3" t="str">
        <f aca="false">TEXT(C249,"mmmm")</f>
        <v>June</v>
      </c>
      <c r="Y249" s="3" t="str">
        <f aca="false">LEFT(G249,1)&amp;MID(G249,FIND(" ",G249)+1,1)</f>
        <v>JD</v>
      </c>
    </row>
    <row r="250" customFormat="false" ht="15" hidden="false" customHeight="false" outlineLevel="0" collapsed="false">
      <c r="A250" s="3" t="n">
        <v>249</v>
      </c>
      <c r="B250" s="3" t="s">
        <v>595</v>
      </c>
      <c r="C250" s="4" t="s">
        <v>931</v>
      </c>
      <c r="D250" s="4" t="s">
        <v>962</v>
      </c>
      <c r="E250" s="3" t="s">
        <v>84</v>
      </c>
      <c r="F250" s="3" t="s">
        <v>963</v>
      </c>
      <c r="G250" s="3" t="s">
        <v>964</v>
      </c>
      <c r="H250" s="3" t="s">
        <v>56</v>
      </c>
      <c r="I250" s="3" t="s">
        <v>32</v>
      </c>
      <c r="J250" s="3" t="s">
        <v>112</v>
      </c>
      <c r="K250" s="3" t="s">
        <v>113</v>
      </c>
      <c r="L250" s="3" t="s">
        <v>69</v>
      </c>
      <c r="M250" s="3" t="s">
        <v>121</v>
      </c>
      <c r="N250" s="3" t="s">
        <v>49</v>
      </c>
      <c r="O250" s="3" t="s">
        <v>50</v>
      </c>
      <c r="P250" s="3" t="s">
        <v>122</v>
      </c>
      <c r="Q250" s="5" t="n">
        <v>145</v>
      </c>
      <c r="R250" s="3" t="n">
        <v>8</v>
      </c>
      <c r="S250" s="6" t="n">
        <v>0</v>
      </c>
      <c r="T250" s="5" t="n">
        <v>-19.75</v>
      </c>
      <c r="U250" s="3" t="str">
        <f aca="false">IF(T250&lt;0,"Loss",IF(T250=0,"Break-even","Profit"))</f>
        <v>Loss</v>
      </c>
      <c r="V250" s="3" t="str">
        <f aca="false">IF(Q250&lt;100,"Low",IF(Q250&lt;=500,"Medium","High"))</f>
        <v>Medium</v>
      </c>
      <c r="W250" s="3" t="n">
        <f aca="false">D250-C250</f>
        <v>4</v>
      </c>
      <c r="X250" s="3" t="str">
        <f aca="false">TEXT(C250,"mmmm")</f>
        <v>June</v>
      </c>
      <c r="Y250" s="3" t="str">
        <f aca="false">LEFT(G250,1)&amp;MID(G250,FIND(" ",G250)+1,1)</f>
        <v>FB</v>
      </c>
    </row>
    <row r="251" customFormat="false" ht="15" hidden="false" customHeight="false" outlineLevel="0" collapsed="false">
      <c r="A251" s="3" t="n">
        <v>250</v>
      </c>
      <c r="B251" s="3" t="s">
        <v>965</v>
      </c>
      <c r="C251" s="4" t="s">
        <v>937</v>
      </c>
      <c r="D251" s="4" t="s">
        <v>962</v>
      </c>
      <c r="E251" s="3" t="s">
        <v>28</v>
      </c>
      <c r="F251" s="3" t="s">
        <v>966</v>
      </c>
      <c r="G251" s="3" t="s">
        <v>967</v>
      </c>
      <c r="H251" s="3" t="s">
        <v>31</v>
      </c>
      <c r="I251" s="3" t="s">
        <v>32</v>
      </c>
      <c r="J251" s="3" t="s">
        <v>476</v>
      </c>
      <c r="K251" s="3" t="s">
        <v>366</v>
      </c>
      <c r="L251" s="3" t="s">
        <v>157</v>
      </c>
      <c r="M251" s="3" t="s">
        <v>48</v>
      </c>
      <c r="N251" s="3" t="s">
        <v>49</v>
      </c>
      <c r="O251" s="3" t="s">
        <v>50</v>
      </c>
      <c r="P251" s="3" t="s">
        <v>51</v>
      </c>
      <c r="Q251" s="5" t="n">
        <v>195.54</v>
      </c>
      <c r="R251" s="3" t="n">
        <v>6</v>
      </c>
      <c r="S251" s="6" t="n">
        <v>0.4</v>
      </c>
      <c r="T251" s="5" t="n">
        <v>-8.02</v>
      </c>
      <c r="U251" s="3" t="str">
        <f aca="false">IF(T251&lt;0,"Loss",IF(T251=0,"Break-even","Profit"))</f>
        <v>Loss</v>
      </c>
      <c r="V251" s="3" t="str">
        <f aca="false">IF(Q251&lt;100,"Low",IF(Q251&lt;=500,"Medium","High"))</f>
        <v>Medium</v>
      </c>
      <c r="W251" s="3" t="n">
        <f aca="false">D251-C251</f>
        <v>3</v>
      </c>
      <c r="X251" s="3" t="str">
        <f aca="false">TEXT(C251,"mmmm")</f>
        <v>June</v>
      </c>
      <c r="Y251" s="3" t="str">
        <f aca="false">LEFT(G251,1)&amp;MID(G251,FIND(" ",G251)+1,1)</f>
        <v>RT</v>
      </c>
    </row>
    <row r="252" customFormat="false" ht="15" hidden="false" customHeight="false" outlineLevel="0" collapsed="false">
      <c r="A252" s="3" t="n">
        <v>251</v>
      </c>
      <c r="B252" s="3" t="s">
        <v>968</v>
      </c>
      <c r="C252" s="4" t="s">
        <v>952</v>
      </c>
      <c r="D252" s="4" t="s">
        <v>969</v>
      </c>
      <c r="E252" s="3" t="s">
        <v>28</v>
      </c>
      <c r="F252" s="3" t="s">
        <v>970</v>
      </c>
      <c r="G252" s="3" t="s">
        <v>971</v>
      </c>
      <c r="H252" s="3" t="s">
        <v>56</v>
      </c>
      <c r="I252" s="3" t="s">
        <v>32</v>
      </c>
      <c r="J252" s="3" t="s">
        <v>663</v>
      </c>
      <c r="K252" s="3" t="s">
        <v>307</v>
      </c>
      <c r="L252" s="3" t="s">
        <v>69</v>
      </c>
      <c r="M252" s="3" t="s">
        <v>195</v>
      </c>
      <c r="N252" s="3" t="s">
        <v>37</v>
      </c>
      <c r="O252" s="3" t="s">
        <v>196</v>
      </c>
      <c r="P252" s="3" t="s">
        <v>197</v>
      </c>
      <c r="Q252" s="5" t="n">
        <v>7902.84</v>
      </c>
      <c r="R252" s="3" t="n">
        <v>14</v>
      </c>
      <c r="S252" s="6" t="n">
        <v>0</v>
      </c>
      <c r="T252" s="5" t="n">
        <v>-1730.84</v>
      </c>
      <c r="U252" s="3" t="str">
        <f aca="false">IF(T252&lt;0,"Loss",IF(T252=0,"Break-even","Profit"))</f>
        <v>Loss</v>
      </c>
      <c r="V252" s="3" t="str">
        <f aca="false">IF(Q252&lt;100,"Low",IF(Q252&lt;=500,"Medium","High"))</f>
        <v>High</v>
      </c>
      <c r="W252" s="3" t="n">
        <f aca="false">D252-C252</f>
        <v>6</v>
      </c>
      <c r="X252" s="3" t="str">
        <f aca="false">TEXT(C252,"mmmm")</f>
        <v>June</v>
      </c>
      <c r="Y252" s="3" t="str">
        <f aca="false">LEFT(G252,1)&amp;MID(G252,FIND(" ",G252)+1,1)</f>
        <v>PG</v>
      </c>
    </row>
    <row r="253" customFormat="false" ht="15" hidden="false" customHeight="false" outlineLevel="0" collapsed="false">
      <c r="A253" s="3" t="n">
        <v>252</v>
      </c>
      <c r="B253" s="3" t="s">
        <v>972</v>
      </c>
      <c r="C253" s="4" t="s">
        <v>948</v>
      </c>
      <c r="D253" s="4" t="s">
        <v>962</v>
      </c>
      <c r="E253" s="3" t="s">
        <v>42</v>
      </c>
      <c r="F253" s="3" t="s">
        <v>592</v>
      </c>
      <c r="G253" s="3" t="s">
        <v>593</v>
      </c>
      <c r="H253" s="3" t="s">
        <v>31</v>
      </c>
      <c r="I253" s="3" t="s">
        <v>32</v>
      </c>
      <c r="J253" s="3" t="s">
        <v>252</v>
      </c>
      <c r="K253" s="3" t="s">
        <v>172</v>
      </c>
      <c r="L253" s="3" t="s">
        <v>157</v>
      </c>
      <c r="M253" s="3" t="s">
        <v>253</v>
      </c>
      <c r="N253" s="3" t="s">
        <v>89</v>
      </c>
      <c r="O253" s="3" t="s">
        <v>90</v>
      </c>
      <c r="P253" s="3" t="s">
        <v>254</v>
      </c>
      <c r="Q253" s="5" t="n">
        <v>3767.23</v>
      </c>
      <c r="R253" s="3" t="n">
        <v>5</v>
      </c>
      <c r="S253" s="6" t="n">
        <v>0.3</v>
      </c>
      <c r="T253" s="5" t="n">
        <v>439.95</v>
      </c>
      <c r="U253" s="3" t="str">
        <f aca="false">IF(T253&lt;0,"Loss",IF(T253=0,"Break-even","Profit"))</f>
        <v>Profit</v>
      </c>
      <c r="V253" s="3" t="str">
        <f aca="false">IF(Q253&lt;100,"Low",IF(Q253&lt;=500,"Medium","High"))</f>
        <v>High</v>
      </c>
      <c r="W253" s="3" t="n">
        <f aca="false">D253-C253</f>
        <v>1</v>
      </c>
      <c r="X253" s="3" t="str">
        <f aca="false">TEXT(C253,"mmmm")</f>
        <v>June</v>
      </c>
      <c r="Y253" s="3" t="str">
        <f aca="false">LEFT(G253,1)&amp;MID(G253,FIND(" ",G253)+1,1)</f>
        <v>PB</v>
      </c>
    </row>
    <row r="254" customFormat="false" ht="15" hidden="false" customHeight="false" outlineLevel="0" collapsed="false">
      <c r="A254" s="3" t="n">
        <v>253</v>
      </c>
      <c r="B254" s="3" t="s">
        <v>973</v>
      </c>
      <c r="C254" s="4" t="s">
        <v>962</v>
      </c>
      <c r="D254" s="4" t="s">
        <v>974</v>
      </c>
      <c r="E254" s="3" t="s">
        <v>28</v>
      </c>
      <c r="F254" s="3" t="s">
        <v>844</v>
      </c>
      <c r="G254" s="3" t="s">
        <v>845</v>
      </c>
      <c r="H254" s="3" t="s">
        <v>56</v>
      </c>
      <c r="I254" s="3" t="s">
        <v>32</v>
      </c>
      <c r="J254" s="3" t="s">
        <v>737</v>
      </c>
      <c r="K254" s="3" t="s">
        <v>307</v>
      </c>
      <c r="L254" s="3" t="s">
        <v>69</v>
      </c>
      <c r="M254" s="3" t="s">
        <v>461</v>
      </c>
      <c r="N254" s="3" t="s">
        <v>37</v>
      </c>
      <c r="O254" s="3" t="s">
        <v>71</v>
      </c>
      <c r="P254" s="3" t="s">
        <v>462</v>
      </c>
      <c r="Q254" s="5" t="n">
        <v>5264.58</v>
      </c>
      <c r="R254" s="3" t="n">
        <v>5</v>
      </c>
      <c r="S254" s="6" t="n">
        <v>0</v>
      </c>
      <c r="T254" s="5" t="n">
        <v>758.32</v>
      </c>
      <c r="U254" s="3" t="str">
        <f aca="false">IF(T254&lt;0,"Loss",IF(T254=0,"Break-even","Profit"))</f>
        <v>Profit</v>
      </c>
      <c r="V254" s="3" t="str">
        <f aca="false">IF(Q254&lt;100,"Low",IF(Q254&lt;=500,"Medium","High"))</f>
        <v>High</v>
      </c>
      <c r="W254" s="3" t="n">
        <f aca="false">D254-C254</f>
        <v>5</v>
      </c>
      <c r="X254" s="3" t="str">
        <f aca="false">TEXT(C254,"mmmm")</f>
        <v>June</v>
      </c>
      <c r="Y254" s="3" t="str">
        <f aca="false">LEFT(G254,1)&amp;MID(G254,FIND(" ",G254)+1,1)</f>
        <v>AJ</v>
      </c>
    </row>
    <row r="255" customFormat="false" ht="15" hidden="false" customHeight="false" outlineLevel="0" collapsed="false">
      <c r="A255" s="3" t="n">
        <v>254</v>
      </c>
      <c r="B255" s="3" t="s">
        <v>975</v>
      </c>
      <c r="C255" s="4" t="s">
        <v>956</v>
      </c>
      <c r="D255" s="4" t="s">
        <v>976</v>
      </c>
      <c r="E255" s="3" t="s">
        <v>42</v>
      </c>
      <c r="F255" s="3" t="s">
        <v>465</v>
      </c>
      <c r="G255" s="3" t="s">
        <v>466</v>
      </c>
      <c r="H255" s="3" t="s">
        <v>45</v>
      </c>
      <c r="I255" s="3" t="s">
        <v>32</v>
      </c>
      <c r="J255" s="3" t="s">
        <v>33</v>
      </c>
      <c r="K255" s="3" t="s">
        <v>34</v>
      </c>
      <c r="L255" s="3" t="s">
        <v>35</v>
      </c>
      <c r="M255" s="3" t="s">
        <v>142</v>
      </c>
      <c r="N255" s="3" t="s">
        <v>49</v>
      </c>
      <c r="O255" s="3" t="s">
        <v>143</v>
      </c>
      <c r="P255" s="3" t="s">
        <v>144</v>
      </c>
      <c r="Q255" s="5" t="n">
        <v>338.96</v>
      </c>
      <c r="R255" s="3" t="n">
        <v>6</v>
      </c>
      <c r="S255" s="6" t="n">
        <v>0.1</v>
      </c>
      <c r="T255" s="5" t="n">
        <v>106.68</v>
      </c>
      <c r="U255" s="3" t="str">
        <f aca="false">IF(T255&lt;0,"Loss",IF(T255=0,"Break-even","Profit"))</f>
        <v>Profit</v>
      </c>
      <c r="V255" s="3" t="str">
        <f aca="false">IF(Q255&lt;100,"Low",IF(Q255&lt;=500,"Medium","High"))</f>
        <v>Medium</v>
      </c>
      <c r="W255" s="3" t="n">
        <f aca="false">D255-C255</f>
        <v>2</v>
      </c>
      <c r="X255" s="3" t="str">
        <f aca="false">TEXT(C255,"mmmm")</f>
        <v>June</v>
      </c>
      <c r="Y255" s="3" t="str">
        <f aca="false">LEFT(G255,1)&amp;MID(G255,FIND(" ",G255)+1,1)</f>
        <v>PJ</v>
      </c>
    </row>
    <row r="256" customFormat="false" ht="15" hidden="false" customHeight="false" outlineLevel="0" collapsed="false">
      <c r="A256" s="3" t="n">
        <v>255</v>
      </c>
      <c r="B256" s="3" t="s">
        <v>977</v>
      </c>
      <c r="C256" s="4" t="s">
        <v>956</v>
      </c>
      <c r="D256" s="4" t="s">
        <v>978</v>
      </c>
      <c r="E256" s="3" t="s">
        <v>28</v>
      </c>
      <c r="F256" s="3" t="s">
        <v>979</v>
      </c>
      <c r="G256" s="3" t="s">
        <v>980</v>
      </c>
      <c r="H256" s="3" t="s">
        <v>56</v>
      </c>
      <c r="I256" s="3" t="s">
        <v>32</v>
      </c>
      <c r="J256" s="3" t="s">
        <v>365</v>
      </c>
      <c r="K256" s="3" t="s">
        <v>366</v>
      </c>
      <c r="L256" s="3" t="s">
        <v>157</v>
      </c>
      <c r="M256" s="3" t="s">
        <v>470</v>
      </c>
      <c r="N256" s="3" t="s">
        <v>49</v>
      </c>
      <c r="O256" s="3" t="s">
        <v>159</v>
      </c>
      <c r="P256" s="3" t="s">
        <v>471</v>
      </c>
      <c r="Q256" s="5" t="n">
        <v>177.64</v>
      </c>
      <c r="R256" s="3" t="n">
        <v>2</v>
      </c>
      <c r="S256" s="6" t="n">
        <v>0.3</v>
      </c>
      <c r="T256" s="5" t="n">
        <v>13.99</v>
      </c>
      <c r="U256" s="3" t="str">
        <f aca="false">IF(T256&lt;0,"Loss",IF(T256=0,"Break-even","Profit"))</f>
        <v>Profit</v>
      </c>
      <c r="V256" s="3" t="str">
        <f aca="false">IF(Q256&lt;100,"Low",IF(Q256&lt;=500,"Medium","High"))</f>
        <v>Medium</v>
      </c>
      <c r="W256" s="3" t="n">
        <f aca="false">D256-C256</f>
        <v>5</v>
      </c>
      <c r="X256" s="3" t="str">
        <f aca="false">TEXT(C256,"mmmm")</f>
        <v>June</v>
      </c>
      <c r="Y256" s="3" t="str">
        <f aca="false">LEFT(G256,1)&amp;MID(G256,FIND(" ",G256)+1,1)</f>
        <v>CK</v>
      </c>
    </row>
    <row r="257" customFormat="false" ht="15" hidden="false" customHeight="false" outlineLevel="0" collapsed="false">
      <c r="A257" s="3" t="n">
        <v>256</v>
      </c>
      <c r="B257" s="3" t="s">
        <v>981</v>
      </c>
      <c r="C257" s="4" t="s">
        <v>969</v>
      </c>
      <c r="D257" s="4" t="s">
        <v>982</v>
      </c>
      <c r="E257" s="3" t="s">
        <v>28</v>
      </c>
      <c r="F257" s="3" t="s">
        <v>983</v>
      </c>
      <c r="G257" s="3" t="s">
        <v>984</v>
      </c>
      <c r="H257" s="3" t="s">
        <v>45</v>
      </c>
      <c r="I257" s="3" t="s">
        <v>32</v>
      </c>
      <c r="J257" s="3" t="s">
        <v>315</v>
      </c>
      <c r="K257" s="3" t="s">
        <v>58</v>
      </c>
      <c r="L257" s="3" t="s">
        <v>59</v>
      </c>
      <c r="M257" s="3" t="s">
        <v>420</v>
      </c>
      <c r="N257" s="3" t="s">
        <v>49</v>
      </c>
      <c r="O257" s="3" t="s">
        <v>80</v>
      </c>
      <c r="P257" s="3" t="s">
        <v>421</v>
      </c>
      <c r="Q257" s="5" t="n">
        <v>16.79</v>
      </c>
      <c r="R257" s="3" t="n">
        <v>1</v>
      </c>
      <c r="S257" s="6" t="n">
        <v>0.1</v>
      </c>
      <c r="T257" s="5" t="n">
        <v>4.09</v>
      </c>
      <c r="U257" s="3" t="str">
        <f aca="false">IF(T257&lt;0,"Loss",IF(T257=0,"Break-even","Profit"))</f>
        <v>Profit</v>
      </c>
      <c r="V257" s="3" t="str">
        <f aca="false">IF(Q257&lt;100,"Low",IF(Q257&lt;=500,"Medium","High"))</f>
        <v>Low</v>
      </c>
      <c r="W257" s="3" t="n">
        <f aca="false">D257-C257</f>
        <v>6</v>
      </c>
      <c r="X257" s="3" t="str">
        <f aca="false">TEXT(C257,"mmmm")</f>
        <v>June</v>
      </c>
      <c r="Y257" s="3" t="str">
        <f aca="false">LEFT(G257,1)&amp;MID(G257,FIND(" ",G257)+1,1)</f>
        <v>JS</v>
      </c>
    </row>
    <row r="258" customFormat="false" ht="15" hidden="false" customHeight="false" outlineLevel="0" collapsed="false">
      <c r="A258" s="3" t="n">
        <v>257</v>
      </c>
      <c r="B258" s="3" t="s">
        <v>985</v>
      </c>
      <c r="C258" s="4" t="s">
        <v>969</v>
      </c>
      <c r="D258" s="4" t="s">
        <v>986</v>
      </c>
      <c r="E258" s="3" t="s">
        <v>28</v>
      </c>
      <c r="F258" s="3" t="s">
        <v>637</v>
      </c>
      <c r="G258" s="3" t="s">
        <v>638</v>
      </c>
      <c r="H258" s="3" t="s">
        <v>56</v>
      </c>
      <c r="I258" s="3" t="s">
        <v>32</v>
      </c>
      <c r="J258" s="3" t="s">
        <v>365</v>
      </c>
      <c r="K258" s="3" t="s">
        <v>366</v>
      </c>
      <c r="L258" s="3" t="s">
        <v>157</v>
      </c>
      <c r="M258" s="3" t="s">
        <v>290</v>
      </c>
      <c r="N258" s="3" t="s">
        <v>37</v>
      </c>
      <c r="O258" s="3" t="s">
        <v>38</v>
      </c>
      <c r="P258" s="3" t="s">
        <v>291</v>
      </c>
      <c r="Q258" s="5" t="n">
        <v>12320.85</v>
      </c>
      <c r="R258" s="3" t="n">
        <v>8</v>
      </c>
      <c r="S258" s="6" t="n">
        <v>0.4</v>
      </c>
      <c r="T258" s="5" t="n">
        <v>-2273.22</v>
      </c>
      <c r="U258" s="3" t="str">
        <f aca="false">IF(T258&lt;0,"Loss",IF(T258=0,"Break-even","Profit"))</f>
        <v>Loss</v>
      </c>
      <c r="V258" s="3" t="str">
        <f aca="false">IF(Q258&lt;100,"Low",IF(Q258&lt;=500,"Medium","High"))</f>
        <v>High</v>
      </c>
      <c r="W258" s="3" t="n">
        <f aca="false">D258-C258</f>
        <v>3</v>
      </c>
      <c r="X258" s="3" t="str">
        <f aca="false">TEXT(C258,"mmmm")</f>
        <v>June</v>
      </c>
      <c r="Y258" s="3" t="str">
        <f aca="false">LEFT(G258,1)&amp;MID(G258,FIND(" ",G258)+1,1)</f>
        <v>JM</v>
      </c>
    </row>
    <row r="259" customFormat="false" ht="15" hidden="false" customHeight="false" outlineLevel="0" collapsed="false">
      <c r="A259" s="3" t="n">
        <v>258</v>
      </c>
      <c r="B259" s="3" t="s">
        <v>987</v>
      </c>
      <c r="C259" s="4" t="s">
        <v>969</v>
      </c>
      <c r="D259" s="4" t="s">
        <v>988</v>
      </c>
      <c r="E259" s="3" t="s">
        <v>28</v>
      </c>
      <c r="F259" s="3" t="s">
        <v>989</v>
      </c>
      <c r="G259" s="3" t="s">
        <v>990</v>
      </c>
      <c r="H259" s="3" t="s">
        <v>45</v>
      </c>
      <c r="I259" s="3" t="s">
        <v>32</v>
      </c>
      <c r="J259" s="3" t="s">
        <v>77</v>
      </c>
      <c r="K259" s="3" t="s">
        <v>78</v>
      </c>
      <c r="L259" s="3" t="s">
        <v>59</v>
      </c>
      <c r="M259" s="3" t="s">
        <v>219</v>
      </c>
      <c r="N259" s="3" t="s">
        <v>49</v>
      </c>
      <c r="O259" s="3" t="s">
        <v>220</v>
      </c>
      <c r="P259" s="3" t="s">
        <v>221</v>
      </c>
      <c r="Q259" s="5" t="n">
        <v>78.68</v>
      </c>
      <c r="R259" s="3" t="n">
        <v>1</v>
      </c>
      <c r="S259" s="6" t="n">
        <v>0</v>
      </c>
      <c r="T259" s="5" t="n">
        <v>-5.98</v>
      </c>
      <c r="U259" s="3" t="str">
        <f aca="false">IF(T259&lt;0,"Loss",IF(T259=0,"Break-even","Profit"))</f>
        <v>Loss</v>
      </c>
      <c r="V259" s="3" t="str">
        <f aca="false">IF(Q259&lt;100,"Low",IF(Q259&lt;=500,"Medium","High"))</f>
        <v>Low</v>
      </c>
      <c r="W259" s="3" t="n">
        <f aca="false">D259-C259</f>
        <v>4</v>
      </c>
      <c r="X259" s="3" t="str">
        <f aca="false">TEXT(C259,"mmmm")</f>
        <v>June</v>
      </c>
      <c r="Y259" s="3" t="str">
        <f aca="false">LEFT(G259,1)&amp;MID(G259,FIND(" ",G259)+1,1)</f>
        <v>EK</v>
      </c>
    </row>
    <row r="260" customFormat="false" ht="15" hidden="false" customHeight="false" outlineLevel="0" collapsed="false">
      <c r="A260" s="3" t="n">
        <v>259</v>
      </c>
      <c r="B260" s="3" t="s">
        <v>265</v>
      </c>
      <c r="C260" s="4" t="s">
        <v>974</v>
      </c>
      <c r="D260" s="4" t="s">
        <v>991</v>
      </c>
      <c r="E260" s="3" t="s">
        <v>28</v>
      </c>
      <c r="F260" s="3" t="s">
        <v>992</v>
      </c>
      <c r="G260" s="3" t="s">
        <v>993</v>
      </c>
      <c r="H260" s="3" t="s">
        <v>56</v>
      </c>
      <c r="I260" s="3" t="s">
        <v>32</v>
      </c>
      <c r="J260" s="3" t="s">
        <v>104</v>
      </c>
      <c r="K260" s="3" t="s">
        <v>96</v>
      </c>
      <c r="L260" s="3" t="s">
        <v>59</v>
      </c>
      <c r="M260" s="3" t="s">
        <v>195</v>
      </c>
      <c r="N260" s="3" t="s">
        <v>37</v>
      </c>
      <c r="O260" s="3" t="s">
        <v>196</v>
      </c>
      <c r="P260" s="3" t="s">
        <v>197</v>
      </c>
      <c r="Q260" s="5" t="n">
        <v>3452.11</v>
      </c>
      <c r="R260" s="3" t="n">
        <v>2</v>
      </c>
      <c r="S260" s="6" t="n">
        <v>0.1</v>
      </c>
      <c r="T260" s="5" t="n">
        <v>-237.33</v>
      </c>
      <c r="U260" s="3" t="str">
        <f aca="false">IF(T260&lt;0,"Loss",IF(T260=0,"Break-even","Profit"))</f>
        <v>Loss</v>
      </c>
      <c r="V260" s="3" t="str">
        <f aca="false">IF(Q260&lt;100,"Low",IF(Q260&lt;=500,"Medium","High"))</f>
        <v>High</v>
      </c>
      <c r="W260" s="3" t="n">
        <f aca="false">D260-C260</f>
        <v>6</v>
      </c>
      <c r="X260" s="3" t="str">
        <f aca="false">TEXT(C260,"mmmm")</f>
        <v>June</v>
      </c>
      <c r="Y260" s="3" t="str">
        <f aca="false">LEFT(G260,1)&amp;MID(G260,FIND(" ",G260)+1,1)</f>
        <v>LB</v>
      </c>
    </row>
    <row r="261" customFormat="false" ht="15" hidden="false" customHeight="false" outlineLevel="0" collapsed="false">
      <c r="A261" s="3" t="n">
        <v>260</v>
      </c>
      <c r="B261" s="3" t="s">
        <v>994</v>
      </c>
      <c r="C261" s="4" t="s">
        <v>978</v>
      </c>
      <c r="D261" s="4" t="s">
        <v>995</v>
      </c>
      <c r="E261" s="3" t="s">
        <v>28</v>
      </c>
      <c r="F261" s="3" t="s">
        <v>250</v>
      </c>
      <c r="G261" s="3" t="s">
        <v>251</v>
      </c>
      <c r="H261" s="3" t="s">
        <v>45</v>
      </c>
      <c r="I261" s="3" t="s">
        <v>32</v>
      </c>
      <c r="J261" s="3" t="s">
        <v>148</v>
      </c>
      <c r="K261" s="3" t="s">
        <v>78</v>
      </c>
      <c r="L261" s="3" t="s">
        <v>59</v>
      </c>
      <c r="M261" s="3" t="s">
        <v>149</v>
      </c>
      <c r="N261" s="3" t="s">
        <v>49</v>
      </c>
      <c r="O261" s="3" t="s">
        <v>150</v>
      </c>
      <c r="P261" s="3" t="s">
        <v>151</v>
      </c>
      <c r="Q261" s="5" t="n">
        <v>299.24</v>
      </c>
      <c r="R261" s="3" t="n">
        <v>13</v>
      </c>
      <c r="S261" s="6" t="n">
        <v>0.2</v>
      </c>
      <c r="T261" s="5" t="n">
        <v>-42.1</v>
      </c>
      <c r="U261" s="3" t="str">
        <f aca="false">IF(T261&lt;0,"Loss",IF(T261=0,"Break-even","Profit"))</f>
        <v>Loss</v>
      </c>
      <c r="V261" s="3" t="str">
        <f aca="false">IF(Q261&lt;100,"Low",IF(Q261&lt;=500,"Medium","High"))</f>
        <v>Medium</v>
      </c>
      <c r="W261" s="3" t="n">
        <f aca="false">D261-C261</f>
        <v>6</v>
      </c>
      <c r="X261" s="3" t="str">
        <f aca="false">TEXT(C261,"mmmm")</f>
        <v>June</v>
      </c>
      <c r="Y261" s="3" t="str">
        <f aca="false">LEFT(G261,1)&amp;MID(G261,FIND(" ",G261)+1,1)</f>
        <v>JK</v>
      </c>
    </row>
    <row r="262" customFormat="false" ht="15" hidden="false" customHeight="false" outlineLevel="0" collapsed="false">
      <c r="A262" s="3" t="n">
        <v>261</v>
      </c>
      <c r="B262" s="3" t="s">
        <v>996</v>
      </c>
      <c r="C262" s="4" t="s">
        <v>978</v>
      </c>
      <c r="D262" s="4" t="s">
        <v>997</v>
      </c>
      <c r="E262" s="3" t="s">
        <v>28</v>
      </c>
      <c r="F262" s="3" t="s">
        <v>998</v>
      </c>
      <c r="G262" s="3" t="s">
        <v>999</v>
      </c>
      <c r="H262" s="3" t="s">
        <v>56</v>
      </c>
      <c r="I262" s="3" t="s">
        <v>32</v>
      </c>
      <c r="J262" s="3" t="s">
        <v>95</v>
      </c>
      <c r="K262" s="3" t="s">
        <v>96</v>
      </c>
      <c r="L262" s="3" t="s">
        <v>59</v>
      </c>
      <c r="M262" s="3" t="s">
        <v>165</v>
      </c>
      <c r="N262" s="3" t="s">
        <v>89</v>
      </c>
      <c r="O262" s="3" t="s">
        <v>166</v>
      </c>
      <c r="P262" s="3" t="s">
        <v>167</v>
      </c>
      <c r="Q262" s="5" t="n">
        <v>3148.15</v>
      </c>
      <c r="R262" s="3" t="n">
        <v>7</v>
      </c>
      <c r="S262" s="6" t="n">
        <v>0</v>
      </c>
      <c r="T262" s="5" t="n">
        <v>22.74</v>
      </c>
      <c r="U262" s="3" t="str">
        <f aca="false">IF(T262&lt;0,"Loss",IF(T262=0,"Break-even","Profit"))</f>
        <v>Profit</v>
      </c>
      <c r="V262" s="3" t="str">
        <f aca="false">IF(Q262&lt;100,"Low",IF(Q262&lt;=500,"Medium","High"))</f>
        <v>High</v>
      </c>
      <c r="W262" s="3" t="n">
        <f aca="false">D262-C262</f>
        <v>7</v>
      </c>
      <c r="X262" s="3" t="str">
        <f aca="false">TEXT(C262,"mmmm")</f>
        <v>June</v>
      </c>
      <c r="Y262" s="3" t="str">
        <f aca="false">LEFT(G262,1)&amp;MID(G262,FIND(" ",G262)+1,1)</f>
        <v>OM</v>
      </c>
    </row>
    <row r="263" customFormat="false" ht="15" hidden="false" customHeight="false" outlineLevel="0" collapsed="false">
      <c r="A263" s="3" t="n">
        <v>262</v>
      </c>
      <c r="B263" s="3" t="s">
        <v>1000</v>
      </c>
      <c r="C263" s="4" t="s">
        <v>988</v>
      </c>
      <c r="D263" s="4" t="s">
        <v>997</v>
      </c>
      <c r="E263" s="3" t="s">
        <v>28</v>
      </c>
      <c r="F263" s="3" t="s">
        <v>865</v>
      </c>
      <c r="G263" s="3" t="s">
        <v>866</v>
      </c>
      <c r="H263" s="3" t="s">
        <v>56</v>
      </c>
      <c r="I263" s="3" t="s">
        <v>32</v>
      </c>
      <c r="J263" s="3" t="s">
        <v>306</v>
      </c>
      <c r="K263" s="3" t="s">
        <v>307</v>
      </c>
      <c r="L263" s="3" t="s">
        <v>69</v>
      </c>
      <c r="M263" s="3" t="s">
        <v>300</v>
      </c>
      <c r="N263" s="3" t="s">
        <v>49</v>
      </c>
      <c r="O263" s="3" t="s">
        <v>143</v>
      </c>
      <c r="P263" s="3" t="s">
        <v>301</v>
      </c>
      <c r="Q263" s="5" t="n">
        <v>364.25</v>
      </c>
      <c r="R263" s="3" t="n">
        <v>6</v>
      </c>
      <c r="S263" s="6" t="n">
        <v>0.2</v>
      </c>
      <c r="T263" s="5" t="n">
        <v>65.48</v>
      </c>
      <c r="U263" s="3" t="str">
        <f aca="false">IF(T263&lt;0,"Loss",IF(T263=0,"Break-even","Profit"))</f>
        <v>Profit</v>
      </c>
      <c r="V263" s="3" t="str">
        <f aca="false">IF(Q263&lt;100,"Low",IF(Q263&lt;=500,"Medium","High"))</f>
        <v>Medium</v>
      </c>
      <c r="W263" s="3" t="n">
        <f aca="false">D263-C263</f>
        <v>5</v>
      </c>
      <c r="X263" s="3" t="str">
        <f aca="false">TEXT(C263,"mmmm")</f>
        <v>July</v>
      </c>
      <c r="Y263" s="3" t="str">
        <f aca="false">LEFT(G263,1)&amp;MID(G263,FIND(" ",G263)+1,1)</f>
        <v>MJ</v>
      </c>
    </row>
    <row r="264" customFormat="false" ht="15" hidden="false" customHeight="false" outlineLevel="0" collapsed="false">
      <c r="A264" s="3" t="n">
        <v>263</v>
      </c>
      <c r="B264" s="3" t="s">
        <v>1001</v>
      </c>
      <c r="C264" s="4" t="s">
        <v>988</v>
      </c>
      <c r="D264" s="4" t="s">
        <v>982</v>
      </c>
      <c r="E264" s="3" t="s">
        <v>42</v>
      </c>
      <c r="F264" s="3" t="s">
        <v>1002</v>
      </c>
      <c r="G264" s="3" t="s">
        <v>1003</v>
      </c>
      <c r="H264" s="3" t="s">
        <v>45</v>
      </c>
      <c r="I264" s="3" t="s">
        <v>32</v>
      </c>
      <c r="J264" s="3" t="s">
        <v>252</v>
      </c>
      <c r="K264" s="3" t="s">
        <v>172</v>
      </c>
      <c r="L264" s="3" t="s">
        <v>157</v>
      </c>
      <c r="M264" s="3" t="s">
        <v>121</v>
      </c>
      <c r="N264" s="3" t="s">
        <v>49</v>
      </c>
      <c r="O264" s="3" t="s">
        <v>50</v>
      </c>
      <c r="P264" s="3" t="s">
        <v>122</v>
      </c>
      <c r="Q264" s="5" t="n">
        <v>820.63</v>
      </c>
      <c r="R264" s="3" t="n">
        <v>9</v>
      </c>
      <c r="S264" s="6" t="n">
        <v>0.3</v>
      </c>
      <c r="T264" s="5" t="n">
        <v>-213.93</v>
      </c>
      <c r="U264" s="3" t="str">
        <f aca="false">IF(T264&lt;0,"Loss",IF(T264=0,"Break-even","Profit"))</f>
        <v>Loss</v>
      </c>
      <c r="V264" s="3" t="str">
        <f aca="false">IF(Q264&lt;100,"Low",IF(Q264&lt;=500,"Medium","High"))</f>
        <v>High</v>
      </c>
      <c r="W264" s="3" t="n">
        <f aca="false">D264-C264</f>
        <v>2</v>
      </c>
      <c r="X264" s="3" t="str">
        <f aca="false">TEXT(C264,"mmmm")</f>
        <v>July</v>
      </c>
      <c r="Y264" s="3" t="str">
        <f aca="false">LEFT(G264,1)&amp;MID(G264,FIND(" ",G264)+1,1)</f>
        <v>JN</v>
      </c>
    </row>
    <row r="265" customFormat="false" ht="15" hidden="false" customHeight="false" outlineLevel="0" collapsed="false">
      <c r="A265" s="3" t="n">
        <v>264</v>
      </c>
      <c r="B265" s="3" t="s">
        <v>1004</v>
      </c>
      <c r="C265" s="4" t="s">
        <v>1005</v>
      </c>
      <c r="D265" s="4" t="s">
        <v>1006</v>
      </c>
      <c r="E265" s="3" t="s">
        <v>28</v>
      </c>
      <c r="F265" s="3" t="s">
        <v>310</v>
      </c>
      <c r="G265" s="3" t="s">
        <v>311</v>
      </c>
      <c r="H265" s="3" t="s">
        <v>45</v>
      </c>
      <c r="I265" s="3" t="s">
        <v>32</v>
      </c>
      <c r="J265" s="3" t="s">
        <v>365</v>
      </c>
      <c r="K265" s="3" t="s">
        <v>366</v>
      </c>
      <c r="L265" s="3" t="s">
        <v>157</v>
      </c>
      <c r="M265" s="3" t="s">
        <v>105</v>
      </c>
      <c r="N265" s="3" t="s">
        <v>49</v>
      </c>
      <c r="O265" s="3" t="s">
        <v>106</v>
      </c>
      <c r="P265" s="3" t="s">
        <v>107</v>
      </c>
      <c r="Q265" s="5" t="n">
        <v>828.67</v>
      </c>
      <c r="R265" s="3" t="n">
        <v>10</v>
      </c>
      <c r="S265" s="6" t="n">
        <v>0</v>
      </c>
      <c r="T265" s="5" t="n">
        <v>-73.72</v>
      </c>
      <c r="U265" s="3" t="str">
        <f aca="false">IF(T265&lt;0,"Loss",IF(T265=0,"Break-even","Profit"))</f>
        <v>Loss</v>
      </c>
      <c r="V265" s="3" t="str">
        <f aca="false">IF(Q265&lt;100,"Low",IF(Q265&lt;=500,"Medium","High"))</f>
        <v>High</v>
      </c>
      <c r="W265" s="3" t="n">
        <f aca="false">D265-C265</f>
        <v>7</v>
      </c>
      <c r="X265" s="3" t="str">
        <f aca="false">TEXT(C265,"mmmm")</f>
        <v>July</v>
      </c>
      <c r="Y265" s="3" t="str">
        <f aca="false">LEFT(G265,1)&amp;MID(G265,FIND(" ",G265)+1,1)</f>
        <v>FD</v>
      </c>
    </row>
    <row r="266" customFormat="false" ht="15" hidden="false" customHeight="false" outlineLevel="0" collapsed="false">
      <c r="A266" s="3" t="n">
        <v>265</v>
      </c>
      <c r="B266" s="3" t="s">
        <v>1007</v>
      </c>
      <c r="C266" s="4" t="s">
        <v>1005</v>
      </c>
      <c r="D266" s="4" t="s">
        <v>995</v>
      </c>
      <c r="E266" s="3" t="s">
        <v>84</v>
      </c>
      <c r="F266" s="3" t="s">
        <v>1008</v>
      </c>
      <c r="G266" s="3" t="s">
        <v>1009</v>
      </c>
      <c r="H266" s="3" t="s">
        <v>56</v>
      </c>
      <c r="I266" s="3" t="s">
        <v>32</v>
      </c>
      <c r="J266" s="3" t="s">
        <v>33</v>
      </c>
      <c r="K266" s="3" t="s">
        <v>34</v>
      </c>
      <c r="L266" s="3" t="s">
        <v>35</v>
      </c>
      <c r="M266" s="3" t="s">
        <v>659</v>
      </c>
      <c r="N266" s="3" t="s">
        <v>89</v>
      </c>
      <c r="O266" s="3" t="s">
        <v>323</v>
      </c>
      <c r="P266" s="3" t="s">
        <v>660</v>
      </c>
      <c r="Q266" s="5" t="n">
        <v>624.12</v>
      </c>
      <c r="R266" s="3" t="n">
        <v>3</v>
      </c>
      <c r="S266" s="6" t="n">
        <v>0.4</v>
      </c>
      <c r="T266" s="5" t="n">
        <v>-144.78</v>
      </c>
      <c r="U266" s="3" t="str">
        <f aca="false">IF(T266&lt;0,"Loss",IF(T266=0,"Break-even","Profit"))</f>
        <v>Loss</v>
      </c>
      <c r="V266" s="3" t="str">
        <f aca="false">IF(Q266&lt;100,"Low",IF(Q266&lt;=500,"Medium","High"))</f>
        <v>High</v>
      </c>
      <c r="W266" s="3" t="n">
        <f aca="false">D266-C266</f>
        <v>3</v>
      </c>
      <c r="X266" s="3" t="str">
        <f aca="false">TEXT(C266,"mmmm")</f>
        <v>July</v>
      </c>
      <c r="Y266" s="3" t="str">
        <f aca="false">LEFT(G266,1)&amp;MID(G266,FIND(" ",G266)+1,1)</f>
        <v>SJ</v>
      </c>
    </row>
    <row r="267" customFormat="false" ht="15" hidden="false" customHeight="false" outlineLevel="0" collapsed="false">
      <c r="A267" s="3" t="n">
        <v>266</v>
      </c>
      <c r="B267" s="3" t="s">
        <v>271</v>
      </c>
      <c r="C267" s="4" t="s">
        <v>982</v>
      </c>
      <c r="D267" s="4" t="s">
        <v>997</v>
      </c>
      <c r="E267" s="3" t="s">
        <v>84</v>
      </c>
      <c r="F267" s="3" t="s">
        <v>672</v>
      </c>
      <c r="G267" s="3" t="s">
        <v>673</v>
      </c>
      <c r="H267" s="3" t="s">
        <v>31</v>
      </c>
      <c r="I267" s="3" t="s">
        <v>32</v>
      </c>
      <c r="J267" s="3" t="s">
        <v>201</v>
      </c>
      <c r="K267" s="3" t="s">
        <v>202</v>
      </c>
      <c r="L267" s="3" t="s">
        <v>35</v>
      </c>
      <c r="M267" s="3" t="s">
        <v>316</v>
      </c>
      <c r="N267" s="3" t="s">
        <v>49</v>
      </c>
      <c r="O267" s="3" t="s">
        <v>143</v>
      </c>
      <c r="P267" s="3" t="s">
        <v>317</v>
      </c>
      <c r="Q267" s="5" t="n">
        <v>547.29</v>
      </c>
      <c r="R267" s="3" t="n">
        <v>5</v>
      </c>
      <c r="S267" s="6" t="n">
        <v>0</v>
      </c>
      <c r="T267" s="5" t="n">
        <v>103.99</v>
      </c>
      <c r="U267" s="3" t="str">
        <f aca="false">IF(T267&lt;0,"Loss",IF(T267=0,"Break-even","Profit"))</f>
        <v>Profit</v>
      </c>
      <c r="V267" s="3" t="str">
        <f aca="false">IF(Q267&lt;100,"Low",IF(Q267&lt;=500,"Medium","High"))</f>
        <v>High</v>
      </c>
      <c r="W267" s="3" t="n">
        <f aca="false">D267-C267</f>
        <v>3</v>
      </c>
      <c r="X267" s="3" t="str">
        <f aca="false">TEXT(C267,"mmmm")</f>
        <v>July</v>
      </c>
      <c r="Y267" s="3" t="str">
        <f aca="false">LEFT(G267,1)&amp;MID(G267,FIND(" ",G267)+1,1)</f>
        <v>WD</v>
      </c>
    </row>
    <row r="268" customFormat="false" ht="15" hidden="false" customHeight="false" outlineLevel="0" collapsed="false">
      <c r="A268" s="3" t="n">
        <v>267</v>
      </c>
      <c r="B268" s="3" t="s">
        <v>1010</v>
      </c>
      <c r="C268" s="4" t="s">
        <v>982</v>
      </c>
      <c r="D268" s="4" t="s">
        <v>1011</v>
      </c>
      <c r="E268" s="3" t="s">
        <v>28</v>
      </c>
      <c r="F268" s="3" t="s">
        <v>1012</v>
      </c>
      <c r="G268" s="3" t="s">
        <v>1013</v>
      </c>
      <c r="H268" s="3" t="s">
        <v>31</v>
      </c>
      <c r="I268" s="3" t="s">
        <v>32</v>
      </c>
      <c r="J268" s="3" t="s">
        <v>95</v>
      </c>
      <c r="K268" s="3" t="s">
        <v>96</v>
      </c>
      <c r="L268" s="3" t="s">
        <v>59</v>
      </c>
      <c r="M268" s="3" t="s">
        <v>105</v>
      </c>
      <c r="N268" s="3" t="s">
        <v>49</v>
      </c>
      <c r="O268" s="3" t="s">
        <v>106</v>
      </c>
      <c r="P268" s="3" t="s">
        <v>107</v>
      </c>
      <c r="Q268" s="5" t="n">
        <v>57.12</v>
      </c>
      <c r="R268" s="3" t="n">
        <v>3</v>
      </c>
      <c r="S268" s="6" t="n">
        <v>0</v>
      </c>
      <c r="T268" s="5" t="n">
        <v>7.13</v>
      </c>
      <c r="U268" s="3" t="str">
        <f aca="false">IF(T268&lt;0,"Loss",IF(T268=0,"Break-even","Profit"))</f>
        <v>Profit</v>
      </c>
      <c r="V268" s="3" t="str">
        <f aca="false">IF(Q268&lt;100,"Low",IF(Q268&lt;=500,"Medium","High"))</f>
        <v>Low</v>
      </c>
      <c r="W268" s="3" t="n">
        <f aca="false">D268-C268</f>
        <v>4</v>
      </c>
      <c r="X268" s="3" t="str">
        <f aca="false">TEXT(C268,"mmmm")</f>
        <v>July</v>
      </c>
      <c r="Y268" s="3" t="str">
        <f aca="false">LEFT(G268,1)&amp;MID(G268,FIND(" ",G268)+1,1)</f>
        <v>JD</v>
      </c>
    </row>
    <row r="269" customFormat="false" ht="15" hidden="false" customHeight="false" outlineLevel="0" collapsed="false">
      <c r="A269" s="3" t="n">
        <v>268</v>
      </c>
      <c r="B269" s="3" t="s">
        <v>1014</v>
      </c>
      <c r="C269" s="4" t="s">
        <v>995</v>
      </c>
      <c r="D269" s="4" t="s">
        <v>1015</v>
      </c>
      <c r="E269" s="3" t="s">
        <v>28</v>
      </c>
      <c r="F269" s="3" t="s">
        <v>527</v>
      </c>
      <c r="G269" s="3" t="s">
        <v>528</v>
      </c>
      <c r="H269" s="3" t="s">
        <v>56</v>
      </c>
      <c r="I269" s="3" t="s">
        <v>32</v>
      </c>
      <c r="J269" s="3" t="s">
        <v>476</v>
      </c>
      <c r="K269" s="3" t="s">
        <v>366</v>
      </c>
      <c r="L269" s="3" t="s">
        <v>157</v>
      </c>
      <c r="M269" s="3" t="s">
        <v>209</v>
      </c>
      <c r="N269" s="3" t="s">
        <v>49</v>
      </c>
      <c r="O269" s="3" t="s">
        <v>106</v>
      </c>
      <c r="P269" s="3" t="s">
        <v>210</v>
      </c>
      <c r="Q269" s="5" t="n">
        <v>59.19</v>
      </c>
      <c r="R269" s="3" t="n">
        <v>1</v>
      </c>
      <c r="S269" s="6" t="n">
        <v>0.1</v>
      </c>
      <c r="T269" s="5" t="n">
        <v>-15.14</v>
      </c>
      <c r="U269" s="3" t="str">
        <f aca="false">IF(T269&lt;0,"Loss",IF(T269=0,"Break-even","Profit"))</f>
        <v>Loss</v>
      </c>
      <c r="V269" s="3" t="str">
        <f aca="false">IF(Q269&lt;100,"Low",IF(Q269&lt;=500,"Medium","High"))</f>
        <v>Low</v>
      </c>
      <c r="W269" s="3" t="n">
        <f aca="false">D269-C269</f>
        <v>6</v>
      </c>
      <c r="X269" s="3" t="str">
        <f aca="false">TEXT(C269,"mmmm")</f>
        <v>July</v>
      </c>
      <c r="Y269" s="3" t="str">
        <f aca="false">LEFT(G269,1)&amp;MID(G269,FIND(" ",G269)+1,1)</f>
        <v>CC</v>
      </c>
    </row>
    <row r="270" customFormat="false" ht="15" hidden="false" customHeight="false" outlineLevel="0" collapsed="false">
      <c r="A270" s="3" t="n">
        <v>269</v>
      </c>
      <c r="B270" s="3" t="s">
        <v>1016</v>
      </c>
      <c r="C270" s="4" t="s">
        <v>997</v>
      </c>
      <c r="D270" s="4" t="s">
        <v>1011</v>
      </c>
      <c r="E270" s="3" t="s">
        <v>42</v>
      </c>
      <c r="F270" s="3" t="s">
        <v>372</v>
      </c>
      <c r="G270" s="3" t="s">
        <v>373</v>
      </c>
      <c r="H270" s="3" t="s">
        <v>56</v>
      </c>
      <c r="I270" s="3" t="s">
        <v>32</v>
      </c>
      <c r="J270" s="3" t="s">
        <v>215</v>
      </c>
      <c r="K270" s="3" t="s">
        <v>34</v>
      </c>
      <c r="L270" s="3" t="s">
        <v>35</v>
      </c>
      <c r="M270" s="3" t="s">
        <v>158</v>
      </c>
      <c r="N270" s="3" t="s">
        <v>49</v>
      </c>
      <c r="O270" s="3" t="s">
        <v>159</v>
      </c>
      <c r="P270" s="3" t="s">
        <v>160</v>
      </c>
      <c r="Q270" s="5" t="n">
        <v>420.51</v>
      </c>
      <c r="R270" s="3" t="n">
        <v>4</v>
      </c>
      <c r="S270" s="6" t="n">
        <v>0.2</v>
      </c>
      <c r="T270" s="5" t="n">
        <v>77.72</v>
      </c>
      <c r="U270" s="3" t="str">
        <f aca="false">IF(T270&lt;0,"Loss",IF(T270=0,"Break-even","Profit"))</f>
        <v>Profit</v>
      </c>
      <c r="V270" s="3" t="str">
        <f aca="false">IF(Q270&lt;100,"Low",IF(Q270&lt;=500,"Medium","High"))</f>
        <v>Medium</v>
      </c>
      <c r="W270" s="3" t="n">
        <f aca="false">D270-C270</f>
        <v>1</v>
      </c>
      <c r="X270" s="3" t="str">
        <f aca="false">TEXT(C270,"mmmm")</f>
        <v>July</v>
      </c>
      <c r="Y270" s="3" t="str">
        <f aca="false">LEFT(G270,1)&amp;MID(G270,FIND(" ",G270)+1,1)</f>
        <v>RN</v>
      </c>
    </row>
    <row r="271" customFormat="false" ht="15" hidden="false" customHeight="false" outlineLevel="0" collapsed="false">
      <c r="A271" s="3" t="n">
        <v>270</v>
      </c>
      <c r="B271" s="3" t="s">
        <v>1017</v>
      </c>
      <c r="C271" s="4" t="s">
        <v>997</v>
      </c>
      <c r="D271" s="4" t="s">
        <v>1006</v>
      </c>
      <c r="E271" s="3" t="s">
        <v>28</v>
      </c>
      <c r="F271" s="3" t="s">
        <v>949</v>
      </c>
      <c r="G271" s="3" t="s">
        <v>950</v>
      </c>
      <c r="H271" s="3" t="s">
        <v>45</v>
      </c>
      <c r="I271" s="3" t="s">
        <v>32</v>
      </c>
      <c r="J271" s="3" t="s">
        <v>171</v>
      </c>
      <c r="K271" s="3" t="s">
        <v>172</v>
      </c>
      <c r="L271" s="3" t="s">
        <v>157</v>
      </c>
      <c r="M271" s="3" t="s">
        <v>470</v>
      </c>
      <c r="N271" s="3" t="s">
        <v>49</v>
      </c>
      <c r="O271" s="3" t="s">
        <v>159</v>
      </c>
      <c r="P271" s="3" t="s">
        <v>471</v>
      </c>
      <c r="Q271" s="5" t="n">
        <v>956.32</v>
      </c>
      <c r="R271" s="3" t="n">
        <v>13</v>
      </c>
      <c r="S271" s="6" t="n">
        <v>0.1</v>
      </c>
      <c r="T271" s="5" t="n">
        <v>-130.21</v>
      </c>
      <c r="U271" s="3" t="str">
        <f aca="false">IF(T271&lt;0,"Loss",IF(T271=0,"Break-even","Profit"))</f>
        <v>Loss</v>
      </c>
      <c r="V271" s="3" t="str">
        <f aca="false">IF(Q271&lt;100,"Low",IF(Q271&lt;=500,"Medium","High"))</f>
        <v>High</v>
      </c>
      <c r="W271" s="3" t="n">
        <f aca="false">D271-C271</f>
        <v>3</v>
      </c>
      <c r="X271" s="3" t="str">
        <f aca="false">TEXT(C271,"mmmm")</f>
        <v>July</v>
      </c>
      <c r="Y271" s="3" t="str">
        <f aca="false">LEFT(G271,1)&amp;MID(G271,FIND(" ",G271)+1,1)</f>
        <v>FK</v>
      </c>
    </row>
    <row r="272" customFormat="false" ht="15" hidden="false" customHeight="false" outlineLevel="0" collapsed="false">
      <c r="A272" s="3" t="n">
        <v>271</v>
      </c>
      <c r="B272" s="3" t="s">
        <v>1018</v>
      </c>
      <c r="C272" s="4" t="s">
        <v>1011</v>
      </c>
      <c r="D272" s="4" t="s">
        <v>1019</v>
      </c>
      <c r="E272" s="3" t="s">
        <v>28</v>
      </c>
      <c r="F272" s="3" t="s">
        <v>1020</v>
      </c>
      <c r="G272" s="3" t="s">
        <v>1021</v>
      </c>
      <c r="H272" s="3" t="s">
        <v>56</v>
      </c>
      <c r="I272" s="3" t="s">
        <v>32</v>
      </c>
      <c r="J272" s="3" t="s">
        <v>243</v>
      </c>
      <c r="K272" s="3" t="s">
        <v>244</v>
      </c>
      <c r="L272" s="3" t="s">
        <v>157</v>
      </c>
      <c r="M272" s="3" t="s">
        <v>105</v>
      </c>
      <c r="N272" s="3" t="s">
        <v>49</v>
      </c>
      <c r="O272" s="3" t="s">
        <v>106</v>
      </c>
      <c r="P272" s="3" t="s">
        <v>107</v>
      </c>
      <c r="Q272" s="5" t="n">
        <v>51.15</v>
      </c>
      <c r="R272" s="3" t="n">
        <v>1</v>
      </c>
      <c r="S272" s="6" t="n">
        <v>0</v>
      </c>
      <c r="T272" s="5" t="n">
        <v>11.24</v>
      </c>
      <c r="U272" s="3" t="str">
        <f aca="false">IF(T272&lt;0,"Loss",IF(T272=0,"Break-even","Profit"))</f>
        <v>Profit</v>
      </c>
      <c r="V272" s="3" t="str">
        <f aca="false">IF(Q272&lt;100,"Low",IF(Q272&lt;=500,"Medium","High"))</f>
        <v>Low</v>
      </c>
      <c r="W272" s="3" t="n">
        <f aca="false">D272-C272</f>
        <v>6</v>
      </c>
      <c r="X272" s="3" t="str">
        <f aca="false">TEXT(C272,"mmmm")</f>
        <v>July</v>
      </c>
      <c r="Y272" s="3" t="str">
        <f aca="false">LEFT(G272,1)&amp;MID(G272,FIND(" ",G272)+1,1)</f>
        <v>LK</v>
      </c>
    </row>
    <row r="273" customFormat="false" ht="15" hidden="false" customHeight="false" outlineLevel="0" collapsed="false">
      <c r="A273" s="3" t="n">
        <v>272</v>
      </c>
      <c r="B273" s="3" t="s">
        <v>1022</v>
      </c>
      <c r="C273" s="4" t="s">
        <v>1006</v>
      </c>
      <c r="D273" s="4" t="s">
        <v>1023</v>
      </c>
      <c r="E273" s="3" t="s">
        <v>42</v>
      </c>
      <c r="F273" s="3" t="s">
        <v>1024</v>
      </c>
      <c r="G273" s="3" t="s">
        <v>1025</v>
      </c>
      <c r="H273" s="3" t="s">
        <v>45</v>
      </c>
      <c r="I273" s="3" t="s">
        <v>32</v>
      </c>
      <c r="J273" s="3" t="s">
        <v>179</v>
      </c>
      <c r="K273" s="3" t="s">
        <v>47</v>
      </c>
      <c r="L273" s="3" t="s">
        <v>35</v>
      </c>
      <c r="M273" s="3" t="s">
        <v>219</v>
      </c>
      <c r="N273" s="3" t="s">
        <v>49</v>
      </c>
      <c r="O273" s="3" t="s">
        <v>220</v>
      </c>
      <c r="P273" s="3" t="s">
        <v>221</v>
      </c>
      <c r="Q273" s="5" t="n">
        <v>141.07</v>
      </c>
      <c r="R273" s="3" t="n">
        <v>4</v>
      </c>
      <c r="S273" s="6" t="n">
        <v>0.3</v>
      </c>
      <c r="T273" s="5" t="n">
        <v>33.54</v>
      </c>
      <c r="U273" s="3" t="str">
        <f aca="false">IF(T273&lt;0,"Loss",IF(T273=0,"Break-even","Profit"))</f>
        <v>Profit</v>
      </c>
      <c r="V273" s="3" t="str">
        <f aca="false">IF(Q273&lt;100,"Low",IF(Q273&lt;=500,"Medium","High"))</f>
        <v>Medium</v>
      </c>
      <c r="W273" s="3" t="n">
        <f aca="false">D273-C273</f>
        <v>1</v>
      </c>
      <c r="X273" s="3" t="str">
        <f aca="false">TEXT(C273,"mmmm")</f>
        <v>July</v>
      </c>
      <c r="Y273" s="3" t="str">
        <f aca="false">LEFT(G273,1)&amp;MID(G273,FIND(" ",G273)+1,1)</f>
        <v>LW</v>
      </c>
    </row>
    <row r="274" customFormat="false" ht="15" hidden="false" customHeight="false" outlineLevel="0" collapsed="false">
      <c r="A274" s="3" t="n">
        <v>273</v>
      </c>
      <c r="B274" s="3" t="s">
        <v>1026</v>
      </c>
      <c r="C274" s="4" t="s">
        <v>1006</v>
      </c>
      <c r="D274" s="4" t="s">
        <v>1027</v>
      </c>
      <c r="E274" s="3" t="s">
        <v>28</v>
      </c>
      <c r="F274" s="3" t="s">
        <v>246</v>
      </c>
      <c r="G274" s="3" t="s">
        <v>247</v>
      </c>
      <c r="H274" s="3" t="s">
        <v>56</v>
      </c>
      <c r="I274" s="3" t="s">
        <v>32</v>
      </c>
      <c r="J274" s="3" t="s">
        <v>737</v>
      </c>
      <c r="K274" s="3" t="s">
        <v>307</v>
      </c>
      <c r="L274" s="3" t="s">
        <v>69</v>
      </c>
      <c r="M274" s="3" t="s">
        <v>237</v>
      </c>
      <c r="N274" s="3" t="s">
        <v>49</v>
      </c>
      <c r="O274" s="3" t="s">
        <v>220</v>
      </c>
      <c r="P274" s="3" t="s">
        <v>238</v>
      </c>
      <c r="Q274" s="5" t="n">
        <v>428.42</v>
      </c>
      <c r="R274" s="3" t="n">
        <v>11</v>
      </c>
      <c r="S274" s="6" t="n">
        <v>0.4</v>
      </c>
      <c r="T274" s="5" t="n">
        <v>-65.05</v>
      </c>
      <c r="U274" s="3" t="str">
        <f aca="false">IF(T274&lt;0,"Loss",IF(T274=0,"Break-even","Profit"))</f>
        <v>Loss</v>
      </c>
      <c r="V274" s="3" t="str">
        <f aca="false">IF(Q274&lt;100,"Low",IF(Q274&lt;=500,"Medium","High"))</f>
        <v>Medium</v>
      </c>
      <c r="W274" s="3" t="n">
        <f aca="false">D274-C274</f>
        <v>7</v>
      </c>
      <c r="X274" s="3" t="str">
        <f aca="false">TEXT(C274,"mmmm")</f>
        <v>July</v>
      </c>
      <c r="Y274" s="3" t="str">
        <f aca="false">LEFT(G274,1)&amp;MID(G274,FIND(" ",G274)+1,1)</f>
        <v>JN</v>
      </c>
    </row>
    <row r="275" customFormat="false" ht="15" hidden="false" customHeight="false" outlineLevel="0" collapsed="false">
      <c r="A275" s="3" t="n">
        <v>274</v>
      </c>
      <c r="B275" s="3" t="s">
        <v>1028</v>
      </c>
      <c r="C275" s="4" t="s">
        <v>1006</v>
      </c>
      <c r="D275" s="4" t="s">
        <v>1019</v>
      </c>
      <c r="E275" s="3" t="s">
        <v>28</v>
      </c>
      <c r="F275" s="3" t="s">
        <v>949</v>
      </c>
      <c r="G275" s="3" t="s">
        <v>950</v>
      </c>
      <c r="H275" s="3" t="s">
        <v>31</v>
      </c>
      <c r="I275" s="3" t="s">
        <v>32</v>
      </c>
      <c r="J275" s="3" t="s">
        <v>548</v>
      </c>
      <c r="K275" s="3" t="s">
        <v>244</v>
      </c>
      <c r="L275" s="3" t="s">
        <v>157</v>
      </c>
      <c r="M275" s="3" t="s">
        <v>470</v>
      </c>
      <c r="N275" s="3" t="s">
        <v>49</v>
      </c>
      <c r="O275" s="3" t="s">
        <v>159</v>
      </c>
      <c r="P275" s="3" t="s">
        <v>471</v>
      </c>
      <c r="Q275" s="5" t="n">
        <v>203.81</v>
      </c>
      <c r="R275" s="3" t="n">
        <v>6</v>
      </c>
      <c r="S275" s="6" t="n">
        <v>0</v>
      </c>
      <c r="T275" s="5" t="n">
        <v>-27.4</v>
      </c>
      <c r="U275" s="3" t="str">
        <f aca="false">IF(T275&lt;0,"Loss",IF(T275=0,"Break-even","Profit"))</f>
        <v>Loss</v>
      </c>
      <c r="V275" s="3" t="str">
        <f aca="false">IF(Q275&lt;100,"Low",IF(Q275&lt;=500,"Medium","High"))</f>
        <v>Medium</v>
      </c>
      <c r="W275" s="3" t="n">
        <f aca="false">D275-C275</f>
        <v>4</v>
      </c>
      <c r="X275" s="3" t="str">
        <f aca="false">TEXT(C275,"mmmm")</f>
        <v>July</v>
      </c>
      <c r="Y275" s="3" t="str">
        <f aca="false">LEFT(G275,1)&amp;MID(G275,FIND(" ",G275)+1,1)</f>
        <v>FK</v>
      </c>
    </row>
    <row r="276" customFormat="false" ht="15" hidden="false" customHeight="false" outlineLevel="0" collapsed="false">
      <c r="A276" s="3" t="n">
        <v>275</v>
      </c>
      <c r="B276" s="3" t="s">
        <v>1029</v>
      </c>
      <c r="C276" s="4" t="s">
        <v>1006</v>
      </c>
      <c r="D276" s="4" t="s">
        <v>1030</v>
      </c>
      <c r="E276" s="3" t="s">
        <v>84</v>
      </c>
      <c r="F276" s="3" t="s">
        <v>1031</v>
      </c>
      <c r="G276" s="3" t="s">
        <v>1032</v>
      </c>
      <c r="H276" s="3" t="s">
        <v>56</v>
      </c>
      <c r="I276" s="3" t="s">
        <v>32</v>
      </c>
      <c r="J276" s="3" t="s">
        <v>873</v>
      </c>
      <c r="K276" s="3" t="s">
        <v>387</v>
      </c>
      <c r="L276" s="3" t="s">
        <v>35</v>
      </c>
      <c r="M276" s="3" t="s">
        <v>135</v>
      </c>
      <c r="N276" s="3" t="s">
        <v>37</v>
      </c>
      <c r="O276" s="3" t="s">
        <v>136</v>
      </c>
      <c r="P276" s="3" t="s">
        <v>137</v>
      </c>
      <c r="Q276" s="5" t="n">
        <v>720.31</v>
      </c>
      <c r="R276" s="3" t="n">
        <v>1</v>
      </c>
      <c r="S276" s="6" t="n">
        <v>0.1</v>
      </c>
      <c r="T276" s="5" t="n">
        <v>167.38</v>
      </c>
      <c r="U276" s="3" t="str">
        <f aca="false">IF(T276&lt;0,"Loss",IF(T276=0,"Break-even","Profit"))</f>
        <v>Profit</v>
      </c>
      <c r="V276" s="3" t="str">
        <f aca="false">IF(Q276&lt;100,"Low",IF(Q276&lt;=500,"Medium","High"))</f>
        <v>High</v>
      </c>
      <c r="W276" s="3" t="n">
        <f aca="false">D276-C276</f>
        <v>3</v>
      </c>
      <c r="X276" s="3" t="str">
        <f aca="false">TEXT(C276,"mmmm")</f>
        <v>July</v>
      </c>
      <c r="Y276" s="3" t="str">
        <f aca="false">LEFT(G276,1)&amp;MID(G276,FIND(" ",G276)+1,1)</f>
        <v>CS</v>
      </c>
    </row>
    <row r="277" customFormat="false" ht="15" hidden="false" customHeight="false" outlineLevel="0" collapsed="false">
      <c r="A277" s="3" t="n">
        <v>276</v>
      </c>
      <c r="B277" s="3" t="s">
        <v>1033</v>
      </c>
      <c r="C277" s="4" t="s">
        <v>1023</v>
      </c>
      <c r="D277" s="4" t="s">
        <v>1015</v>
      </c>
      <c r="E277" s="3" t="s">
        <v>42</v>
      </c>
      <c r="F277" s="3" t="s">
        <v>235</v>
      </c>
      <c r="G277" s="3" t="s">
        <v>236</v>
      </c>
      <c r="H277" s="3" t="s">
        <v>56</v>
      </c>
      <c r="I277" s="3" t="s">
        <v>32</v>
      </c>
      <c r="J277" s="3" t="s">
        <v>77</v>
      </c>
      <c r="K277" s="3" t="s">
        <v>78</v>
      </c>
      <c r="L277" s="3" t="s">
        <v>59</v>
      </c>
      <c r="M277" s="3" t="s">
        <v>559</v>
      </c>
      <c r="N277" s="3" t="s">
        <v>37</v>
      </c>
      <c r="O277" s="3" t="s">
        <v>38</v>
      </c>
      <c r="P277" s="3" t="s">
        <v>560</v>
      </c>
      <c r="Q277" s="5" t="n">
        <v>15433.46</v>
      </c>
      <c r="R277" s="3" t="n">
        <v>13</v>
      </c>
      <c r="S277" s="6" t="n">
        <v>0.2</v>
      </c>
      <c r="T277" s="5" t="n">
        <v>2778.28</v>
      </c>
      <c r="U277" s="3" t="str">
        <f aca="false">IF(T277&lt;0,"Loss",IF(T277=0,"Break-even","Profit"))</f>
        <v>Profit</v>
      </c>
      <c r="V277" s="3" t="str">
        <f aca="false">IF(Q277&lt;100,"Low",IF(Q277&lt;=500,"Medium","High"))</f>
        <v>High</v>
      </c>
      <c r="W277" s="3" t="n">
        <f aca="false">D277-C277</f>
        <v>1</v>
      </c>
      <c r="X277" s="3" t="str">
        <f aca="false">TEXT(C277,"mmmm")</f>
        <v>July</v>
      </c>
      <c r="Y277" s="3" t="str">
        <f aca="false">LEFT(G277,1)&amp;MID(G277,FIND(" ",G277)+1,1)</f>
        <v>WR</v>
      </c>
    </row>
    <row r="278" customFormat="false" ht="15" hidden="false" customHeight="false" outlineLevel="0" collapsed="false">
      <c r="A278" s="3" t="n">
        <v>277</v>
      </c>
      <c r="B278" s="3" t="s">
        <v>1034</v>
      </c>
      <c r="C278" s="4" t="s">
        <v>1023</v>
      </c>
      <c r="D278" s="4" t="s">
        <v>1035</v>
      </c>
      <c r="E278" s="3" t="s">
        <v>28</v>
      </c>
      <c r="F278" s="3" t="s">
        <v>327</v>
      </c>
      <c r="G278" s="3" t="s">
        <v>328</v>
      </c>
      <c r="H278" s="3" t="s">
        <v>31</v>
      </c>
      <c r="I278" s="3" t="s">
        <v>32</v>
      </c>
      <c r="J278" s="3" t="s">
        <v>243</v>
      </c>
      <c r="K278" s="3" t="s">
        <v>244</v>
      </c>
      <c r="L278" s="3" t="s">
        <v>157</v>
      </c>
      <c r="M278" s="3" t="s">
        <v>316</v>
      </c>
      <c r="N278" s="3" t="s">
        <v>49</v>
      </c>
      <c r="O278" s="3" t="s">
        <v>143</v>
      </c>
      <c r="P278" s="3" t="s">
        <v>317</v>
      </c>
      <c r="Q278" s="5" t="n">
        <v>536.81</v>
      </c>
      <c r="R278" s="3" t="n">
        <v>5</v>
      </c>
      <c r="S278" s="6" t="n">
        <v>0.2</v>
      </c>
      <c r="T278" s="5" t="n">
        <v>86.71</v>
      </c>
      <c r="U278" s="3" t="str">
        <f aca="false">IF(T278&lt;0,"Loss",IF(T278=0,"Break-even","Profit"))</f>
        <v>Profit</v>
      </c>
      <c r="V278" s="3" t="str">
        <f aca="false">IF(Q278&lt;100,"Low",IF(Q278&lt;=500,"Medium","High"))</f>
        <v>High</v>
      </c>
      <c r="W278" s="3" t="n">
        <f aca="false">D278-C278</f>
        <v>5</v>
      </c>
      <c r="X278" s="3" t="str">
        <f aca="false">TEXT(C278,"mmmm")</f>
        <v>July</v>
      </c>
      <c r="Y278" s="3" t="str">
        <f aca="false">LEFT(G278,1)&amp;MID(G278,FIND(" ",G278)+1,1)</f>
        <v>EW</v>
      </c>
    </row>
    <row r="279" customFormat="false" ht="15" hidden="false" customHeight="false" outlineLevel="0" collapsed="false">
      <c r="A279" s="3" t="n">
        <v>278</v>
      </c>
      <c r="B279" s="3" t="s">
        <v>1036</v>
      </c>
      <c r="C279" s="4" t="s">
        <v>1015</v>
      </c>
      <c r="D279" s="4" t="s">
        <v>1037</v>
      </c>
      <c r="E279" s="3" t="s">
        <v>28</v>
      </c>
      <c r="F279" s="3" t="s">
        <v>989</v>
      </c>
      <c r="G279" s="3" t="s">
        <v>990</v>
      </c>
      <c r="H279" s="3" t="s">
        <v>31</v>
      </c>
      <c r="I279" s="3" t="s">
        <v>32</v>
      </c>
      <c r="J279" s="3" t="s">
        <v>548</v>
      </c>
      <c r="K279" s="3" t="s">
        <v>244</v>
      </c>
      <c r="L279" s="3" t="s">
        <v>157</v>
      </c>
      <c r="M279" s="3" t="s">
        <v>420</v>
      </c>
      <c r="N279" s="3" t="s">
        <v>49</v>
      </c>
      <c r="O279" s="3" t="s">
        <v>80</v>
      </c>
      <c r="P279" s="3" t="s">
        <v>421</v>
      </c>
      <c r="Q279" s="5" t="n">
        <v>900.24</v>
      </c>
      <c r="R279" s="3" t="n">
        <v>9</v>
      </c>
      <c r="S279" s="6" t="n">
        <v>0.1</v>
      </c>
      <c r="T279" s="5" t="n">
        <v>-182.16</v>
      </c>
      <c r="U279" s="3" t="str">
        <f aca="false">IF(T279&lt;0,"Loss",IF(T279=0,"Break-even","Profit"))</f>
        <v>Loss</v>
      </c>
      <c r="V279" s="3" t="str">
        <f aca="false">IF(Q279&lt;100,"Low",IF(Q279&lt;=500,"Medium","High"))</f>
        <v>High</v>
      </c>
      <c r="W279" s="3" t="n">
        <f aca="false">D279-C279</f>
        <v>6</v>
      </c>
      <c r="X279" s="3" t="str">
        <f aca="false">TEXT(C279,"mmmm")</f>
        <v>July</v>
      </c>
      <c r="Y279" s="3" t="str">
        <f aca="false">LEFT(G279,1)&amp;MID(G279,FIND(" ",G279)+1,1)</f>
        <v>EK</v>
      </c>
    </row>
    <row r="280" customFormat="false" ht="15" hidden="false" customHeight="false" outlineLevel="0" collapsed="false">
      <c r="A280" s="3" t="n">
        <v>279</v>
      </c>
      <c r="B280" s="3" t="s">
        <v>40</v>
      </c>
      <c r="C280" s="4" t="s">
        <v>1015</v>
      </c>
      <c r="D280" s="4" t="s">
        <v>1038</v>
      </c>
      <c r="E280" s="3" t="s">
        <v>28</v>
      </c>
      <c r="F280" s="3" t="s">
        <v>1039</v>
      </c>
      <c r="G280" s="3" t="s">
        <v>1040</v>
      </c>
      <c r="H280" s="3" t="s">
        <v>45</v>
      </c>
      <c r="I280" s="3" t="s">
        <v>32</v>
      </c>
      <c r="J280" s="3" t="s">
        <v>381</v>
      </c>
      <c r="K280" s="3" t="s">
        <v>58</v>
      </c>
      <c r="L280" s="3" t="s">
        <v>59</v>
      </c>
      <c r="M280" s="3" t="s">
        <v>420</v>
      </c>
      <c r="N280" s="3" t="s">
        <v>49</v>
      </c>
      <c r="O280" s="3" t="s">
        <v>80</v>
      </c>
      <c r="P280" s="3" t="s">
        <v>421</v>
      </c>
      <c r="Q280" s="5" t="n">
        <v>1004.79</v>
      </c>
      <c r="R280" s="3" t="n">
        <v>11</v>
      </c>
      <c r="S280" s="6" t="n">
        <v>0.4</v>
      </c>
      <c r="T280" s="5" t="n">
        <v>-63.65</v>
      </c>
      <c r="U280" s="3" t="str">
        <f aca="false">IF(T280&lt;0,"Loss",IF(T280=0,"Break-even","Profit"))</f>
        <v>Loss</v>
      </c>
      <c r="V280" s="3" t="str">
        <f aca="false">IF(Q280&lt;100,"Low",IF(Q280&lt;=500,"Medium","High"))</f>
        <v>High</v>
      </c>
      <c r="W280" s="3" t="n">
        <f aca="false">D280-C280</f>
        <v>7</v>
      </c>
      <c r="X280" s="3" t="str">
        <f aca="false">TEXT(C280,"mmmm")</f>
        <v>July</v>
      </c>
      <c r="Y280" s="3" t="str">
        <f aca="false">LEFT(G280,1)&amp;MID(G280,FIND(" ",G280)+1,1)</f>
        <v>PS</v>
      </c>
    </row>
    <row r="281" customFormat="false" ht="15" hidden="false" customHeight="false" outlineLevel="0" collapsed="false">
      <c r="A281" s="3" t="n">
        <v>280</v>
      </c>
      <c r="B281" s="3" t="s">
        <v>411</v>
      </c>
      <c r="C281" s="4" t="s">
        <v>1015</v>
      </c>
      <c r="D281" s="4" t="s">
        <v>1038</v>
      </c>
      <c r="E281" s="3" t="s">
        <v>28</v>
      </c>
      <c r="F281" s="3" t="s">
        <v>1041</v>
      </c>
      <c r="G281" s="3" t="s">
        <v>1042</v>
      </c>
      <c r="H281" s="3" t="s">
        <v>56</v>
      </c>
      <c r="I281" s="3" t="s">
        <v>32</v>
      </c>
      <c r="J281" s="3" t="s">
        <v>315</v>
      </c>
      <c r="K281" s="3" t="s">
        <v>58</v>
      </c>
      <c r="L281" s="3" t="s">
        <v>59</v>
      </c>
      <c r="M281" s="3" t="s">
        <v>105</v>
      </c>
      <c r="N281" s="3" t="s">
        <v>49</v>
      </c>
      <c r="O281" s="3" t="s">
        <v>106</v>
      </c>
      <c r="P281" s="3" t="s">
        <v>107</v>
      </c>
      <c r="Q281" s="5" t="n">
        <v>536.45</v>
      </c>
      <c r="R281" s="3" t="n">
        <v>14</v>
      </c>
      <c r="S281" s="6" t="n">
        <v>0.2</v>
      </c>
      <c r="T281" s="5" t="n">
        <v>-5.17</v>
      </c>
      <c r="U281" s="3" t="str">
        <f aca="false">IF(T281&lt;0,"Loss",IF(T281=0,"Break-even","Profit"))</f>
        <v>Loss</v>
      </c>
      <c r="V281" s="3" t="str">
        <f aca="false">IF(Q281&lt;100,"Low",IF(Q281&lt;=500,"Medium","High"))</f>
        <v>High</v>
      </c>
      <c r="W281" s="3" t="n">
        <f aca="false">D281-C281</f>
        <v>7</v>
      </c>
      <c r="X281" s="3" t="str">
        <f aca="false">TEXT(C281,"mmmm")</f>
        <v>July</v>
      </c>
      <c r="Y281" s="3" t="str">
        <f aca="false">LEFT(G281,1)&amp;MID(G281,FIND(" ",G281)+1,1)</f>
        <v>JC</v>
      </c>
    </row>
    <row r="282" customFormat="false" ht="15" hidden="false" customHeight="false" outlineLevel="0" collapsed="false">
      <c r="A282" s="3" t="n">
        <v>281</v>
      </c>
      <c r="B282" s="3" t="s">
        <v>1043</v>
      </c>
      <c r="C282" s="4" t="s">
        <v>1030</v>
      </c>
      <c r="D282" s="4" t="s">
        <v>1044</v>
      </c>
      <c r="E282" s="3" t="s">
        <v>28</v>
      </c>
      <c r="F282" s="3" t="s">
        <v>708</v>
      </c>
      <c r="G282" s="3" t="s">
        <v>709</v>
      </c>
      <c r="H282" s="3" t="s">
        <v>56</v>
      </c>
      <c r="I282" s="3" t="s">
        <v>32</v>
      </c>
      <c r="J282" s="3" t="s">
        <v>737</v>
      </c>
      <c r="K282" s="3" t="s">
        <v>307</v>
      </c>
      <c r="L282" s="3" t="s">
        <v>69</v>
      </c>
      <c r="M282" s="3" t="s">
        <v>322</v>
      </c>
      <c r="N282" s="3" t="s">
        <v>89</v>
      </c>
      <c r="O282" s="3" t="s">
        <v>323</v>
      </c>
      <c r="P282" s="3" t="s">
        <v>324</v>
      </c>
      <c r="Q282" s="5" t="n">
        <v>1412.06</v>
      </c>
      <c r="R282" s="3" t="n">
        <v>2</v>
      </c>
      <c r="S282" s="6" t="n">
        <v>0</v>
      </c>
      <c r="T282" s="5" t="n">
        <v>198.08</v>
      </c>
      <c r="U282" s="3" t="str">
        <f aca="false">IF(T282&lt;0,"Loss",IF(T282=0,"Break-even","Profit"))</f>
        <v>Profit</v>
      </c>
      <c r="V282" s="3" t="str">
        <f aca="false">IF(Q282&lt;100,"Low",IF(Q282&lt;=500,"Medium","High"))</f>
        <v>High</v>
      </c>
      <c r="W282" s="3" t="n">
        <f aca="false">D282-C282</f>
        <v>7</v>
      </c>
      <c r="X282" s="3" t="str">
        <f aca="false">TEXT(C282,"mmmm")</f>
        <v>July</v>
      </c>
      <c r="Y282" s="3" t="str">
        <f aca="false">LEFT(G282,1)&amp;MID(G282,FIND(" ",G282)+1,1)</f>
        <v>PM</v>
      </c>
    </row>
    <row r="283" customFormat="false" ht="15" hidden="false" customHeight="false" outlineLevel="0" collapsed="false">
      <c r="A283" s="3" t="n">
        <v>282</v>
      </c>
      <c r="B283" s="3" t="s">
        <v>1045</v>
      </c>
      <c r="C283" s="4" t="s">
        <v>1030</v>
      </c>
      <c r="D283" s="4" t="s">
        <v>1037</v>
      </c>
      <c r="E283" s="3" t="s">
        <v>28</v>
      </c>
      <c r="F283" s="3" t="s">
        <v>808</v>
      </c>
      <c r="G283" s="3" t="s">
        <v>809</v>
      </c>
      <c r="H283" s="3" t="s">
        <v>31</v>
      </c>
      <c r="I283" s="3" t="s">
        <v>32</v>
      </c>
      <c r="J283" s="3" t="s">
        <v>133</v>
      </c>
      <c r="K283" s="3" t="s">
        <v>134</v>
      </c>
      <c r="L283" s="3" t="s">
        <v>69</v>
      </c>
      <c r="M283" s="3" t="s">
        <v>219</v>
      </c>
      <c r="N283" s="3" t="s">
        <v>49</v>
      </c>
      <c r="O283" s="3" t="s">
        <v>220</v>
      </c>
      <c r="P283" s="3" t="s">
        <v>221</v>
      </c>
      <c r="Q283" s="5" t="n">
        <v>696.55</v>
      </c>
      <c r="R283" s="3" t="n">
        <v>6</v>
      </c>
      <c r="S283" s="6" t="n">
        <v>0</v>
      </c>
      <c r="T283" s="5" t="n">
        <v>-11.65</v>
      </c>
      <c r="U283" s="3" t="str">
        <f aca="false">IF(T283&lt;0,"Loss",IF(T283=0,"Break-even","Profit"))</f>
        <v>Loss</v>
      </c>
      <c r="V283" s="3" t="str">
        <f aca="false">IF(Q283&lt;100,"Low",IF(Q283&lt;=500,"Medium","High"))</f>
        <v>High</v>
      </c>
      <c r="W283" s="3" t="n">
        <f aca="false">D283-C283</f>
        <v>5</v>
      </c>
      <c r="X283" s="3" t="str">
        <f aca="false">TEXT(C283,"mmmm")</f>
        <v>July</v>
      </c>
      <c r="Y283" s="3" t="str">
        <f aca="false">LEFT(G283,1)&amp;MID(G283,FIND(" ",G283)+1,1)</f>
        <v>ET</v>
      </c>
    </row>
    <row r="284" customFormat="false" ht="15" hidden="false" customHeight="false" outlineLevel="0" collapsed="false">
      <c r="A284" s="3" t="n">
        <v>283</v>
      </c>
      <c r="B284" s="3" t="s">
        <v>1046</v>
      </c>
      <c r="C284" s="4" t="s">
        <v>1019</v>
      </c>
      <c r="D284" s="4" t="s">
        <v>1037</v>
      </c>
      <c r="E284" s="3" t="s">
        <v>28</v>
      </c>
      <c r="F284" s="3" t="s">
        <v>1047</v>
      </c>
      <c r="G284" s="3" t="s">
        <v>1048</v>
      </c>
      <c r="H284" s="3" t="s">
        <v>31</v>
      </c>
      <c r="I284" s="3" t="s">
        <v>32</v>
      </c>
      <c r="J284" s="3" t="s">
        <v>87</v>
      </c>
      <c r="K284" s="3" t="s">
        <v>68</v>
      </c>
      <c r="L284" s="3" t="s">
        <v>69</v>
      </c>
      <c r="M284" s="3" t="s">
        <v>97</v>
      </c>
      <c r="N284" s="3" t="s">
        <v>89</v>
      </c>
      <c r="O284" s="3" t="s">
        <v>90</v>
      </c>
      <c r="P284" s="3" t="s">
        <v>98</v>
      </c>
      <c r="Q284" s="5" t="n">
        <v>807.3</v>
      </c>
      <c r="R284" s="3" t="n">
        <v>8</v>
      </c>
      <c r="S284" s="6" t="n">
        <v>0</v>
      </c>
      <c r="T284" s="5" t="n">
        <v>-50.04</v>
      </c>
      <c r="U284" s="3" t="str">
        <f aca="false">IF(T284&lt;0,"Loss",IF(T284=0,"Break-even","Profit"))</f>
        <v>Loss</v>
      </c>
      <c r="V284" s="3" t="str">
        <f aca="false">IF(Q284&lt;100,"Low",IF(Q284&lt;=500,"Medium","High"))</f>
        <v>High</v>
      </c>
      <c r="W284" s="3" t="n">
        <f aca="false">D284-C284</f>
        <v>4</v>
      </c>
      <c r="X284" s="3" t="str">
        <f aca="false">TEXT(C284,"mmmm")</f>
        <v>July</v>
      </c>
      <c r="Y284" s="3" t="str">
        <f aca="false">LEFT(G284,1)&amp;MID(G284,FIND(" ",G284)+1,1)</f>
        <v>AJ</v>
      </c>
    </row>
    <row r="285" customFormat="false" ht="15" hidden="false" customHeight="false" outlineLevel="0" collapsed="false">
      <c r="A285" s="3" t="n">
        <v>284</v>
      </c>
      <c r="B285" s="3" t="s">
        <v>1049</v>
      </c>
      <c r="C285" s="4" t="s">
        <v>1050</v>
      </c>
      <c r="D285" s="4" t="s">
        <v>1044</v>
      </c>
      <c r="E285" s="3" t="s">
        <v>28</v>
      </c>
      <c r="F285" s="3" t="s">
        <v>232</v>
      </c>
      <c r="G285" s="3" t="s">
        <v>233</v>
      </c>
      <c r="H285" s="3" t="s">
        <v>56</v>
      </c>
      <c r="I285" s="3" t="s">
        <v>32</v>
      </c>
      <c r="J285" s="3" t="s">
        <v>299</v>
      </c>
      <c r="K285" s="3" t="s">
        <v>189</v>
      </c>
      <c r="L285" s="3" t="s">
        <v>59</v>
      </c>
      <c r="M285" s="3" t="s">
        <v>269</v>
      </c>
      <c r="N285" s="3" t="s">
        <v>89</v>
      </c>
      <c r="O285" s="3" t="s">
        <v>174</v>
      </c>
      <c r="P285" s="3" t="s">
        <v>270</v>
      </c>
      <c r="Q285" s="5" t="n">
        <v>451.94</v>
      </c>
      <c r="R285" s="3" t="n">
        <v>9</v>
      </c>
      <c r="S285" s="6" t="n">
        <v>0.3</v>
      </c>
      <c r="T285" s="5" t="n">
        <v>86.77</v>
      </c>
      <c r="U285" s="3" t="str">
        <f aca="false">IF(T285&lt;0,"Loss",IF(T285=0,"Break-even","Profit"))</f>
        <v>Profit</v>
      </c>
      <c r="V285" s="3" t="str">
        <f aca="false">IF(Q285&lt;100,"Low",IF(Q285&lt;=500,"Medium","High"))</f>
        <v>Medium</v>
      </c>
      <c r="W285" s="3" t="n">
        <f aca="false">D285-C285</f>
        <v>5</v>
      </c>
      <c r="X285" s="3" t="str">
        <f aca="false">TEXT(C285,"mmmm")</f>
        <v>July</v>
      </c>
      <c r="Y285" s="3" t="str">
        <f aca="false">LEFT(G285,1)&amp;MID(G285,FIND(" ",G285)+1,1)</f>
        <v>PN</v>
      </c>
    </row>
    <row r="286" customFormat="false" ht="15" hidden="false" customHeight="false" outlineLevel="0" collapsed="false">
      <c r="A286" s="3" t="n">
        <v>285</v>
      </c>
      <c r="B286" s="3" t="s">
        <v>1051</v>
      </c>
      <c r="C286" s="4" t="s">
        <v>1050</v>
      </c>
      <c r="D286" s="4" t="s">
        <v>1044</v>
      </c>
      <c r="E286" s="3" t="s">
        <v>28</v>
      </c>
      <c r="F286" s="3" t="s">
        <v>332</v>
      </c>
      <c r="G286" s="3" t="s">
        <v>333</v>
      </c>
      <c r="H286" s="3" t="s">
        <v>45</v>
      </c>
      <c r="I286" s="3" t="s">
        <v>32</v>
      </c>
      <c r="J286" s="3" t="s">
        <v>95</v>
      </c>
      <c r="K286" s="3" t="s">
        <v>96</v>
      </c>
      <c r="L286" s="3" t="s">
        <v>59</v>
      </c>
      <c r="M286" s="3" t="s">
        <v>470</v>
      </c>
      <c r="N286" s="3" t="s">
        <v>49</v>
      </c>
      <c r="O286" s="3" t="s">
        <v>159</v>
      </c>
      <c r="P286" s="3" t="s">
        <v>471</v>
      </c>
      <c r="Q286" s="5" t="n">
        <v>293.1</v>
      </c>
      <c r="R286" s="3" t="n">
        <v>14</v>
      </c>
      <c r="S286" s="6" t="n">
        <v>0.2</v>
      </c>
      <c r="T286" s="5" t="n">
        <v>39.97</v>
      </c>
      <c r="U286" s="3" t="str">
        <f aca="false">IF(T286&lt;0,"Loss",IF(T286=0,"Break-even","Profit"))</f>
        <v>Profit</v>
      </c>
      <c r="V286" s="3" t="str">
        <f aca="false">IF(Q286&lt;100,"Low",IF(Q286&lt;=500,"Medium","High"))</f>
        <v>Medium</v>
      </c>
      <c r="W286" s="3" t="n">
        <f aca="false">D286-C286</f>
        <v>5</v>
      </c>
      <c r="X286" s="3" t="str">
        <f aca="false">TEXT(C286,"mmmm")</f>
        <v>July</v>
      </c>
      <c r="Y286" s="3" t="str">
        <f aca="false">LEFT(G286,1)&amp;MID(G286,FIND(" ",G286)+1,1)</f>
        <v>AM</v>
      </c>
    </row>
    <row r="287" customFormat="false" ht="15" hidden="false" customHeight="false" outlineLevel="0" collapsed="false">
      <c r="A287" s="3" t="n">
        <v>286</v>
      </c>
      <c r="B287" s="3" t="s">
        <v>1052</v>
      </c>
      <c r="C287" s="4" t="s">
        <v>1050</v>
      </c>
      <c r="D287" s="4" t="s">
        <v>1044</v>
      </c>
      <c r="E287" s="3" t="s">
        <v>28</v>
      </c>
      <c r="F287" s="3" t="s">
        <v>1053</v>
      </c>
      <c r="G287" s="3" t="s">
        <v>1054</v>
      </c>
      <c r="H287" s="3" t="s">
        <v>56</v>
      </c>
      <c r="I287" s="3" t="s">
        <v>32</v>
      </c>
      <c r="J287" s="3" t="s">
        <v>104</v>
      </c>
      <c r="K287" s="3" t="s">
        <v>96</v>
      </c>
      <c r="L287" s="3" t="s">
        <v>59</v>
      </c>
      <c r="M287" s="3" t="s">
        <v>347</v>
      </c>
      <c r="N287" s="3" t="s">
        <v>49</v>
      </c>
      <c r="O287" s="3" t="s">
        <v>220</v>
      </c>
      <c r="P287" s="3" t="s">
        <v>348</v>
      </c>
      <c r="Q287" s="5" t="n">
        <v>3.03</v>
      </c>
      <c r="R287" s="3" t="n">
        <v>1</v>
      </c>
      <c r="S287" s="6" t="n">
        <v>0.3</v>
      </c>
      <c r="T287" s="5" t="n">
        <v>-0.92</v>
      </c>
      <c r="U287" s="3" t="str">
        <f aca="false">IF(T287&lt;0,"Loss",IF(T287=0,"Break-even","Profit"))</f>
        <v>Loss</v>
      </c>
      <c r="V287" s="3" t="str">
        <f aca="false">IF(Q287&lt;100,"Low",IF(Q287&lt;=500,"Medium","High"))</f>
        <v>Low</v>
      </c>
      <c r="W287" s="3" t="n">
        <f aca="false">D287-C287</f>
        <v>5</v>
      </c>
      <c r="X287" s="3" t="str">
        <f aca="false">TEXT(C287,"mmmm")</f>
        <v>July</v>
      </c>
      <c r="Y287" s="3" t="str">
        <f aca="false">LEFT(G287,1)&amp;MID(G287,FIND(" ",G287)+1,1)</f>
        <v>MS</v>
      </c>
    </row>
    <row r="288" customFormat="false" ht="15" hidden="false" customHeight="false" outlineLevel="0" collapsed="false">
      <c r="A288" s="3" t="n">
        <v>287</v>
      </c>
      <c r="B288" s="3" t="s">
        <v>1055</v>
      </c>
      <c r="C288" s="4" t="s">
        <v>1038</v>
      </c>
      <c r="D288" s="4" t="s">
        <v>1044</v>
      </c>
      <c r="E288" s="3" t="s">
        <v>42</v>
      </c>
      <c r="F288" s="3" t="s">
        <v>752</v>
      </c>
      <c r="G288" s="3" t="s">
        <v>753</v>
      </c>
      <c r="H288" s="3" t="s">
        <v>56</v>
      </c>
      <c r="I288" s="3" t="s">
        <v>32</v>
      </c>
      <c r="J288" s="3" t="s">
        <v>215</v>
      </c>
      <c r="K288" s="3" t="s">
        <v>34</v>
      </c>
      <c r="L288" s="3" t="s">
        <v>35</v>
      </c>
      <c r="M288" s="3" t="s">
        <v>127</v>
      </c>
      <c r="N288" s="3" t="s">
        <v>49</v>
      </c>
      <c r="O288" s="3" t="s">
        <v>61</v>
      </c>
      <c r="P288" s="3" t="s">
        <v>128</v>
      </c>
      <c r="Q288" s="5" t="n">
        <v>60.49</v>
      </c>
      <c r="R288" s="3" t="n">
        <v>6</v>
      </c>
      <c r="S288" s="6" t="n">
        <v>0.1</v>
      </c>
      <c r="T288" s="5" t="n">
        <v>19.46</v>
      </c>
      <c r="U288" s="3" t="str">
        <f aca="false">IF(T288&lt;0,"Loss",IF(T288=0,"Break-even","Profit"))</f>
        <v>Profit</v>
      </c>
      <c r="V288" s="3" t="str">
        <f aca="false">IF(Q288&lt;100,"Low",IF(Q288&lt;=500,"Medium","High"))</f>
        <v>Low</v>
      </c>
      <c r="W288" s="3" t="n">
        <f aca="false">D288-C288</f>
        <v>1</v>
      </c>
      <c r="X288" s="3" t="str">
        <f aca="false">TEXT(C288,"mmmm")</f>
        <v>July</v>
      </c>
      <c r="Y288" s="3" t="str">
        <f aca="false">LEFT(G288,1)&amp;MID(G288,FIND(" ",G288)+1,1)</f>
        <v>DM</v>
      </c>
    </row>
    <row r="289" customFormat="false" ht="15" hidden="false" customHeight="false" outlineLevel="0" collapsed="false">
      <c r="A289" s="3" t="n">
        <v>288</v>
      </c>
      <c r="B289" s="3" t="s">
        <v>1056</v>
      </c>
      <c r="C289" s="4" t="s">
        <v>1038</v>
      </c>
      <c r="D289" s="4" t="s">
        <v>1057</v>
      </c>
      <c r="E289" s="3" t="s">
        <v>84</v>
      </c>
      <c r="F289" s="3" t="s">
        <v>912</v>
      </c>
      <c r="G289" s="3" t="s">
        <v>913</v>
      </c>
      <c r="H289" s="3" t="s">
        <v>56</v>
      </c>
      <c r="I289" s="3" t="s">
        <v>32</v>
      </c>
      <c r="J289" s="3" t="s">
        <v>548</v>
      </c>
      <c r="K289" s="3" t="s">
        <v>244</v>
      </c>
      <c r="L289" s="3" t="s">
        <v>157</v>
      </c>
      <c r="M289" s="3" t="s">
        <v>149</v>
      </c>
      <c r="N289" s="3" t="s">
        <v>49</v>
      </c>
      <c r="O289" s="3" t="s">
        <v>150</v>
      </c>
      <c r="P289" s="3" t="s">
        <v>151</v>
      </c>
      <c r="Q289" s="5" t="n">
        <v>120.65</v>
      </c>
      <c r="R289" s="3" t="n">
        <v>5</v>
      </c>
      <c r="S289" s="6" t="n">
        <v>0</v>
      </c>
      <c r="T289" s="5" t="n">
        <v>2.92</v>
      </c>
      <c r="U289" s="3" t="str">
        <f aca="false">IF(T289&lt;0,"Loss",IF(T289=0,"Break-even","Profit"))</f>
        <v>Profit</v>
      </c>
      <c r="V289" s="3" t="str">
        <f aca="false">IF(Q289&lt;100,"Low",IF(Q289&lt;=500,"Medium","High"))</f>
        <v>Medium</v>
      </c>
      <c r="W289" s="3" t="n">
        <f aca="false">D289-C289</f>
        <v>2</v>
      </c>
      <c r="X289" s="3" t="str">
        <f aca="false">TEXT(C289,"mmmm")</f>
        <v>July</v>
      </c>
      <c r="Y289" s="3" t="str">
        <f aca="false">LEFT(G289,1)&amp;MID(G289,FIND(" ",G289)+1,1)</f>
        <v>AB</v>
      </c>
    </row>
    <row r="290" customFormat="false" ht="15" hidden="false" customHeight="false" outlineLevel="0" collapsed="false">
      <c r="A290" s="3" t="n">
        <v>289</v>
      </c>
      <c r="B290" s="3" t="s">
        <v>1058</v>
      </c>
      <c r="C290" s="4" t="s">
        <v>1044</v>
      </c>
      <c r="D290" s="4" t="s">
        <v>1059</v>
      </c>
      <c r="E290" s="3" t="s">
        <v>84</v>
      </c>
      <c r="F290" s="3" t="s">
        <v>1060</v>
      </c>
      <c r="G290" s="3" t="s">
        <v>1061</v>
      </c>
      <c r="H290" s="3" t="s">
        <v>31</v>
      </c>
      <c r="I290" s="3" t="s">
        <v>32</v>
      </c>
      <c r="J290" s="3" t="s">
        <v>179</v>
      </c>
      <c r="K290" s="3" t="s">
        <v>47</v>
      </c>
      <c r="L290" s="3" t="s">
        <v>35</v>
      </c>
      <c r="M290" s="3" t="s">
        <v>70</v>
      </c>
      <c r="N290" s="3" t="s">
        <v>37</v>
      </c>
      <c r="O290" s="3" t="s">
        <v>71</v>
      </c>
      <c r="P290" s="3" t="s">
        <v>72</v>
      </c>
      <c r="Q290" s="5" t="n">
        <v>3969.47</v>
      </c>
      <c r="R290" s="3" t="n">
        <v>10</v>
      </c>
      <c r="S290" s="6" t="n">
        <v>0</v>
      </c>
      <c r="T290" s="5" t="n">
        <v>724.9</v>
      </c>
      <c r="U290" s="3" t="str">
        <f aca="false">IF(T290&lt;0,"Loss",IF(T290=0,"Break-even","Profit"))</f>
        <v>Profit</v>
      </c>
      <c r="V290" s="3" t="str">
        <f aca="false">IF(Q290&lt;100,"Low",IF(Q290&lt;=500,"Medium","High"))</f>
        <v>High</v>
      </c>
      <c r="W290" s="3" t="n">
        <f aca="false">D290-C290</f>
        <v>4</v>
      </c>
      <c r="X290" s="3" t="str">
        <f aca="false">TEXT(C290,"mmmm")</f>
        <v>July</v>
      </c>
      <c r="Y290" s="3" t="str">
        <f aca="false">LEFT(G290,1)&amp;MID(G290,FIND(" ",G290)+1,1)</f>
        <v>RM</v>
      </c>
    </row>
    <row r="291" customFormat="false" ht="15" hidden="false" customHeight="false" outlineLevel="0" collapsed="false">
      <c r="A291" s="3" t="n">
        <v>290</v>
      </c>
      <c r="B291" s="3" t="s">
        <v>611</v>
      </c>
      <c r="C291" s="4" t="s">
        <v>1057</v>
      </c>
      <c r="D291" s="4" t="s">
        <v>1062</v>
      </c>
      <c r="E291" s="3" t="s">
        <v>28</v>
      </c>
      <c r="F291" s="3" t="s">
        <v>1063</v>
      </c>
      <c r="G291" s="3" t="s">
        <v>1064</v>
      </c>
      <c r="H291" s="3" t="s">
        <v>56</v>
      </c>
      <c r="I291" s="3" t="s">
        <v>32</v>
      </c>
      <c r="J291" s="3" t="s">
        <v>77</v>
      </c>
      <c r="K291" s="3" t="s">
        <v>78</v>
      </c>
      <c r="L291" s="3" t="s">
        <v>59</v>
      </c>
      <c r="M291" s="3" t="s">
        <v>158</v>
      </c>
      <c r="N291" s="3" t="s">
        <v>49</v>
      </c>
      <c r="O291" s="3" t="s">
        <v>159</v>
      </c>
      <c r="P291" s="3" t="s">
        <v>160</v>
      </c>
      <c r="Q291" s="5" t="n">
        <v>877.53</v>
      </c>
      <c r="R291" s="3" t="n">
        <v>10</v>
      </c>
      <c r="S291" s="6" t="n">
        <v>0</v>
      </c>
      <c r="T291" s="5" t="n">
        <v>-59.67</v>
      </c>
      <c r="U291" s="3" t="str">
        <f aca="false">IF(T291&lt;0,"Loss",IF(T291=0,"Break-even","Profit"))</f>
        <v>Loss</v>
      </c>
      <c r="V291" s="3" t="str">
        <f aca="false">IF(Q291&lt;100,"Low",IF(Q291&lt;=500,"Medium","High"))</f>
        <v>High</v>
      </c>
      <c r="W291" s="3" t="n">
        <f aca="false">D291-C291</f>
        <v>5</v>
      </c>
      <c r="X291" s="3" t="str">
        <f aca="false">TEXT(C291,"mmmm")</f>
        <v>July</v>
      </c>
      <c r="Y291" s="3" t="str">
        <f aca="false">LEFT(G291,1)&amp;MID(G291,FIND(" ",G291)+1,1)</f>
        <v>AB</v>
      </c>
    </row>
    <row r="292" customFormat="false" ht="15" hidden="false" customHeight="false" outlineLevel="0" collapsed="false">
      <c r="A292" s="3" t="n">
        <v>291</v>
      </c>
      <c r="B292" s="3" t="s">
        <v>1065</v>
      </c>
      <c r="C292" s="4" t="s">
        <v>1057</v>
      </c>
      <c r="D292" s="4" t="s">
        <v>1066</v>
      </c>
      <c r="E292" s="3" t="s">
        <v>28</v>
      </c>
      <c r="F292" s="3" t="s">
        <v>54</v>
      </c>
      <c r="G292" s="3" t="s">
        <v>55</v>
      </c>
      <c r="H292" s="3" t="s">
        <v>56</v>
      </c>
      <c r="I292" s="3" t="s">
        <v>32</v>
      </c>
      <c r="J292" s="3" t="s">
        <v>112</v>
      </c>
      <c r="K292" s="3" t="s">
        <v>113</v>
      </c>
      <c r="L292" s="3" t="s">
        <v>69</v>
      </c>
      <c r="M292" s="3" t="s">
        <v>259</v>
      </c>
      <c r="N292" s="3" t="s">
        <v>89</v>
      </c>
      <c r="O292" s="3" t="s">
        <v>174</v>
      </c>
      <c r="P292" s="3" t="s">
        <v>260</v>
      </c>
      <c r="Q292" s="5" t="n">
        <v>8627.4</v>
      </c>
      <c r="R292" s="3" t="n">
        <v>13</v>
      </c>
      <c r="S292" s="6" t="n">
        <v>0.5</v>
      </c>
      <c r="T292" s="5" t="n">
        <v>1308.06</v>
      </c>
      <c r="U292" s="3" t="str">
        <f aca="false">IF(T292&lt;0,"Loss",IF(T292=0,"Break-even","Profit"))</f>
        <v>Profit</v>
      </c>
      <c r="V292" s="3" t="str">
        <f aca="false">IF(Q292&lt;100,"Low",IF(Q292&lt;=500,"Medium","High"))</f>
        <v>High</v>
      </c>
      <c r="W292" s="3" t="n">
        <f aca="false">D292-C292</f>
        <v>4</v>
      </c>
      <c r="X292" s="3" t="str">
        <f aca="false">TEXT(C292,"mmmm")</f>
        <v>July</v>
      </c>
      <c r="Y292" s="3" t="str">
        <f aca="false">LEFT(G292,1)&amp;MID(G292,FIND(" ",G292)+1,1)</f>
        <v>RN</v>
      </c>
    </row>
    <row r="293" customFormat="false" ht="15" hidden="false" customHeight="false" outlineLevel="0" collapsed="false">
      <c r="A293" s="3" t="n">
        <v>292</v>
      </c>
      <c r="B293" s="3" t="s">
        <v>965</v>
      </c>
      <c r="C293" s="4" t="s">
        <v>1067</v>
      </c>
      <c r="D293" s="4" t="s">
        <v>1067</v>
      </c>
      <c r="E293" s="3" t="s">
        <v>53</v>
      </c>
      <c r="F293" s="3" t="s">
        <v>720</v>
      </c>
      <c r="G293" s="3" t="s">
        <v>721</v>
      </c>
      <c r="H293" s="3" t="s">
        <v>56</v>
      </c>
      <c r="I293" s="3" t="s">
        <v>32</v>
      </c>
      <c r="J293" s="3" t="s">
        <v>381</v>
      </c>
      <c r="K293" s="3" t="s">
        <v>58</v>
      </c>
      <c r="L293" s="3" t="s">
        <v>59</v>
      </c>
      <c r="M293" s="3" t="s">
        <v>237</v>
      </c>
      <c r="N293" s="3" t="s">
        <v>49</v>
      </c>
      <c r="O293" s="3" t="s">
        <v>220</v>
      </c>
      <c r="P293" s="3" t="s">
        <v>238</v>
      </c>
      <c r="Q293" s="5" t="n">
        <v>550.95</v>
      </c>
      <c r="R293" s="3" t="n">
        <v>11</v>
      </c>
      <c r="S293" s="6" t="n">
        <v>0.1</v>
      </c>
      <c r="T293" s="5" t="n">
        <v>-22.78</v>
      </c>
      <c r="U293" s="3" t="str">
        <f aca="false">IF(T293&lt;0,"Loss",IF(T293=0,"Break-even","Profit"))</f>
        <v>Loss</v>
      </c>
      <c r="V293" s="3" t="str">
        <f aca="false">IF(Q293&lt;100,"Low",IF(Q293&lt;=500,"Medium","High"))</f>
        <v>High</v>
      </c>
      <c r="W293" s="3" t="n">
        <f aca="false">D293-C293</f>
        <v>0</v>
      </c>
      <c r="X293" s="3" t="str">
        <f aca="false">TEXT(C293,"mmmm")</f>
        <v>July</v>
      </c>
      <c r="Y293" s="3" t="str">
        <f aca="false">LEFT(G293,1)&amp;MID(G293,FIND(" ",G293)+1,1)</f>
        <v>LJ</v>
      </c>
    </row>
    <row r="294" customFormat="false" ht="15" hidden="false" customHeight="false" outlineLevel="0" collapsed="false">
      <c r="A294" s="3" t="n">
        <v>293</v>
      </c>
      <c r="B294" s="3" t="s">
        <v>1068</v>
      </c>
      <c r="C294" s="4" t="s">
        <v>1067</v>
      </c>
      <c r="D294" s="4" t="s">
        <v>1069</v>
      </c>
      <c r="E294" s="3" t="s">
        <v>28</v>
      </c>
      <c r="F294" s="3" t="s">
        <v>1070</v>
      </c>
      <c r="G294" s="3" t="s">
        <v>1071</v>
      </c>
      <c r="H294" s="3" t="s">
        <v>56</v>
      </c>
      <c r="I294" s="3" t="s">
        <v>32</v>
      </c>
      <c r="J294" s="3" t="s">
        <v>814</v>
      </c>
      <c r="K294" s="3" t="s">
        <v>156</v>
      </c>
      <c r="L294" s="3" t="s">
        <v>157</v>
      </c>
      <c r="M294" s="3" t="s">
        <v>225</v>
      </c>
      <c r="N294" s="3" t="s">
        <v>37</v>
      </c>
      <c r="O294" s="3" t="s">
        <v>196</v>
      </c>
      <c r="P294" s="3" t="s">
        <v>226</v>
      </c>
      <c r="Q294" s="5" t="n">
        <v>83.88</v>
      </c>
      <c r="R294" s="3" t="n">
        <v>1</v>
      </c>
      <c r="S294" s="6" t="n">
        <v>0</v>
      </c>
      <c r="T294" s="5" t="n">
        <v>-9.02</v>
      </c>
      <c r="U294" s="3" t="str">
        <f aca="false">IF(T294&lt;0,"Loss",IF(T294=0,"Break-even","Profit"))</f>
        <v>Loss</v>
      </c>
      <c r="V294" s="3" t="str">
        <f aca="false">IF(Q294&lt;100,"Low",IF(Q294&lt;=500,"Medium","High"))</f>
        <v>Low</v>
      </c>
      <c r="W294" s="3" t="n">
        <f aca="false">D294-C294</f>
        <v>5</v>
      </c>
      <c r="X294" s="3" t="str">
        <f aca="false">TEXT(C294,"mmmm")</f>
        <v>July</v>
      </c>
      <c r="Y294" s="3" t="str">
        <f aca="false">LEFT(G294,1)&amp;MID(G294,FIND(" ",G294)+1,1)</f>
        <v>PB</v>
      </c>
    </row>
    <row r="295" customFormat="false" ht="15" hidden="false" customHeight="false" outlineLevel="0" collapsed="false">
      <c r="A295" s="3" t="n">
        <v>294</v>
      </c>
      <c r="B295" s="3" t="s">
        <v>739</v>
      </c>
      <c r="C295" s="4" t="s">
        <v>1059</v>
      </c>
      <c r="D295" s="4" t="s">
        <v>1072</v>
      </c>
      <c r="E295" s="3" t="s">
        <v>28</v>
      </c>
      <c r="F295" s="3" t="s">
        <v>327</v>
      </c>
      <c r="G295" s="3" t="s">
        <v>328</v>
      </c>
      <c r="H295" s="3" t="s">
        <v>31</v>
      </c>
      <c r="I295" s="3" t="s">
        <v>32</v>
      </c>
      <c r="J295" s="3" t="s">
        <v>386</v>
      </c>
      <c r="K295" s="3" t="s">
        <v>387</v>
      </c>
      <c r="L295" s="3" t="s">
        <v>35</v>
      </c>
      <c r="M295" s="3" t="s">
        <v>420</v>
      </c>
      <c r="N295" s="3" t="s">
        <v>49</v>
      </c>
      <c r="O295" s="3" t="s">
        <v>80</v>
      </c>
      <c r="P295" s="3" t="s">
        <v>421</v>
      </c>
      <c r="Q295" s="5" t="n">
        <v>336.23</v>
      </c>
      <c r="R295" s="3" t="n">
        <v>3</v>
      </c>
      <c r="S295" s="6" t="n">
        <v>0</v>
      </c>
      <c r="T295" s="5" t="n">
        <v>110.25</v>
      </c>
      <c r="U295" s="3" t="str">
        <f aca="false">IF(T295&lt;0,"Loss",IF(T295=0,"Break-even","Profit"))</f>
        <v>Profit</v>
      </c>
      <c r="V295" s="3" t="str">
        <f aca="false">IF(Q295&lt;100,"Low",IF(Q295&lt;=500,"Medium","High"))</f>
        <v>Medium</v>
      </c>
      <c r="W295" s="3" t="n">
        <f aca="false">D295-C295</f>
        <v>6</v>
      </c>
      <c r="X295" s="3" t="str">
        <f aca="false">TEXT(C295,"mmmm")</f>
        <v>July</v>
      </c>
      <c r="Y295" s="3" t="str">
        <f aca="false">LEFT(G295,1)&amp;MID(G295,FIND(" ",G295)+1,1)</f>
        <v>EW</v>
      </c>
    </row>
    <row r="296" customFormat="false" ht="15" hidden="false" customHeight="false" outlineLevel="0" collapsed="false">
      <c r="A296" s="3" t="n">
        <v>295</v>
      </c>
      <c r="B296" s="3" t="s">
        <v>1073</v>
      </c>
      <c r="C296" s="4" t="s">
        <v>1059</v>
      </c>
      <c r="D296" s="4" t="s">
        <v>1074</v>
      </c>
      <c r="E296" s="3" t="s">
        <v>28</v>
      </c>
      <c r="F296" s="3" t="s">
        <v>749</v>
      </c>
      <c r="G296" s="3" t="s">
        <v>750</v>
      </c>
      <c r="H296" s="3" t="s">
        <v>31</v>
      </c>
      <c r="I296" s="3" t="s">
        <v>32</v>
      </c>
      <c r="J296" s="3" t="s">
        <v>188</v>
      </c>
      <c r="K296" s="3" t="s">
        <v>189</v>
      </c>
      <c r="L296" s="3" t="s">
        <v>59</v>
      </c>
      <c r="M296" s="3" t="s">
        <v>114</v>
      </c>
      <c r="N296" s="3" t="s">
        <v>49</v>
      </c>
      <c r="O296" s="3" t="s">
        <v>61</v>
      </c>
      <c r="P296" s="3" t="s">
        <v>115</v>
      </c>
      <c r="Q296" s="5" t="n">
        <v>121.79</v>
      </c>
      <c r="R296" s="3" t="n">
        <v>4</v>
      </c>
      <c r="S296" s="6" t="n">
        <v>0.3</v>
      </c>
      <c r="T296" s="5" t="n">
        <v>-25.46</v>
      </c>
      <c r="U296" s="3" t="str">
        <f aca="false">IF(T296&lt;0,"Loss",IF(T296=0,"Break-even","Profit"))</f>
        <v>Loss</v>
      </c>
      <c r="V296" s="3" t="str">
        <f aca="false">IF(Q296&lt;100,"Low",IF(Q296&lt;=500,"Medium","High"))</f>
        <v>Medium</v>
      </c>
      <c r="W296" s="3" t="n">
        <f aca="false">D296-C296</f>
        <v>3</v>
      </c>
      <c r="X296" s="3" t="str">
        <f aca="false">TEXT(C296,"mmmm")</f>
        <v>July</v>
      </c>
      <c r="Y296" s="3" t="str">
        <f aca="false">LEFT(G296,1)&amp;MID(G296,FIND(" ",G296)+1,1)</f>
        <v>EA</v>
      </c>
    </row>
    <row r="297" customFormat="false" ht="15" hidden="false" customHeight="false" outlineLevel="0" collapsed="false">
      <c r="A297" s="3" t="n">
        <v>296</v>
      </c>
      <c r="B297" s="3" t="s">
        <v>1075</v>
      </c>
      <c r="C297" s="4" t="s">
        <v>1066</v>
      </c>
      <c r="D297" s="4" t="s">
        <v>1076</v>
      </c>
      <c r="E297" s="3" t="s">
        <v>84</v>
      </c>
      <c r="F297" s="3" t="s">
        <v>1077</v>
      </c>
      <c r="G297" s="3" t="s">
        <v>1078</v>
      </c>
      <c r="H297" s="3" t="s">
        <v>31</v>
      </c>
      <c r="I297" s="3" t="s">
        <v>32</v>
      </c>
      <c r="J297" s="3" t="s">
        <v>306</v>
      </c>
      <c r="K297" s="3" t="s">
        <v>307</v>
      </c>
      <c r="L297" s="3" t="s">
        <v>69</v>
      </c>
      <c r="M297" s="3" t="s">
        <v>347</v>
      </c>
      <c r="N297" s="3" t="s">
        <v>49</v>
      </c>
      <c r="O297" s="3" t="s">
        <v>220</v>
      </c>
      <c r="P297" s="3" t="s">
        <v>348</v>
      </c>
      <c r="Q297" s="5" t="n">
        <v>333.77</v>
      </c>
      <c r="R297" s="3" t="n">
        <v>3</v>
      </c>
      <c r="S297" s="6" t="n">
        <v>0.1</v>
      </c>
      <c r="T297" s="5" t="n">
        <v>-41.38</v>
      </c>
      <c r="U297" s="3" t="str">
        <f aca="false">IF(T297&lt;0,"Loss",IF(T297=0,"Break-even","Profit"))</f>
        <v>Loss</v>
      </c>
      <c r="V297" s="3" t="str">
        <f aca="false">IF(Q297&lt;100,"Low",IF(Q297&lt;=500,"Medium","High"))</f>
        <v>Medium</v>
      </c>
      <c r="W297" s="3" t="n">
        <f aca="false">D297-C297</f>
        <v>4</v>
      </c>
      <c r="X297" s="3" t="str">
        <f aca="false">TEXT(C297,"mmmm")</f>
        <v>July</v>
      </c>
      <c r="Y297" s="3" t="str">
        <f aca="false">LEFT(G297,1)&amp;MID(G297,FIND(" ",G297)+1,1)</f>
        <v>FN</v>
      </c>
    </row>
    <row r="298" customFormat="false" ht="15" hidden="false" customHeight="false" outlineLevel="0" collapsed="false">
      <c r="A298" s="3" t="n">
        <v>297</v>
      </c>
      <c r="B298" s="3" t="s">
        <v>879</v>
      </c>
      <c r="C298" s="4" t="s">
        <v>1066</v>
      </c>
      <c r="D298" s="4" t="s">
        <v>1079</v>
      </c>
      <c r="E298" s="3" t="s">
        <v>28</v>
      </c>
      <c r="F298" s="3" t="s">
        <v>868</v>
      </c>
      <c r="G298" s="3" t="s">
        <v>869</v>
      </c>
      <c r="H298" s="3" t="s">
        <v>56</v>
      </c>
      <c r="I298" s="3" t="s">
        <v>32</v>
      </c>
      <c r="J298" s="3" t="s">
        <v>873</v>
      </c>
      <c r="K298" s="3" t="s">
        <v>387</v>
      </c>
      <c r="L298" s="3" t="s">
        <v>35</v>
      </c>
      <c r="M298" s="3" t="s">
        <v>195</v>
      </c>
      <c r="N298" s="3" t="s">
        <v>37</v>
      </c>
      <c r="O298" s="3" t="s">
        <v>196</v>
      </c>
      <c r="P298" s="3" t="s">
        <v>197</v>
      </c>
      <c r="Q298" s="5" t="n">
        <v>7552.38</v>
      </c>
      <c r="R298" s="3" t="n">
        <v>11</v>
      </c>
      <c r="S298" s="6" t="n">
        <v>0</v>
      </c>
      <c r="T298" s="5" t="n">
        <v>1816.68</v>
      </c>
      <c r="U298" s="3" t="str">
        <f aca="false">IF(T298&lt;0,"Loss",IF(T298=0,"Break-even","Profit"))</f>
        <v>Profit</v>
      </c>
      <c r="V298" s="3" t="str">
        <f aca="false">IF(Q298&lt;100,"Low",IF(Q298&lt;=500,"Medium","High"))</f>
        <v>High</v>
      </c>
      <c r="W298" s="3" t="n">
        <f aca="false">D298-C298</f>
        <v>7</v>
      </c>
      <c r="X298" s="3" t="str">
        <f aca="false">TEXT(C298,"mmmm")</f>
        <v>July</v>
      </c>
      <c r="Y298" s="3" t="str">
        <f aca="false">LEFT(G298,1)&amp;MID(G298,FIND(" ",G298)+1,1)</f>
        <v>JG</v>
      </c>
    </row>
    <row r="299" customFormat="false" ht="15" hidden="false" customHeight="false" outlineLevel="0" collapsed="false">
      <c r="A299" s="3" t="n">
        <v>298</v>
      </c>
      <c r="B299" s="3" t="s">
        <v>1080</v>
      </c>
      <c r="C299" s="4" t="s">
        <v>1066</v>
      </c>
      <c r="D299" s="4" t="s">
        <v>1079</v>
      </c>
      <c r="E299" s="3" t="s">
        <v>28</v>
      </c>
      <c r="F299" s="3" t="s">
        <v>1081</v>
      </c>
      <c r="G299" s="3" t="s">
        <v>1082</v>
      </c>
      <c r="H299" s="3" t="s">
        <v>56</v>
      </c>
      <c r="I299" s="3" t="s">
        <v>32</v>
      </c>
      <c r="J299" s="3" t="s">
        <v>95</v>
      </c>
      <c r="K299" s="3" t="s">
        <v>96</v>
      </c>
      <c r="L299" s="3" t="s">
        <v>59</v>
      </c>
      <c r="M299" s="3" t="s">
        <v>280</v>
      </c>
      <c r="N299" s="3" t="s">
        <v>89</v>
      </c>
      <c r="O299" s="3" t="s">
        <v>166</v>
      </c>
      <c r="P299" s="3" t="s">
        <v>281</v>
      </c>
      <c r="Q299" s="5" t="n">
        <v>1916.05</v>
      </c>
      <c r="R299" s="3" t="n">
        <v>6</v>
      </c>
      <c r="S299" s="6" t="n">
        <v>0.5</v>
      </c>
      <c r="T299" s="5" t="n">
        <v>269.13</v>
      </c>
      <c r="U299" s="3" t="str">
        <f aca="false">IF(T299&lt;0,"Loss",IF(T299=0,"Break-even","Profit"))</f>
        <v>Profit</v>
      </c>
      <c r="V299" s="3" t="str">
        <f aca="false">IF(Q299&lt;100,"Low",IF(Q299&lt;=500,"Medium","High"))</f>
        <v>High</v>
      </c>
      <c r="W299" s="3" t="n">
        <f aca="false">D299-C299</f>
        <v>7</v>
      </c>
      <c r="X299" s="3" t="str">
        <f aca="false">TEXT(C299,"mmmm")</f>
        <v>July</v>
      </c>
      <c r="Y299" s="3" t="str">
        <f aca="false">LEFT(G299,1)&amp;MID(G299,FIND(" ",G299)+1,1)</f>
        <v>SB</v>
      </c>
    </row>
    <row r="300" customFormat="false" ht="15" hidden="false" customHeight="false" outlineLevel="0" collapsed="false">
      <c r="A300" s="3" t="n">
        <v>299</v>
      </c>
      <c r="B300" s="3" t="s">
        <v>1083</v>
      </c>
      <c r="C300" s="4" t="s">
        <v>1074</v>
      </c>
      <c r="D300" s="4" t="s">
        <v>1084</v>
      </c>
      <c r="E300" s="3" t="s">
        <v>28</v>
      </c>
      <c r="F300" s="3" t="s">
        <v>656</v>
      </c>
      <c r="G300" s="3" t="s">
        <v>657</v>
      </c>
      <c r="H300" s="3" t="s">
        <v>45</v>
      </c>
      <c r="I300" s="3" t="s">
        <v>32</v>
      </c>
      <c r="J300" s="3" t="s">
        <v>548</v>
      </c>
      <c r="K300" s="3" t="s">
        <v>244</v>
      </c>
      <c r="L300" s="3" t="s">
        <v>157</v>
      </c>
      <c r="M300" s="3" t="s">
        <v>190</v>
      </c>
      <c r="N300" s="3" t="s">
        <v>49</v>
      </c>
      <c r="O300" s="3" t="s">
        <v>150</v>
      </c>
      <c r="P300" s="3" t="s">
        <v>191</v>
      </c>
      <c r="Q300" s="5" t="n">
        <v>49.31</v>
      </c>
      <c r="R300" s="3" t="n">
        <v>1</v>
      </c>
      <c r="S300" s="6" t="n">
        <v>0.2</v>
      </c>
      <c r="T300" s="5" t="n">
        <v>3.46</v>
      </c>
      <c r="U300" s="3" t="str">
        <f aca="false">IF(T300&lt;0,"Loss",IF(T300=0,"Break-even","Profit"))</f>
        <v>Profit</v>
      </c>
      <c r="V300" s="3" t="str">
        <f aca="false">IF(Q300&lt;100,"Low",IF(Q300&lt;=500,"Medium","High"))</f>
        <v>Low</v>
      </c>
      <c r="W300" s="3" t="n">
        <f aca="false">D300-C300</f>
        <v>7</v>
      </c>
      <c r="X300" s="3" t="str">
        <f aca="false">TEXT(C300,"mmmm")</f>
        <v>July</v>
      </c>
      <c r="Y300" s="3" t="str">
        <f aca="false">LEFT(G300,1)&amp;MID(G300,FIND(" ",G300)+1,1)</f>
        <v>MJ</v>
      </c>
    </row>
    <row r="301" customFormat="false" ht="15" hidden="false" customHeight="false" outlineLevel="0" collapsed="false">
      <c r="A301" s="3" t="n">
        <v>300</v>
      </c>
      <c r="B301" s="3" t="s">
        <v>1085</v>
      </c>
      <c r="C301" s="4" t="s">
        <v>1074</v>
      </c>
      <c r="D301" s="4" t="s">
        <v>1072</v>
      </c>
      <c r="E301" s="3" t="s">
        <v>28</v>
      </c>
      <c r="F301" s="3" t="s">
        <v>1086</v>
      </c>
      <c r="G301" s="3" t="s">
        <v>1087</v>
      </c>
      <c r="H301" s="3" t="s">
        <v>45</v>
      </c>
      <c r="I301" s="3" t="s">
        <v>32</v>
      </c>
      <c r="J301" s="3" t="s">
        <v>252</v>
      </c>
      <c r="K301" s="3" t="s">
        <v>172</v>
      </c>
      <c r="L301" s="3" t="s">
        <v>157</v>
      </c>
      <c r="M301" s="3" t="s">
        <v>470</v>
      </c>
      <c r="N301" s="3" t="s">
        <v>49</v>
      </c>
      <c r="O301" s="3" t="s">
        <v>159</v>
      </c>
      <c r="P301" s="3" t="s">
        <v>471</v>
      </c>
      <c r="Q301" s="5" t="n">
        <v>59.84</v>
      </c>
      <c r="R301" s="3" t="n">
        <v>7</v>
      </c>
      <c r="S301" s="6" t="n">
        <v>0.4</v>
      </c>
      <c r="T301" s="5" t="n">
        <v>8.79</v>
      </c>
      <c r="U301" s="3" t="str">
        <f aca="false">IF(T301&lt;0,"Loss",IF(T301=0,"Break-even","Profit"))</f>
        <v>Profit</v>
      </c>
      <c r="V301" s="3" t="str">
        <f aca="false">IF(Q301&lt;100,"Low",IF(Q301&lt;=500,"Medium","High"))</f>
        <v>Low</v>
      </c>
      <c r="W301" s="3" t="n">
        <f aca="false">D301-C301</f>
        <v>3</v>
      </c>
      <c r="X301" s="3" t="str">
        <f aca="false">TEXT(C301,"mmmm")</f>
        <v>July</v>
      </c>
      <c r="Y301" s="3" t="str">
        <f aca="false">LEFT(G301,1)&amp;MID(G301,FIND(" ",G301)+1,1)</f>
        <v>AB</v>
      </c>
    </row>
    <row r="302" customFormat="false" ht="15" hidden="false" customHeight="false" outlineLevel="0" collapsed="false">
      <c r="A302" s="3" t="n">
        <v>301</v>
      </c>
      <c r="B302" s="3" t="s">
        <v>1088</v>
      </c>
      <c r="C302" s="4" t="s">
        <v>1069</v>
      </c>
      <c r="D302" s="4" t="s">
        <v>1089</v>
      </c>
      <c r="E302" s="3" t="s">
        <v>28</v>
      </c>
      <c r="F302" s="3" t="s">
        <v>896</v>
      </c>
      <c r="G302" s="3" t="s">
        <v>897</v>
      </c>
      <c r="H302" s="3" t="s">
        <v>31</v>
      </c>
      <c r="I302" s="3" t="s">
        <v>32</v>
      </c>
      <c r="J302" s="3" t="s">
        <v>243</v>
      </c>
      <c r="K302" s="3" t="s">
        <v>244</v>
      </c>
      <c r="L302" s="3" t="s">
        <v>157</v>
      </c>
      <c r="M302" s="3" t="s">
        <v>461</v>
      </c>
      <c r="N302" s="3" t="s">
        <v>37</v>
      </c>
      <c r="O302" s="3" t="s">
        <v>71</v>
      </c>
      <c r="P302" s="3" t="s">
        <v>462</v>
      </c>
      <c r="Q302" s="5" t="n">
        <v>6877.07</v>
      </c>
      <c r="R302" s="3" t="n">
        <v>5</v>
      </c>
      <c r="S302" s="6" t="n">
        <v>0</v>
      </c>
      <c r="T302" s="5" t="n">
        <v>2084.28</v>
      </c>
      <c r="U302" s="3" t="str">
        <f aca="false">IF(T302&lt;0,"Loss",IF(T302=0,"Break-even","Profit"))</f>
        <v>Profit</v>
      </c>
      <c r="V302" s="3" t="str">
        <f aca="false">IF(Q302&lt;100,"Low",IF(Q302&lt;=500,"Medium","High"))</f>
        <v>High</v>
      </c>
      <c r="W302" s="3" t="n">
        <f aca="false">D302-C302</f>
        <v>7</v>
      </c>
      <c r="X302" s="3" t="str">
        <f aca="false">TEXT(C302,"mmmm")</f>
        <v>July</v>
      </c>
      <c r="Y302" s="3" t="str">
        <f aca="false">LEFT(G302,1)&amp;MID(G302,FIND(" ",G302)+1,1)</f>
        <v>AR</v>
      </c>
    </row>
    <row r="303" customFormat="false" ht="15" hidden="false" customHeight="false" outlineLevel="0" collapsed="false">
      <c r="A303" s="3" t="n">
        <v>302</v>
      </c>
      <c r="B303" s="3" t="s">
        <v>1090</v>
      </c>
      <c r="C303" s="4" t="s">
        <v>1076</v>
      </c>
      <c r="D303" s="4" t="s">
        <v>1091</v>
      </c>
      <c r="E303" s="3" t="s">
        <v>28</v>
      </c>
      <c r="F303" s="3" t="s">
        <v>1092</v>
      </c>
      <c r="G303" s="3" t="s">
        <v>1093</v>
      </c>
      <c r="H303" s="3" t="s">
        <v>56</v>
      </c>
      <c r="I303" s="3" t="s">
        <v>32</v>
      </c>
      <c r="J303" s="3" t="s">
        <v>33</v>
      </c>
      <c r="K303" s="3" t="s">
        <v>34</v>
      </c>
      <c r="L303" s="3" t="s">
        <v>35</v>
      </c>
      <c r="M303" s="3" t="s">
        <v>280</v>
      </c>
      <c r="N303" s="3" t="s">
        <v>89</v>
      </c>
      <c r="O303" s="3" t="s">
        <v>166</v>
      </c>
      <c r="P303" s="3" t="s">
        <v>281</v>
      </c>
      <c r="Q303" s="5" t="n">
        <v>2120.3</v>
      </c>
      <c r="R303" s="3" t="n">
        <v>6</v>
      </c>
      <c r="S303" s="6" t="n">
        <v>0.1</v>
      </c>
      <c r="T303" s="5" t="n">
        <v>42.03</v>
      </c>
      <c r="U303" s="3" t="str">
        <f aca="false">IF(T303&lt;0,"Loss",IF(T303=0,"Break-even","Profit"))</f>
        <v>Profit</v>
      </c>
      <c r="V303" s="3" t="str">
        <f aca="false">IF(Q303&lt;100,"Low",IF(Q303&lt;=500,"Medium","High"))</f>
        <v>High</v>
      </c>
      <c r="W303" s="3" t="n">
        <f aca="false">D303-C303</f>
        <v>4</v>
      </c>
      <c r="X303" s="3" t="str">
        <f aca="false">TEXT(C303,"mmmm")</f>
        <v>July</v>
      </c>
      <c r="Y303" s="3" t="str">
        <f aca="false">LEFT(G303,1)&amp;MID(G303,FIND(" ",G303)+1,1)</f>
        <v>DC</v>
      </c>
    </row>
    <row r="304" customFormat="false" ht="15" hidden="false" customHeight="false" outlineLevel="0" collapsed="false">
      <c r="A304" s="3" t="n">
        <v>303</v>
      </c>
      <c r="B304" s="3" t="s">
        <v>318</v>
      </c>
      <c r="C304" s="4" t="s">
        <v>1094</v>
      </c>
      <c r="D304" s="4" t="s">
        <v>1084</v>
      </c>
      <c r="E304" s="3" t="s">
        <v>28</v>
      </c>
      <c r="F304" s="3" t="s">
        <v>1095</v>
      </c>
      <c r="G304" s="3" t="s">
        <v>1096</v>
      </c>
      <c r="H304" s="3" t="s">
        <v>56</v>
      </c>
      <c r="I304" s="3" t="s">
        <v>32</v>
      </c>
      <c r="J304" s="3" t="s">
        <v>215</v>
      </c>
      <c r="K304" s="3" t="s">
        <v>34</v>
      </c>
      <c r="L304" s="3" t="s">
        <v>35</v>
      </c>
      <c r="M304" s="3" t="s">
        <v>225</v>
      </c>
      <c r="N304" s="3" t="s">
        <v>37</v>
      </c>
      <c r="O304" s="3" t="s">
        <v>196</v>
      </c>
      <c r="P304" s="3" t="s">
        <v>226</v>
      </c>
      <c r="Q304" s="5" t="n">
        <v>10305.1</v>
      </c>
      <c r="R304" s="3" t="n">
        <v>13</v>
      </c>
      <c r="S304" s="6" t="n">
        <v>0.2</v>
      </c>
      <c r="T304" s="5" t="n">
        <v>-2304.02</v>
      </c>
      <c r="U304" s="3" t="str">
        <f aca="false">IF(T304&lt;0,"Loss",IF(T304=0,"Break-even","Profit"))</f>
        <v>Loss</v>
      </c>
      <c r="V304" s="3" t="str">
        <f aca="false">IF(Q304&lt;100,"Low",IF(Q304&lt;=500,"Medium","High"))</f>
        <v>High</v>
      </c>
      <c r="W304" s="3" t="n">
        <f aca="false">D304-C304</f>
        <v>3</v>
      </c>
      <c r="X304" s="3" t="str">
        <f aca="false">TEXT(C304,"mmmm")</f>
        <v>July</v>
      </c>
      <c r="Y304" s="3" t="str">
        <f aca="false">LEFT(G304,1)&amp;MID(G304,FIND(" ",G304)+1,1)</f>
        <v>JS</v>
      </c>
    </row>
    <row r="305" customFormat="false" ht="15" hidden="false" customHeight="false" outlineLevel="0" collapsed="false">
      <c r="A305" s="3" t="n">
        <v>304</v>
      </c>
      <c r="B305" s="3" t="s">
        <v>1097</v>
      </c>
      <c r="C305" s="4" t="s">
        <v>1094</v>
      </c>
      <c r="D305" s="4" t="s">
        <v>1098</v>
      </c>
      <c r="E305" s="3" t="s">
        <v>28</v>
      </c>
      <c r="F305" s="3" t="s">
        <v>1099</v>
      </c>
      <c r="G305" s="3" t="s">
        <v>1100</v>
      </c>
      <c r="H305" s="3" t="s">
        <v>56</v>
      </c>
      <c r="I305" s="3" t="s">
        <v>32</v>
      </c>
      <c r="J305" s="3" t="s">
        <v>381</v>
      </c>
      <c r="K305" s="3" t="s">
        <v>58</v>
      </c>
      <c r="L305" s="3" t="s">
        <v>59</v>
      </c>
      <c r="M305" s="3" t="s">
        <v>683</v>
      </c>
      <c r="N305" s="3" t="s">
        <v>37</v>
      </c>
      <c r="O305" s="3" t="s">
        <v>136</v>
      </c>
      <c r="P305" s="3" t="s">
        <v>684</v>
      </c>
      <c r="Q305" s="5" t="n">
        <v>12975.31</v>
      </c>
      <c r="R305" s="3" t="n">
        <v>14</v>
      </c>
      <c r="S305" s="6" t="n">
        <v>0.4</v>
      </c>
      <c r="T305" s="5" t="n">
        <v>-2975.63</v>
      </c>
      <c r="U305" s="3" t="str">
        <f aca="false">IF(T305&lt;0,"Loss",IF(T305=0,"Break-even","Profit"))</f>
        <v>Loss</v>
      </c>
      <c r="V305" s="3" t="str">
        <f aca="false">IF(Q305&lt;100,"Low",IF(Q305&lt;=500,"Medium","High"))</f>
        <v>High</v>
      </c>
      <c r="W305" s="3" t="n">
        <f aca="false">D305-C305</f>
        <v>7</v>
      </c>
      <c r="X305" s="3" t="str">
        <f aca="false">TEXT(C305,"mmmm")</f>
        <v>July</v>
      </c>
      <c r="Y305" s="3" t="str">
        <f aca="false">LEFT(G305,1)&amp;MID(G305,FIND(" ",G305)+1,1)</f>
        <v>JK</v>
      </c>
    </row>
    <row r="306" customFormat="false" ht="15" hidden="false" customHeight="false" outlineLevel="0" collapsed="false">
      <c r="A306" s="3" t="n">
        <v>305</v>
      </c>
      <c r="B306" s="3" t="s">
        <v>1101</v>
      </c>
      <c r="C306" s="4" t="s">
        <v>1079</v>
      </c>
      <c r="D306" s="4" t="s">
        <v>1084</v>
      </c>
      <c r="E306" s="3" t="s">
        <v>42</v>
      </c>
      <c r="F306" s="3" t="s">
        <v>1102</v>
      </c>
      <c r="G306" s="3" t="s">
        <v>1103</v>
      </c>
      <c r="H306" s="3" t="s">
        <v>45</v>
      </c>
      <c r="I306" s="3" t="s">
        <v>32</v>
      </c>
      <c r="J306" s="3" t="s">
        <v>46</v>
      </c>
      <c r="K306" s="3" t="s">
        <v>47</v>
      </c>
      <c r="L306" s="3" t="s">
        <v>35</v>
      </c>
      <c r="M306" s="3" t="s">
        <v>149</v>
      </c>
      <c r="N306" s="3" t="s">
        <v>49</v>
      </c>
      <c r="O306" s="3" t="s">
        <v>150</v>
      </c>
      <c r="P306" s="3" t="s">
        <v>151</v>
      </c>
      <c r="Q306" s="5" t="n">
        <v>591.5</v>
      </c>
      <c r="R306" s="3" t="n">
        <v>8</v>
      </c>
      <c r="S306" s="6" t="n">
        <v>0.4</v>
      </c>
      <c r="T306" s="5" t="n">
        <v>-38.91</v>
      </c>
      <c r="U306" s="3" t="str">
        <f aca="false">IF(T306&lt;0,"Loss",IF(T306=0,"Break-even","Profit"))</f>
        <v>Loss</v>
      </c>
      <c r="V306" s="3" t="str">
        <f aca="false">IF(Q306&lt;100,"Low",IF(Q306&lt;=500,"Medium","High"))</f>
        <v>High</v>
      </c>
      <c r="W306" s="3" t="n">
        <f aca="false">D306-C306</f>
        <v>2</v>
      </c>
      <c r="X306" s="3" t="str">
        <f aca="false">TEXT(C306,"mmmm")</f>
        <v>August</v>
      </c>
      <c r="Y306" s="3" t="str">
        <f aca="false">LEFT(G306,1)&amp;MID(G306,FIND(" ",G306)+1,1)</f>
        <v>DS</v>
      </c>
    </row>
    <row r="307" customFormat="false" ht="15" hidden="false" customHeight="false" outlineLevel="0" collapsed="false">
      <c r="A307" s="3" t="n">
        <v>306</v>
      </c>
      <c r="B307" s="3" t="s">
        <v>1104</v>
      </c>
      <c r="C307" s="4" t="s">
        <v>1105</v>
      </c>
      <c r="D307" s="4" t="s">
        <v>1106</v>
      </c>
      <c r="E307" s="3" t="s">
        <v>84</v>
      </c>
      <c r="F307" s="3" t="s">
        <v>1107</v>
      </c>
      <c r="G307" s="3" t="s">
        <v>1108</v>
      </c>
      <c r="H307" s="3" t="s">
        <v>56</v>
      </c>
      <c r="I307" s="3" t="s">
        <v>32</v>
      </c>
      <c r="J307" s="3" t="s">
        <v>306</v>
      </c>
      <c r="K307" s="3" t="s">
        <v>307</v>
      </c>
      <c r="L307" s="3" t="s">
        <v>69</v>
      </c>
      <c r="M307" s="3" t="s">
        <v>447</v>
      </c>
      <c r="N307" s="3" t="s">
        <v>89</v>
      </c>
      <c r="O307" s="3" t="s">
        <v>323</v>
      </c>
      <c r="P307" s="3" t="s">
        <v>448</v>
      </c>
      <c r="Q307" s="5" t="n">
        <v>656.6</v>
      </c>
      <c r="R307" s="3" t="n">
        <v>1</v>
      </c>
      <c r="S307" s="6" t="n">
        <v>0</v>
      </c>
      <c r="T307" s="5" t="n">
        <v>157.93</v>
      </c>
      <c r="U307" s="3" t="str">
        <f aca="false">IF(T307&lt;0,"Loss",IF(T307=0,"Break-even","Profit"))</f>
        <v>Profit</v>
      </c>
      <c r="V307" s="3" t="str">
        <f aca="false">IF(Q307&lt;100,"Low",IF(Q307&lt;=500,"Medium","High"))</f>
        <v>High</v>
      </c>
      <c r="W307" s="3" t="n">
        <f aca="false">D307-C307</f>
        <v>4</v>
      </c>
      <c r="X307" s="3" t="str">
        <f aca="false">TEXT(C307,"mmmm")</f>
        <v>August</v>
      </c>
      <c r="Y307" s="3" t="str">
        <f aca="false">LEFT(G307,1)&amp;MID(G307,FIND(" ",G307)+1,1)</f>
        <v>LM</v>
      </c>
    </row>
    <row r="308" customFormat="false" ht="15" hidden="false" customHeight="false" outlineLevel="0" collapsed="false">
      <c r="A308" s="3" t="n">
        <v>307</v>
      </c>
      <c r="B308" s="3" t="s">
        <v>1109</v>
      </c>
      <c r="C308" s="4" t="s">
        <v>1105</v>
      </c>
      <c r="D308" s="4" t="s">
        <v>1110</v>
      </c>
      <c r="E308" s="3" t="s">
        <v>28</v>
      </c>
      <c r="F308" s="3" t="s">
        <v>418</v>
      </c>
      <c r="G308" s="3" t="s">
        <v>419</v>
      </c>
      <c r="H308" s="3" t="s">
        <v>56</v>
      </c>
      <c r="I308" s="3" t="s">
        <v>32</v>
      </c>
      <c r="J308" s="3" t="s">
        <v>386</v>
      </c>
      <c r="K308" s="3" t="s">
        <v>387</v>
      </c>
      <c r="L308" s="3" t="s">
        <v>35</v>
      </c>
      <c r="M308" s="3" t="s">
        <v>259</v>
      </c>
      <c r="N308" s="3" t="s">
        <v>89</v>
      </c>
      <c r="O308" s="3" t="s">
        <v>174</v>
      </c>
      <c r="P308" s="3" t="s">
        <v>260</v>
      </c>
      <c r="Q308" s="5" t="n">
        <v>593.13</v>
      </c>
      <c r="R308" s="3" t="n">
        <v>1</v>
      </c>
      <c r="S308" s="6" t="n">
        <v>0.4</v>
      </c>
      <c r="T308" s="5" t="n">
        <v>-45.64</v>
      </c>
      <c r="U308" s="3" t="str">
        <f aca="false">IF(T308&lt;0,"Loss",IF(T308=0,"Break-even","Profit"))</f>
        <v>Loss</v>
      </c>
      <c r="V308" s="3" t="str">
        <f aca="false">IF(Q308&lt;100,"Low",IF(Q308&lt;=500,"Medium","High"))</f>
        <v>High</v>
      </c>
      <c r="W308" s="3" t="n">
        <f aca="false">D308-C308</f>
        <v>7</v>
      </c>
      <c r="X308" s="3" t="str">
        <f aca="false">TEXT(C308,"mmmm")</f>
        <v>August</v>
      </c>
      <c r="Y308" s="3" t="str">
        <f aca="false">LEFT(G308,1)&amp;MID(G308,FIND(" ",G308)+1,1)</f>
        <v>PW</v>
      </c>
    </row>
    <row r="309" customFormat="false" ht="15" hidden="false" customHeight="false" outlineLevel="0" collapsed="false">
      <c r="A309" s="3" t="n">
        <v>308</v>
      </c>
      <c r="B309" s="3" t="s">
        <v>1111</v>
      </c>
      <c r="C309" s="4" t="s">
        <v>1105</v>
      </c>
      <c r="D309" s="4" t="s">
        <v>1106</v>
      </c>
      <c r="E309" s="3" t="s">
        <v>84</v>
      </c>
      <c r="F309" s="3" t="s">
        <v>1112</v>
      </c>
      <c r="G309" s="3" t="s">
        <v>1113</v>
      </c>
      <c r="H309" s="3" t="s">
        <v>56</v>
      </c>
      <c r="I309" s="3" t="s">
        <v>32</v>
      </c>
      <c r="J309" s="3" t="s">
        <v>299</v>
      </c>
      <c r="K309" s="3" t="s">
        <v>189</v>
      </c>
      <c r="L309" s="3" t="s">
        <v>59</v>
      </c>
      <c r="M309" s="3" t="s">
        <v>253</v>
      </c>
      <c r="N309" s="3" t="s">
        <v>89</v>
      </c>
      <c r="O309" s="3" t="s">
        <v>90</v>
      </c>
      <c r="P309" s="3" t="s">
        <v>254</v>
      </c>
      <c r="Q309" s="5" t="n">
        <v>1893.24</v>
      </c>
      <c r="R309" s="3" t="n">
        <v>4</v>
      </c>
      <c r="S309" s="6" t="n">
        <v>0.1</v>
      </c>
      <c r="T309" s="5" t="n">
        <v>-110.45</v>
      </c>
      <c r="U309" s="3" t="str">
        <f aca="false">IF(T309&lt;0,"Loss",IF(T309=0,"Break-even","Profit"))</f>
        <v>Loss</v>
      </c>
      <c r="V309" s="3" t="str">
        <f aca="false">IF(Q309&lt;100,"Low",IF(Q309&lt;=500,"Medium","High"))</f>
        <v>High</v>
      </c>
      <c r="W309" s="3" t="n">
        <f aca="false">D309-C309</f>
        <v>4</v>
      </c>
      <c r="X309" s="3" t="str">
        <f aca="false">TEXT(C309,"mmmm")</f>
        <v>August</v>
      </c>
      <c r="Y309" s="3" t="str">
        <f aca="false">LEFT(G309,1)&amp;MID(G309,FIND(" ",G309)+1,1)</f>
        <v>MD</v>
      </c>
    </row>
    <row r="310" customFormat="false" ht="15" hidden="false" customHeight="false" outlineLevel="0" collapsed="false">
      <c r="A310" s="3" t="n">
        <v>309</v>
      </c>
      <c r="B310" s="3" t="s">
        <v>1114</v>
      </c>
      <c r="C310" s="4" t="s">
        <v>1115</v>
      </c>
      <c r="D310" s="4" t="s">
        <v>1110</v>
      </c>
      <c r="E310" s="3" t="s">
        <v>28</v>
      </c>
      <c r="F310" s="3" t="s">
        <v>345</v>
      </c>
      <c r="G310" s="3" t="s">
        <v>346</v>
      </c>
      <c r="H310" s="3" t="s">
        <v>31</v>
      </c>
      <c r="I310" s="3" t="s">
        <v>32</v>
      </c>
      <c r="J310" s="3" t="s">
        <v>201</v>
      </c>
      <c r="K310" s="3" t="s">
        <v>202</v>
      </c>
      <c r="L310" s="3" t="s">
        <v>35</v>
      </c>
      <c r="M310" s="3" t="s">
        <v>79</v>
      </c>
      <c r="N310" s="3" t="s">
        <v>49</v>
      </c>
      <c r="O310" s="3" t="s">
        <v>80</v>
      </c>
      <c r="P310" s="3" t="s">
        <v>81</v>
      </c>
      <c r="Q310" s="5" t="n">
        <v>549.54</v>
      </c>
      <c r="R310" s="3" t="n">
        <v>5</v>
      </c>
      <c r="S310" s="6" t="n">
        <v>0.2</v>
      </c>
      <c r="T310" s="5" t="n">
        <v>68.24</v>
      </c>
      <c r="U310" s="3" t="str">
        <f aca="false">IF(T310&lt;0,"Loss",IF(T310=0,"Break-even","Profit"))</f>
        <v>Profit</v>
      </c>
      <c r="V310" s="3" t="str">
        <f aca="false">IF(Q310&lt;100,"Low",IF(Q310&lt;=500,"Medium","High"))</f>
        <v>High</v>
      </c>
      <c r="W310" s="3" t="n">
        <f aca="false">D310-C310</f>
        <v>6</v>
      </c>
      <c r="X310" s="3" t="str">
        <f aca="false">TEXT(C310,"mmmm")</f>
        <v>August</v>
      </c>
      <c r="Y310" s="3" t="str">
        <f aca="false">LEFT(G310,1)&amp;MID(G310,FIND(" ",G310)+1,1)</f>
        <v>OS</v>
      </c>
    </row>
    <row r="311" customFormat="false" ht="15" hidden="false" customHeight="false" outlineLevel="0" collapsed="false">
      <c r="A311" s="3" t="n">
        <v>310</v>
      </c>
      <c r="B311" s="3" t="s">
        <v>1116</v>
      </c>
      <c r="C311" s="4" t="s">
        <v>1115</v>
      </c>
      <c r="D311" s="4" t="s">
        <v>1106</v>
      </c>
      <c r="E311" s="3" t="s">
        <v>28</v>
      </c>
      <c r="F311" s="3" t="s">
        <v>641</v>
      </c>
      <c r="G311" s="3" t="s">
        <v>642</v>
      </c>
      <c r="H311" s="3" t="s">
        <v>56</v>
      </c>
      <c r="I311" s="3" t="s">
        <v>32</v>
      </c>
      <c r="J311" s="3" t="s">
        <v>67</v>
      </c>
      <c r="K311" s="3" t="s">
        <v>68</v>
      </c>
      <c r="L311" s="3" t="s">
        <v>69</v>
      </c>
      <c r="M311" s="3" t="s">
        <v>559</v>
      </c>
      <c r="N311" s="3" t="s">
        <v>37</v>
      </c>
      <c r="O311" s="3" t="s">
        <v>38</v>
      </c>
      <c r="P311" s="3" t="s">
        <v>560</v>
      </c>
      <c r="Q311" s="5" t="n">
        <v>18961.48</v>
      </c>
      <c r="R311" s="3" t="n">
        <v>13</v>
      </c>
      <c r="S311" s="6" t="n">
        <v>0.3</v>
      </c>
      <c r="T311" s="5" t="n">
        <v>-1829.13</v>
      </c>
      <c r="U311" s="3" t="str">
        <f aca="false">IF(T311&lt;0,"Loss",IF(T311=0,"Break-even","Profit"))</f>
        <v>Loss</v>
      </c>
      <c r="V311" s="3" t="str">
        <f aca="false">IF(Q311&lt;100,"Low",IF(Q311&lt;=500,"Medium","High"))</f>
        <v>High</v>
      </c>
      <c r="W311" s="3" t="n">
        <f aca="false">D311-C311</f>
        <v>3</v>
      </c>
      <c r="X311" s="3" t="str">
        <f aca="false">TEXT(C311,"mmmm")</f>
        <v>August</v>
      </c>
      <c r="Y311" s="3" t="str">
        <f aca="false">LEFT(G311,1)&amp;MID(G311,FIND(" ",G311)+1,1)</f>
        <v>PC</v>
      </c>
    </row>
    <row r="312" customFormat="false" ht="15" hidden="false" customHeight="false" outlineLevel="0" collapsed="false">
      <c r="A312" s="3" t="n">
        <v>311</v>
      </c>
      <c r="B312" s="3" t="s">
        <v>1117</v>
      </c>
      <c r="C312" s="4" t="s">
        <v>1098</v>
      </c>
      <c r="D312" s="4" t="s">
        <v>1110</v>
      </c>
      <c r="E312" s="3" t="s">
        <v>28</v>
      </c>
      <c r="F312" s="3" t="s">
        <v>54</v>
      </c>
      <c r="G312" s="3" t="s">
        <v>55</v>
      </c>
      <c r="H312" s="3" t="s">
        <v>56</v>
      </c>
      <c r="I312" s="3" t="s">
        <v>32</v>
      </c>
      <c r="J312" s="3" t="s">
        <v>365</v>
      </c>
      <c r="K312" s="3" t="s">
        <v>366</v>
      </c>
      <c r="L312" s="3" t="s">
        <v>157</v>
      </c>
      <c r="M312" s="3" t="s">
        <v>127</v>
      </c>
      <c r="N312" s="3" t="s">
        <v>49</v>
      </c>
      <c r="O312" s="3" t="s">
        <v>61</v>
      </c>
      <c r="P312" s="3" t="s">
        <v>128</v>
      </c>
      <c r="Q312" s="5" t="n">
        <v>21.02</v>
      </c>
      <c r="R312" s="3" t="n">
        <v>5</v>
      </c>
      <c r="S312" s="6" t="n">
        <v>0</v>
      </c>
      <c r="T312" s="5" t="n">
        <v>6.9</v>
      </c>
      <c r="U312" s="3" t="str">
        <f aca="false">IF(T312&lt;0,"Loss",IF(T312=0,"Break-even","Profit"))</f>
        <v>Profit</v>
      </c>
      <c r="V312" s="3" t="str">
        <f aca="false">IF(Q312&lt;100,"Low",IF(Q312&lt;=500,"Medium","High"))</f>
        <v>Low</v>
      </c>
      <c r="W312" s="3" t="n">
        <f aca="false">D312-C312</f>
        <v>5</v>
      </c>
      <c r="X312" s="3" t="str">
        <f aca="false">TEXT(C312,"mmmm")</f>
        <v>August</v>
      </c>
      <c r="Y312" s="3" t="str">
        <f aca="false">LEFT(G312,1)&amp;MID(G312,FIND(" ",G312)+1,1)</f>
        <v>RN</v>
      </c>
    </row>
    <row r="313" customFormat="false" ht="15" hidden="false" customHeight="false" outlineLevel="0" collapsed="false">
      <c r="A313" s="3" t="n">
        <v>312</v>
      </c>
      <c r="B313" s="3" t="s">
        <v>1118</v>
      </c>
      <c r="C313" s="4" t="s">
        <v>1119</v>
      </c>
      <c r="D313" s="4" t="s">
        <v>1120</v>
      </c>
      <c r="E313" s="3" t="s">
        <v>28</v>
      </c>
      <c r="F313" s="3" t="s">
        <v>1121</v>
      </c>
      <c r="G313" s="3" t="s">
        <v>1122</v>
      </c>
      <c r="H313" s="3" t="s">
        <v>56</v>
      </c>
      <c r="I313" s="3" t="s">
        <v>32</v>
      </c>
      <c r="J313" s="3" t="s">
        <v>148</v>
      </c>
      <c r="K313" s="3" t="s">
        <v>78</v>
      </c>
      <c r="L313" s="3" t="s">
        <v>59</v>
      </c>
      <c r="M313" s="3" t="s">
        <v>300</v>
      </c>
      <c r="N313" s="3" t="s">
        <v>49</v>
      </c>
      <c r="O313" s="3" t="s">
        <v>143</v>
      </c>
      <c r="P313" s="3" t="s">
        <v>301</v>
      </c>
      <c r="Q313" s="5" t="n">
        <v>178.44</v>
      </c>
      <c r="R313" s="3" t="n">
        <v>2</v>
      </c>
      <c r="S313" s="6" t="n">
        <v>0.3</v>
      </c>
      <c r="T313" s="5" t="n">
        <v>-8.71</v>
      </c>
      <c r="U313" s="3" t="str">
        <f aca="false">IF(T313&lt;0,"Loss",IF(T313=0,"Break-even","Profit"))</f>
        <v>Loss</v>
      </c>
      <c r="V313" s="3" t="str">
        <f aca="false">IF(Q313&lt;100,"Low",IF(Q313&lt;=500,"Medium","High"))</f>
        <v>Medium</v>
      </c>
      <c r="W313" s="3" t="n">
        <f aca="false">D313-C313</f>
        <v>7</v>
      </c>
      <c r="X313" s="3" t="str">
        <f aca="false">TEXT(C313,"mmmm")</f>
        <v>August</v>
      </c>
      <c r="Y313" s="3" t="str">
        <f aca="false">LEFT(G313,1)&amp;MID(G313,FIND(" ",G313)+1,1)</f>
        <v>MC</v>
      </c>
    </row>
    <row r="314" customFormat="false" ht="15" hidden="false" customHeight="false" outlineLevel="0" collapsed="false">
      <c r="A314" s="3" t="n">
        <v>313</v>
      </c>
      <c r="B314" s="3" t="s">
        <v>1123</v>
      </c>
      <c r="C314" s="4" t="s">
        <v>1119</v>
      </c>
      <c r="D314" s="4" t="s">
        <v>1120</v>
      </c>
      <c r="E314" s="3" t="s">
        <v>28</v>
      </c>
      <c r="F314" s="3" t="s">
        <v>606</v>
      </c>
      <c r="G314" s="3" t="s">
        <v>607</v>
      </c>
      <c r="H314" s="3" t="s">
        <v>56</v>
      </c>
      <c r="I314" s="3" t="s">
        <v>32</v>
      </c>
      <c r="J314" s="3" t="s">
        <v>104</v>
      </c>
      <c r="K314" s="3" t="s">
        <v>96</v>
      </c>
      <c r="L314" s="3" t="s">
        <v>59</v>
      </c>
      <c r="M314" s="3" t="s">
        <v>322</v>
      </c>
      <c r="N314" s="3" t="s">
        <v>89</v>
      </c>
      <c r="O314" s="3" t="s">
        <v>323</v>
      </c>
      <c r="P314" s="3" t="s">
        <v>324</v>
      </c>
      <c r="Q314" s="5" t="n">
        <v>9834.57</v>
      </c>
      <c r="R314" s="3" t="n">
        <v>12</v>
      </c>
      <c r="S314" s="6" t="n">
        <v>0.2</v>
      </c>
      <c r="T314" s="5" t="n">
        <v>-1938.74</v>
      </c>
      <c r="U314" s="3" t="str">
        <f aca="false">IF(T314&lt;0,"Loss",IF(T314=0,"Break-even","Profit"))</f>
        <v>Loss</v>
      </c>
      <c r="V314" s="3" t="str">
        <f aca="false">IF(Q314&lt;100,"Low",IF(Q314&lt;=500,"Medium","High"))</f>
        <v>High</v>
      </c>
      <c r="W314" s="3" t="n">
        <f aca="false">D314-C314</f>
        <v>7</v>
      </c>
      <c r="X314" s="3" t="str">
        <f aca="false">TEXT(C314,"mmmm")</f>
        <v>August</v>
      </c>
      <c r="Y314" s="3" t="str">
        <f aca="false">LEFT(G314,1)&amp;MID(G314,FIND(" ",G314)+1,1)</f>
        <v>JA</v>
      </c>
    </row>
    <row r="315" customFormat="false" ht="15" hidden="false" customHeight="false" outlineLevel="0" collapsed="false">
      <c r="A315" s="3" t="n">
        <v>314</v>
      </c>
      <c r="B315" s="3" t="s">
        <v>1124</v>
      </c>
      <c r="C315" s="4" t="s">
        <v>1119</v>
      </c>
      <c r="D315" s="4" t="s">
        <v>1110</v>
      </c>
      <c r="E315" s="3" t="s">
        <v>28</v>
      </c>
      <c r="F315" s="3" t="s">
        <v>851</v>
      </c>
      <c r="G315" s="3" t="s">
        <v>852</v>
      </c>
      <c r="H315" s="3" t="s">
        <v>56</v>
      </c>
      <c r="I315" s="3" t="s">
        <v>32</v>
      </c>
      <c r="J315" s="3" t="s">
        <v>243</v>
      </c>
      <c r="K315" s="3" t="s">
        <v>244</v>
      </c>
      <c r="L315" s="3" t="s">
        <v>157</v>
      </c>
      <c r="M315" s="3" t="s">
        <v>97</v>
      </c>
      <c r="N315" s="3" t="s">
        <v>89</v>
      </c>
      <c r="O315" s="3" t="s">
        <v>90</v>
      </c>
      <c r="P315" s="3" t="s">
        <v>98</v>
      </c>
      <c r="Q315" s="5" t="n">
        <v>2040.41</v>
      </c>
      <c r="R315" s="3" t="n">
        <v>8</v>
      </c>
      <c r="S315" s="6" t="n">
        <v>0</v>
      </c>
      <c r="T315" s="5" t="n">
        <v>-204.58</v>
      </c>
      <c r="U315" s="3" t="str">
        <f aca="false">IF(T315&lt;0,"Loss",IF(T315=0,"Break-even","Profit"))</f>
        <v>Loss</v>
      </c>
      <c r="V315" s="3" t="str">
        <f aca="false">IF(Q315&lt;100,"Low",IF(Q315&lt;=500,"Medium","High"))</f>
        <v>High</v>
      </c>
      <c r="W315" s="3" t="n">
        <f aca="false">D315-C315</f>
        <v>4</v>
      </c>
      <c r="X315" s="3" t="str">
        <f aca="false">TEXT(C315,"mmmm")</f>
        <v>August</v>
      </c>
      <c r="Y315" s="3" t="str">
        <f aca="false">LEFT(G315,1)&amp;MID(G315,FIND(" ",G315)+1,1)</f>
        <v>AT</v>
      </c>
    </row>
    <row r="316" customFormat="false" ht="15" hidden="false" customHeight="false" outlineLevel="0" collapsed="false">
      <c r="A316" s="3" t="n">
        <v>315</v>
      </c>
      <c r="B316" s="3" t="s">
        <v>1125</v>
      </c>
      <c r="C316" s="4" t="s">
        <v>1119</v>
      </c>
      <c r="D316" s="4" t="s">
        <v>1120</v>
      </c>
      <c r="E316" s="3" t="s">
        <v>28</v>
      </c>
      <c r="F316" s="3" t="s">
        <v>379</v>
      </c>
      <c r="G316" s="3" t="s">
        <v>380</v>
      </c>
      <c r="H316" s="3" t="s">
        <v>31</v>
      </c>
      <c r="I316" s="3" t="s">
        <v>32</v>
      </c>
      <c r="J316" s="3" t="s">
        <v>215</v>
      </c>
      <c r="K316" s="3" t="s">
        <v>34</v>
      </c>
      <c r="L316" s="3" t="s">
        <v>35</v>
      </c>
      <c r="M316" s="3" t="s">
        <v>158</v>
      </c>
      <c r="N316" s="3" t="s">
        <v>49</v>
      </c>
      <c r="O316" s="3" t="s">
        <v>159</v>
      </c>
      <c r="P316" s="3" t="s">
        <v>160</v>
      </c>
      <c r="Q316" s="5" t="n">
        <v>471.86</v>
      </c>
      <c r="R316" s="3" t="n">
        <v>9</v>
      </c>
      <c r="S316" s="6" t="n">
        <v>0</v>
      </c>
      <c r="T316" s="5" t="n">
        <v>-102.8</v>
      </c>
      <c r="U316" s="3" t="str">
        <f aca="false">IF(T316&lt;0,"Loss",IF(T316=0,"Break-even","Profit"))</f>
        <v>Loss</v>
      </c>
      <c r="V316" s="3" t="str">
        <f aca="false">IF(Q316&lt;100,"Low",IF(Q316&lt;=500,"Medium","High"))</f>
        <v>Medium</v>
      </c>
      <c r="W316" s="3" t="n">
        <f aca="false">D316-C316</f>
        <v>7</v>
      </c>
      <c r="X316" s="3" t="str">
        <f aca="false">TEXT(C316,"mmmm")</f>
        <v>August</v>
      </c>
      <c r="Y316" s="3" t="str">
        <f aca="false">LEFT(G316,1)&amp;MID(G316,FIND(" ",G316)+1,1)</f>
        <v>MG</v>
      </c>
    </row>
    <row r="317" customFormat="false" ht="15" hidden="false" customHeight="false" outlineLevel="0" collapsed="false">
      <c r="A317" s="3" t="n">
        <v>316</v>
      </c>
      <c r="B317" s="3" t="s">
        <v>1126</v>
      </c>
      <c r="C317" s="4" t="s">
        <v>1106</v>
      </c>
      <c r="D317" s="4" t="s">
        <v>1110</v>
      </c>
      <c r="E317" s="3" t="s">
        <v>28</v>
      </c>
      <c r="F317" s="3" t="s">
        <v>883</v>
      </c>
      <c r="G317" s="3" t="s">
        <v>884</v>
      </c>
      <c r="H317" s="3" t="s">
        <v>45</v>
      </c>
      <c r="I317" s="3" t="s">
        <v>32</v>
      </c>
      <c r="J317" s="3" t="s">
        <v>112</v>
      </c>
      <c r="K317" s="3" t="s">
        <v>113</v>
      </c>
      <c r="L317" s="3" t="s">
        <v>69</v>
      </c>
      <c r="M317" s="3" t="s">
        <v>420</v>
      </c>
      <c r="N317" s="3" t="s">
        <v>49</v>
      </c>
      <c r="O317" s="3" t="s">
        <v>80</v>
      </c>
      <c r="P317" s="3" t="s">
        <v>421</v>
      </c>
      <c r="Q317" s="5" t="n">
        <v>1282.11</v>
      </c>
      <c r="R317" s="3" t="n">
        <v>13</v>
      </c>
      <c r="S317" s="6" t="n">
        <v>0.4</v>
      </c>
      <c r="T317" s="5" t="n">
        <v>-313.86</v>
      </c>
      <c r="U317" s="3" t="str">
        <f aca="false">IF(T317&lt;0,"Loss",IF(T317=0,"Break-even","Profit"))</f>
        <v>Loss</v>
      </c>
      <c r="V317" s="3" t="str">
        <f aca="false">IF(Q317&lt;100,"Low",IF(Q317&lt;=500,"Medium","High"))</f>
        <v>High</v>
      </c>
      <c r="W317" s="3" t="n">
        <f aca="false">D317-C317</f>
        <v>3</v>
      </c>
      <c r="X317" s="3" t="str">
        <f aca="false">TEXT(C317,"mmmm")</f>
        <v>August</v>
      </c>
      <c r="Y317" s="3" t="str">
        <f aca="false">LEFT(G317,1)&amp;MID(G317,FIND(" ",G317)+1,1)</f>
        <v>PT</v>
      </c>
    </row>
    <row r="318" customFormat="false" ht="15" hidden="false" customHeight="false" outlineLevel="0" collapsed="false">
      <c r="A318" s="3" t="n">
        <v>317</v>
      </c>
      <c r="B318" s="3" t="s">
        <v>1127</v>
      </c>
      <c r="C318" s="4" t="s">
        <v>1106</v>
      </c>
      <c r="D318" s="4" t="s">
        <v>1128</v>
      </c>
      <c r="E318" s="3" t="s">
        <v>28</v>
      </c>
      <c r="F318" s="3" t="s">
        <v>527</v>
      </c>
      <c r="G318" s="3" t="s">
        <v>528</v>
      </c>
      <c r="H318" s="3" t="s">
        <v>56</v>
      </c>
      <c r="I318" s="3" t="s">
        <v>32</v>
      </c>
      <c r="J318" s="3" t="s">
        <v>873</v>
      </c>
      <c r="K318" s="3" t="s">
        <v>387</v>
      </c>
      <c r="L318" s="3" t="s">
        <v>35</v>
      </c>
      <c r="M318" s="3" t="s">
        <v>190</v>
      </c>
      <c r="N318" s="3" t="s">
        <v>49</v>
      </c>
      <c r="O318" s="3" t="s">
        <v>150</v>
      </c>
      <c r="P318" s="3" t="s">
        <v>191</v>
      </c>
      <c r="Q318" s="5" t="n">
        <v>37.27</v>
      </c>
      <c r="R318" s="3" t="n">
        <v>2</v>
      </c>
      <c r="S318" s="6" t="n">
        <v>0.5</v>
      </c>
      <c r="T318" s="5" t="n">
        <v>1.47</v>
      </c>
      <c r="U318" s="3" t="str">
        <f aca="false">IF(T318&lt;0,"Loss",IF(T318=0,"Break-even","Profit"))</f>
        <v>Profit</v>
      </c>
      <c r="V318" s="3" t="str">
        <f aca="false">IF(Q318&lt;100,"Low",IF(Q318&lt;=500,"Medium","High"))</f>
        <v>Low</v>
      </c>
      <c r="W318" s="3" t="n">
        <f aca="false">D318-C318</f>
        <v>7</v>
      </c>
      <c r="X318" s="3" t="str">
        <f aca="false">TEXT(C318,"mmmm")</f>
        <v>August</v>
      </c>
      <c r="Y318" s="3" t="str">
        <f aca="false">LEFT(G318,1)&amp;MID(G318,FIND(" ",G318)+1,1)</f>
        <v>CC</v>
      </c>
    </row>
    <row r="319" customFormat="false" ht="15" hidden="false" customHeight="false" outlineLevel="0" collapsed="false">
      <c r="A319" s="3" t="n">
        <v>318</v>
      </c>
      <c r="B319" s="3" t="s">
        <v>1129</v>
      </c>
      <c r="C319" s="4" t="s">
        <v>1106</v>
      </c>
      <c r="D319" s="4" t="s">
        <v>1130</v>
      </c>
      <c r="E319" s="3" t="s">
        <v>28</v>
      </c>
      <c r="F319" s="3" t="s">
        <v>1131</v>
      </c>
      <c r="G319" s="3" t="s">
        <v>1132</v>
      </c>
      <c r="H319" s="3" t="s">
        <v>56</v>
      </c>
      <c r="I319" s="3" t="s">
        <v>32</v>
      </c>
      <c r="J319" s="3" t="s">
        <v>476</v>
      </c>
      <c r="K319" s="3" t="s">
        <v>366</v>
      </c>
      <c r="L319" s="3" t="s">
        <v>157</v>
      </c>
      <c r="M319" s="3" t="s">
        <v>404</v>
      </c>
      <c r="N319" s="3" t="s">
        <v>89</v>
      </c>
      <c r="O319" s="3" t="s">
        <v>166</v>
      </c>
      <c r="P319" s="3" t="s">
        <v>405</v>
      </c>
      <c r="Q319" s="5" t="n">
        <v>3036.9</v>
      </c>
      <c r="R319" s="3" t="n">
        <v>9</v>
      </c>
      <c r="S319" s="6" t="n">
        <v>0.4</v>
      </c>
      <c r="T319" s="5" t="n">
        <v>-726.22</v>
      </c>
      <c r="U319" s="3" t="str">
        <f aca="false">IF(T319&lt;0,"Loss",IF(T319=0,"Break-even","Profit"))</f>
        <v>Loss</v>
      </c>
      <c r="V319" s="3" t="str">
        <f aca="false">IF(Q319&lt;100,"Low",IF(Q319&lt;=500,"Medium","High"))</f>
        <v>High</v>
      </c>
      <c r="W319" s="3" t="n">
        <f aca="false">D319-C319</f>
        <v>4</v>
      </c>
      <c r="X319" s="3" t="str">
        <f aca="false">TEXT(C319,"mmmm")</f>
        <v>August</v>
      </c>
      <c r="Y319" s="3" t="str">
        <f aca="false">LEFT(G319,1)&amp;MID(G319,FIND(" ",G319)+1,1)</f>
        <v>JJ</v>
      </c>
    </row>
    <row r="320" customFormat="false" ht="15" hidden="false" customHeight="false" outlineLevel="0" collapsed="false">
      <c r="A320" s="3" t="n">
        <v>319</v>
      </c>
      <c r="B320" s="3" t="s">
        <v>1133</v>
      </c>
      <c r="C320" s="4" t="s">
        <v>1106</v>
      </c>
      <c r="D320" s="4" t="s">
        <v>1120</v>
      </c>
      <c r="E320" s="3" t="s">
        <v>28</v>
      </c>
      <c r="F320" s="3" t="s">
        <v>1134</v>
      </c>
      <c r="G320" s="3" t="s">
        <v>1135</v>
      </c>
      <c r="H320" s="3" t="s">
        <v>45</v>
      </c>
      <c r="I320" s="3" t="s">
        <v>32</v>
      </c>
      <c r="J320" s="3" t="s">
        <v>77</v>
      </c>
      <c r="K320" s="3" t="s">
        <v>78</v>
      </c>
      <c r="L320" s="3" t="s">
        <v>59</v>
      </c>
      <c r="M320" s="3" t="s">
        <v>253</v>
      </c>
      <c r="N320" s="3" t="s">
        <v>89</v>
      </c>
      <c r="O320" s="3" t="s">
        <v>90</v>
      </c>
      <c r="P320" s="3" t="s">
        <v>254</v>
      </c>
      <c r="Q320" s="5" t="n">
        <v>3938.18</v>
      </c>
      <c r="R320" s="3" t="n">
        <v>14</v>
      </c>
      <c r="S320" s="6" t="n">
        <v>0</v>
      </c>
      <c r="T320" s="5" t="n">
        <v>916.93</v>
      </c>
      <c r="U320" s="3" t="str">
        <f aca="false">IF(T320&lt;0,"Loss",IF(T320=0,"Break-even","Profit"))</f>
        <v>Profit</v>
      </c>
      <c r="V320" s="3" t="str">
        <f aca="false">IF(Q320&lt;100,"Low",IF(Q320&lt;=500,"Medium","High"))</f>
        <v>High</v>
      </c>
      <c r="W320" s="3" t="n">
        <f aca="false">D320-C320</f>
        <v>6</v>
      </c>
      <c r="X320" s="3" t="str">
        <f aca="false">TEXT(C320,"mmmm")</f>
        <v>August</v>
      </c>
      <c r="Y320" s="3" t="str">
        <f aca="false">LEFT(G320,1)&amp;MID(G320,FIND(" ",G320)+1,1)</f>
        <v>JM</v>
      </c>
    </row>
    <row r="321" customFormat="false" ht="15" hidden="false" customHeight="false" outlineLevel="0" collapsed="false">
      <c r="A321" s="3" t="n">
        <v>320</v>
      </c>
      <c r="B321" s="3" t="s">
        <v>973</v>
      </c>
      <c r="C321" s="4" t="s">
        <v>1136</v>
      </c>
      <c r="D321" s="4" t="s">
        <v>1130</v>
      </c>
      <c r="E321" s="3" t="s">
        <v>28</v>
      </c>
      <c r="F321" s="3" t="s">
        <v>776</v>
      </c>
      <c r="G321" s="3" t="s">
        <v>777</v>
      </c>
      <c r="H321" s="3" t="s">
        <v>31</v>
      </c>
      <c r="I321" s="3" t="s">
        <v>32</v>
      </c>
      <c r="J321" s="3" t="s">
        <v>171</v>
      </c>
      <c r="K321" s="3" t="s">
        <v>172</v>
      </c>
      <c r="L321" s="3" t="s">
        <v>157</v>
      </c>
      <c r="M321" s="3" t="s">
        <v>88</v>
      </c>
      <c r="N321" s="3" t="s">
        <v>89</v>
      </c>
      <c r="O321" s="3" t="s">
        <v>90</v>
      </c>
      <c r="P321" s="3" t="s">
        <v>91</v>
      </c>
      <c r="Q321" s="5" t="n">
        <v>3798.19</v>
      </c>
      <c r="R321" s="3" t="n">
        <v>8</v>
      </c>
      <c r="S321" s="6" t="n">
        <v>0</v>
      </c>
      <c r="T321" s="5" t="n">
        <v>542.49</v>
      </c>
      <c r="U321" s="3" t="str">
        <f aca="false">IF(T321&lt;0,"Loss",IF(T321=0,"Break-even","Profit"))</f>
        <v>Profit</v>
      </c>
      <c r="V321" s="3" t="str">
        <f aca="false">IF(Q321&lt;100,"Low",IF(Q321&lt;=500,"Medium","High"))</f>
        <v>High</v>
      </c>
      <c r="W321" s="3" t="n">
        <f aca="false">D321-C321</f>
        <v>3</v>
      </c>
      <c r="X321" s="3" t="str">
        <f aca="false">TEXT(C321,"mmmm")</f>
        <v>August</v>
      </c>
      <c r="Y321" s="3" t="str">
        <f aca="false">LEFT(G321,1)&amp;MID(G321,FIND(" ",G321)+1,1)</f>
        <v>AM</v>
      </c>
    </row>
    <row r="322" customFormat="false" ht="15" hidden="false" customHeight="false" outlineLevel="0" collapsed="false">
      <c r="A322" s="3" t="n">
        <v>321</v>
      </c>
      <c r="B322" s="3" t="s">
        <v>1137</v>
      </c>
      <c r="C322" s="4" t="s">
        <v>1136</v>
      </c>
      <c r="D322" s="4" t="s">
        <v>1130</v>
      </c>
      <c r="E322" s="3" t="s">
        <v>28</v>
      </c>
      <c r="F322" s="3" t="s">
        <v>459</v>
      </c>
      <c r="G322" s="3" t="s">
        <v>460</v>
      </c>
      <c r="H322" s="3" t="s">
        <v>56</v>
      </c>
      <c r="I322" s="3" t="s">
        <v>32</v>
      </c>
      <c r="J322" s="3" t="s">
        <v>548</v>
      </c>
      <c r="K322" s="3" t="s">
        <v>244</v>
      </c>
      <c r="L322" s="3" t="s">
        <v>157</v>
      </c>
      <c r="M322" s="3" t="s">
        <v>149</v>
      </c>
      <c r="N322" s="3" t="s">
        <v>49</v>
      </c>
      <c r="O322" s="3" t="s">
        <v>150</v>
      </c>
      <c r="P322" s="3" t="s">
        <v>151</v>
      </c>
      <c r="Q322" s="5" t="n">
        <v>204.33</v>
      </c>
      <c r="R322" s="3" t="n">
        <v>6</v>
      </c>
      <c r="S322" s="6" t="n">
        <v>0.2</v>
      </c>
      <c r="T322" s="5" t="n">
        <v>62.95</v>
      </c>
      <c r="U322" s="3" t="str">
        <f aca="false">IF(T322&lt;0,"Loss",IF(T322=0,"Break-even","Profit"))</f>
        <v>Profit</v>
      </c>
      <c r="V322" s="3" t="str">
        <f aca="false">IF(Q322&lt;100,"Low",IF(Q322&lt;=500,"Medium","High"))</f>
        <v>Medium</v>
      </c>
      <c r="W322" s="3" t="n">
        <f aca="false">D322-C322</f>
        <v>3</v>
      </c>
      <c r="X322" s="3" t="str">
        <f aca="false">TEXT(C322,"mmmm")</f>
        <v>August</v>
      </c>
      <c r="Y322" s="3" t="str">
        <f aca="false">LEFT(G322,1)&amp;MID(G322,FIND(" ",G322)+1,1)</f>
        <v>MJ</v>
      </c>
    </row>
    <row r="323" customFormat="false" ht="15" hidden="false" customHeight="false" outlineLevel="0" collapsed="false">
      <c r="A323" s="3" t="n">
        <v>322</v>
      </c>
      <c r="B323" s="3" t="s">
        <v>1138</v>
      </c>
      <c r="C323" s="4" t="s">
        <v>1139</v>
      </c>
      <c r="D323" s="4" t="s">
        <v>1110</v>
      </c>
      <c r="E323" s="3" t="s">
        <v>42</v>
      </c>
      <c r="F323" s="3" t="s">
        <v>228</v>
      </c>
      <c r="G323" s="3" t="s">
        <v>229</v>
      </c>
      <c r="H323" s="3" t="s">
        <v>31</v>
      </c>
      <c r="I323" s="3" t="s">
        <v>32</v>
      </c>
      <c r="J323" s="3" t="s">
        <v>67</v>
      </c>
      <c r="K323" s="3" t="s">
        <v>68</v>
      </c>
      <c r="L323" s="3" t="s">
        <v>69</v>
      </c>
      <c r="M323" s="3" t="s">
        <v>70</v>
      </c>
      <c r="N323" s="3" t="s">
        <v>37</v>
      </c>
      <c r="O323" s="3" t="s">
        <v>71</v>
      </c>
      <c r="P323" s="3" t="s">
        <v>72</v>
      </c>
      <c r="Q323" s="5" t="n">
        <v>504</v>
      </c>
      <c r="R323" s="3" t="n">
        <v>10</v>
      </c>
      <c r="S323" s="6" t="n">
        <v>0</v>
      </c>
      <c r="T323" s="5" t="n">
        <v>-45.59</v>
      </c>
      <c r="U323" s="3" t="str">
        <f aca="false">IF(T323&lt;0,"Loss",IF(T323=0,"Break-even","Profit"))</f>
        <v>Loss</v>
      </c>
      <c r="V323" s="3" t="str">
        <f aca="false">IF(Q323&lt;100,"Low",IF(Q323&lt;=500,"Medium","High"))</f>
        <v>High</v>
      </c>
      <c r="W323" s="3" t="n">
        <f aca="false">D323-C323</f>
        <v>1</v>
      </c>
      <c r="X323" s="3" t="str">
        <f aca="false">TEXT(C323,"mmmm")</f>
        <v>August</v>
      </c>
      <c r="Y323" s="3" t="str">
        <f aca="false">LEFT(G323,1)&amp;MID(G323,FIND(" ",G323)+1,1)</f>
        <v>ST</v>
      </c>
    </row>
    <row r="324" customFormat="false" ht="15" hidden="false" customHeight="false" outlineLevel="0" collapsed="false">
      <c r="A324" s="3" t="n">
        <v>323</v>
      </c>
      <c r="B324" s="3" t="s">
        <v>411</v>
      </c>
      <c r="C324" s="4" t="s">
        <v>1110</v>
      </c>
      <c r="D324" s="4" t="s">
        <v>1120</v>
      </c>
      <c r="E324" s="3" t="s">
        <v>28</v>
      </c>
      <c r="F324" s="3" t="s">
        <v>1140</v>
      </c>
      <c r="G324" s="3" t="s">
        <v>1141</v>
      </c>
      <c r="H324" s="3" t="s">
        <v>31</v>
      </c>
      <c r="I324" s="3" t="s">
        <v>32</v>
      </c>
      <c r="J324" s="3" t="s">
        <v>171</v>
      </c>
      <c r="K324" s="3" t="s">
        <v>172</v>
      </c>
      <c r="L324" s="3" t="s">
        <v>157</v>
      </c>
      <c r="M324" s="3" t="s">
        <v>48</v>
      </c>
      <c r="N324" s="3" t="s">
        <v>49</v>
      </c>
      <c r="O324" s="3" t="s">
        <v>50</v>
      </c>
      <c r="P324" s="3" t="s">
        <v>51</v>
      </c>
      <c r="Q324" s="5" t="n">
        <v>166.73</v>
      </c>
      <c r="R324" s="3" t="n">
        <v>4</v>
      </c>
      <c r="S324" s="6" t="n">
        <v>0</v>
      </c>
      <c r="T324" s="5" t="n">
        <v>54.49</v>
      </c>
      <c r="U324" s="3" t="str">
        <f aca="false">IF(T324&lt;0,"Loss",IF(T324=0,"Break-even","Profit"))</f>
        <v>Profit</v>
      </c>
      <c r="V324" s="3" t="str">
        <f aca="false">IF(Q324&lt;100,"Low",IF(Q324&lt;=500,"Medium","High"))</f>
        <v>Medium</v>
      </c>
      <c r="W324" s="3" t="n">
        <f aca="false">D324-C324</f>
        <v>3</v>
      </c>
      <c r="X324" s="3" t="str">
        <f aca="false">TEXT(C324,"mmmm")</f>
        <v>August</v>
      </c>
      <c r="Y324" s="3" t="str">
        <f aca="false">LEFT(G324,1)&amp;MID(G324,FIND(" ",G324)+1,1)</f>
        <v>MS</v>
      </c>
    </row>
    <row r="325" customFormat="false" ht="15" hidden="false" customHeight="false" outlineLevel="0" collapsed="false">
      <c r="A325" s="3" t="n">
        <v>324</v>
      </c>
      <c r="B325" s="3" t="s">
        <v>1142</v>
      </c>
      <c r="C325" s="4" t="s">
        <v>1130</v>
      </c>
      <c r="D325" s="4" t="s">
        <v>1143</v>
      </c>
      <c r="E325" s="3" t="s">
        <v>28</v>
      </c>
      <c r="F325" s="3" t="s">
        <v>572</v>
      </c>
      <c r="G325" s="3" t="s">
        <v>573</v>
      </c>
      <c r="H325" s="3" t="s">
        <v>56</v>
      </c>
      <c r="I325" s="3" t="s">
        <v>32</v>
      </c>
      <c r="J325" s="3" t="s">
        <v>148</v>
      </c>
      <c r="K325" s="3" t="s">
        <v>78</v>
      </c>
      <c r="L325" s="3" t="s">
        <v>59</v>
      </c>
      <c r="M325" s="3" t="s">
        <v>420</v>
      </c>
      <c r="N325" s="3" t="s">
        <v>49</v>
      </c>
      <c r="O325" s="3" t="s">
        <v>80</v>
      </c>
      <c r="P325" s="3" t="s">
        <v>421</v>
      </c>
      <c r="Q325" s="5" t="n">
        <v>138.99</v>
      </c>
      <c r="R325" s="3" t="n">
        <v>3</v>
      </c>
      <c r="S325" s="6" t="n">
        <v>0</v>
      </c>
      <c r="T325" s="5" t="n">
        <v>32.88</v>
      </c>
      <c r="U325" s="3" t="str">
        <f aca="false">IF(T325&lt;0,"Loss",IF(T325=0,"Break-even","Profit"))</f>
        <v>Profit</v>
      </c>
      <c r="V325" s="3" t="str">
        <f aca="false">IF(Q325&lt;100,"Low",IF(Q325&lt;=500,"Medium","High"))</f>
        <v>Medium</v>
      </c>
      <c r="W325" s="3" t="n">
        <f aca="false">D325-C325</f>
        <v>4</v>
      </c>
      <c r="X325" s="3" t="str">
        <f aca="false">TEXT(C325,"mmmm")</f>
        <v>August</v>
      </c>
      <c r="Y325" s="3" t="str">
        <f aca="false">LEFT(G325,1)&amp;MID(G325,FIND(" ",G325)+1,1)</f>
        <v>PM</v>
      </c>
    </row>
    <row r="326" customFormat="false" ht="15" hidden="false" customHeight="false" outlineLevel="0" collapsed="false">
      <c r="A326" s="3" t="n">
        <v>325</v>
      </c>
      <c r="B326" s="3" t="s">
        <v>1144</v>
      </c>
      <c r="C326" s="4" t="s">
        <v>1130</v>
      </c>
      <c r="D326" s="4" t="s">
        <v>1145</v>
      </c>
      <c r="E326" s="3" t="s">
        <v>28</v>
      </c>
      <c r="F326" s="3" t="s">
        <v>865</v>
      </c>
      <c r="G326" s="3" t="s">
        <v>866</v>
      </c>
      <c r="H326" s="3" t="s">
        <v>56</v>
      </c>
      <c r="I326" s="3" t="s">
        <v>32</v>
      </c>
      <c r="J326" s="3" t="s">
        <v>737</v>
      </c>
      <c r="K326" s="3" t="s">
        <v>307</v>
      </c>
      <c r="L326" s="3" t="s">
        <v>69</v>
      </c>
      <c r="M326" s="3" t="s">
        <v>447</v>
      </c>
      <c r="N326" s="3" t="s">
        <v>89</v>
      </c>
      <c r="O326" s="3" t="s">
        <v>323</v>
      </c>
      <c r="P326" s="3" t="s">
        <v>448</v>
      </c>
      <c r="Q326" s="5" t="n">
        <v>4229.55</v>
      </c>
      <c r="R326" s="3" t="n">
        <v>5</v>
      </c>
      <c r="S326" s="6" t="n">
        <v>0</v>
      </c>
      <c r="T326" s="5" t="n">
        <v>762.01</v>
      </c>
      <c r="U326" s="3" t="str">
        <f aca="false">IF(T326&lt;0,"Loss",IF(T326=0,"Break-even","Profit"))</f>
        <v>Profit</v>
      </c>
      <c r="V326" s="3" t="str">
        <f aca="false">IF(Q326&lt;100,"Low",IF(Q326&lt;=500,"Medium","High"))</f>
        <v>High</v>
      </c>
      <c r="W326" s="3" t="n">
        <f aca="false">D326-C326</f>
        <v>7</v>
      </c>
      <c r="X326" s="3" t="str">
        <f aca="false">TEXT(C326,"mmmm")</f>
        <v>August</v>
      </c>
      <c r="Y326" s="3" t="str">
        <f aca="false">LEFT(G326,1)&amp;MID(G326,FIND(" ",G326)+1,1)</f>
        <v>MJ</v>
      </c>
    </row>
    <row r="327" customFormat="false" ht="15" hidden="false" customHeight="false" outlineLevel="0" collapsed="false">
      <c r="A327" s="3" t="n">
        <v>326</v>
      </c>
      <c r="B327" s="3" t="s">
        <v>1146</v>
      </c>
      <c r="C327" s="4" t="s">
        <v>1147</v>
      </c>
      <c r="D327" s="4" t="s">
        <v>1148</v>
      </c>
      <c r="E327" s="3" t="s">
        <v>84</v>
      </c>
      <c r="F327" s="3" t="s">
        <v>1121</v>
      </c>
      <c r="G327" s="3" t="s">
        <v>1122</v>
      </c>
      <c r="H327" s="3" t="s">
        <v>45</v>
      </c>
      <c r="I327" s="3" t="s">
        <v>32</v>
      </c>
      <c r="J327" s="3" t="s">
        <v>285</v>
      </c>
      <c r="K327" s="3" t="s">
        <v>202</v>
      </c>
      <c r="L327" s="3" t="s">
        <v>35</v>
      </c>
      <c r="M327" s="3" t="s">
        <v>88</v>
      </c>
      <c r="N327" s="3" t="s">
        <v>89</v>
      </c>
      <c r="O327" s="3" t="s">
        <v>90</v>
      </c>
      <c r="P327" s="3" t="s">
        <v>91</v>
      </c>
      <c r="Q327" s="5" t="n">
        <v>3868.32</v>
      </c>
      <c r="R327" s="3" t="n">
        <v>9</v>
      </c>
      <c r="S327" s="6" t="n">
        <v>0.5</v>
      </c>
      <c r="T327" s="5" t="n">
        <v>835.45</v>
      </c>
      <c r="U327" s="3" t="str">
        <f aca="false">IF(T327&lt;0,"Loss",IF(T327=0,"Break-even","Profit"))</f>
        <v>Profit</v>
      </c>
      <c r="V327" s="3" t="str">
        <f aca="false">IF(Q327&lt;100,"Low",IF(Q327&lt;=500,"Medium","High"))</f>
        <v>High</v>
      </c>
      <c r="W327" s="3" t="n">
        <f aca="false">D327-C327</f>
        <v>4</v>
      </c>
      <c r="X327" s="3" t="str">
        <f aca="false">TEXT(C327,"mmmm")</f>
        <v>August</v>
      </c>
      <c r="Y327" s="3" t="str">
        <f aca="false">LEFT(G327,1)&amp;MID(G327,FIND(" ",G327)+1,1)</f>
        <v>MC</v>
      </c>
    </row>
    <row r="328" customFormat="false" ht="15" hidden="false" customHeight="false" outlineLevel="0" collapsed="false">
      <c r="A328" s="3" t="n">
        <v>327</v>
      </c>
      <c r="B328" s="3" t="s">
        <v>1149</v>
      </c>
      <c r="C328" s="4" t="s">
        <v>1128</v>
      </c>
      <c r="D328" s="4" t="s">
        <v>1150</v>
      </c>
      <c r="E328" s="3" t="s">
        <v>28</v>
      </c>
      <c r="F328" s="3" t="s">
        <v>949</v>
      </c>
      <c r="G328" s="3" t="s">
        <v>950</v>
      </c>
      <c r="H328" s="3" t="s">
        <v>56</v>
      </c>
      <c r="I328" s="3" t="s">
        <v>32</v>
      </c>
      <c r="J328" s="3" t="s">
        <v>179</v>
      </c>
      <c r="K328" s="3" t="s">
        <v>47</v>
      </c>
      <c r="L328" s="3" t="s">
        <v>35</v>
      </c>
      <c r="M328" s="3" t="s">
        <v>158</v>
      </c>
      <c r="N328" s="3" t="s">
        <v>49</v>
      </c>
      <c r="O328" s="3" t="s">
        <v>159</v>
      </c>
      <c r="P328" s="3" t="s">
        <v>160</v>
      </c>
      <c r="Q328" s="5" t="n">
        <v>1373.27</v>
      </c>
      <c r="R328" s="3" t="n">
        <v>13</v>
      </c>
      <c r="S328" s="6" t="n">
        <v>0</v>
      </c>
      <c r="T328" s="5" t="n">
        <v>437.8</v>
      </c>
      <c r="U328" s="3" t="str">
        <f aca="false">IF(T328&lt;0,"Loss",IF(T328=0,"Break-even","Profit"))</f>
        <v>Profit</v>
      </c>
      <c r="V328" s="3" t="str">
        <f aca="false">IF(Q328&lt;100,"Low",IF(Q328&lt;=500,"Medium","High"))</f>
        <v>High</v>
      </c>
      <c r="W328" s="3" t="n">
        <f aca="false">D328-C328</f>
        <v>3</v>
      </c>
      <c r="X328" s="3" t="str">
        <f aca="false">TEXT(C328,"mmmm")</f>
        <v>August</v>
      </c>
      <c r="Y328" s="3" t="str">
        <f aca="false">LEFT(G328,1)&amp;MID(G328,FIND(" ",G328)+1,1)</f>
        <v>FK</v>
      </c>
    </row>
    <row r="329" customFormat="false" ht="15" hidden="false" customHeight="false" outlineLevel="0" collapsed="false">
      <c r="A329" s="3" t="n">
        <v>328</v>
      </c>
      <c r="B329" s="3" t="s">
        <v>1151</v>
      </c>
      <c r="C329" s="4" t="s">
        <v>1128</v>
      </c>
      <c r="D329" s="4" t="s">
        <v>1150</v>
      </c>
      <c r="E329" s="3" t="s">
        <v>28</v>
      </c>
      <c r="F329" s="3" t="s">
        <v>1152</v>
      </c>
      <c r="G329" s="3" t="s">
        <v>1153</v>
      </c>
      <c r="H329" s="3" t="s">
        <v>45</v>
      </c>
      <c r="I329" s="3" t="s">
        <v>32</v>
      </c>
      <c r="J329" s="3" t="s">
        <v>243</v>
      </c>
      <c r="K329" s="3" t="s">
        <v>244</v>
      </c>
      <c r="L329" s="3" t="s">
        <v>157</v>
      </c>
      <c r="M329" s="3" t="s">
        <v>237</v>
      </c>
      <c r="N329" s="3" t="s">
        <v>49</v>
      </c>
      <c r="O329" s="3" t="s">
        <v>220</v>
      </c>
      <c r="P329" s="3" t="s">
        <v>238</v>
      </c>
      <c r="Q329" s="5" t="n">
        <v>81.31</v>
      </c>
      <c r="R329" s="3" t="n">
        <v>6</v>
      </c>
      <c r="S329" s="6" t="n">
        <v>0.4</v>
      </c>
      <c r="T329" s="5" t="n">
        <v>1.47</v>
      </c>
      <c r="U329" s="3" t="str">
        <f aca="false">IF(T329&lt;0,"Loss",IF(T329=0,"Break-even","Profit"))</f>
        <v>Profit</v>
      </c>
      <c r="V329" s="3" t="str">
        <f aca="false">IF(Q329&lt;100,"Low",IF(Q329&lt;=500,"Medium","High"))</f>
        <v>Low</v>
      </c>
      <c r="W329" s="3" t="n">
        <f aca="false">D329-C329</f>
        <v>3</v>
      </c>
      <c r="X329" s="3" t="str">
        <f aca="false">TEXT(C329,"mmmm")</f>
        <v>August</v>
      </c>
      <c r="Y329" s="3" t="str">
        <f aca="false">LEFT(G329,1)&amp;MID(G329,FIND(" ",G329)+1,1)</f>
        <v>MJ</v>
      </c>
    </row>
    <row r="330" customFormat="false" ht="15" hidden="false" customHeight="false" outlineLevel="0" collapsed="false">
      <c r="A330" s="3" t="n">
        <v>329</v>
      </c>
      <c r="B330" s="3" t="s">
        <v>1154</v>
      </c>
      <c r="C330" s="4" t="s">
        <v>1128</v>
      </c>
      <c r="D330" s="4" t="s">
        <v>1148</v>
      </c>
      <c r="E330" s="3" t="s">
        <v>84</v>
      </c>
      <c r="F330" s="3" t="s">
        <v>146</v>
      </c>
      <c r="G330" s="3" t="s">
        <v>147</v>
      </c>
      <c r="H330" s="3" t="s">
        <v>45</v>
      </c>
      <c r="I330" s="3" t="s">
        <v>32</v>
      </c>
      <c r="J330" s="3" t="s">
        <v>381</v>
      </c>
      <c r="K330" s="3" t="s">
        <v>58</v>
      </c>
      <c r="L330" s="3" t="s">
        <v>59</v>
      </c>
      <c r="M330" s="3" t="s">
        <v>404</v>
      </c>
      <c r="N330" s="3" t="s">
        <v>89</v>
      </c>
      <c r="O330" s="3" t="s">
        <v>166</v>
      </c>
      <c r="P330" s="3" t="s">
        <v>405</v>
      </c>
      <c r="Q330" s="5" t="n">
        <v>5304.99</v>
      </c>
      <c r="R330" s="3" t="n">
        <v>11</v>
      </c>
      <c r="S330" s="6" t="n">
        <v>0</v>
      </c>
      <c r="T330" s="5" t="n">
        <v>-1177.03</v>
      </c>
      <c r="U330" s="3" t="str">
        <f aca="false">IF(T330&lt;0,"Loss",IF(T330=0,"Break-even","Profit"))</f>
        <v>Loss</v>
      </c>
      <c r="V330" s="3" t="str">
        <f aca="false">IF(Q330&lt;100,"Low",IF(Q330&lt;=500,"Medium","High"))</f>
        <v>High</v>
      </c>
      <c r="W330" s="3" t="n">
        <f aca="false">D330-C330</f>
        <v>2</v>
      </c>
      <c r="X330" s="3" t="str">
        <f aca="false">TEXT(C330,"mmmm")</f>
        <v>August</v>
      </c>
      <c r="Y330" s="3" t="str">
        <f aca="false">LEFT(G330,1)&amp;MID(G330,FIND(" ",G330)+1,1)</f>
        <v>DB</v>
      </c>
    </row>
    <row r="331" customFormat="false" ht="15" hidden="false" customHeight="false" outlineLevel="0" collapsed="false">
      <c r="A331" s="3" t="n">
        <v>330</v>
      </c>
      <c r="B331" s="3" t="s">
        <v>1155</v>
      </c>
      <c r="C331" s="4" t="s">
        <v>1143</v>
      </c>
      <c r="D331" s="4" t="s">
        <v>1156</v>
      </c>
      <c r="E331" s="3" t="s">
        <v>28</v>
      </c>
      <c r="F331" s="3" t="s">
        <v>354</v>
      </c>
      <c r="G331" s="3" t="s">
        <v>355</v>
      </c>
      <c r="H331" s="3" t="s">
        <v>56</v>
      </c>
      <c r="I331" s="3" t="s">
        <v>32</v>
      </c>
      <c r="J331" s="3" t="s">
        <v>737</v>
      </c>
      <c r="K331" s="3" t="s">
        <v>307</v>
      </c>
      <c r="L331" s="3" t="s">
        <v>69</v>
      </c>
      <c r="M331" s="3" t="s">
        <v>237</v>
      </c>
      <c r="N331" s="3" t="s">
        <v>49</v>
      </c>
      <c r="O331" s="3" t="s">
        <v>220</v>
      </c>
      <c r="P331" s="3" t="s">
        <v>238</v>
      </c>
      <c r="Q331" s="5" t="n">
        <v>274.62</v>
      </c>
      <c r="R331" s="3" t="n">
        <v>4</v>
      </c>
      <c r="S331" s="6" t="n">
        <v>0.2</v>
      </c>
      <c r="T331" s="5" t="n">
        <v>35.92</v>
      </c>
      <c r="U331" s="3" t="str">
        <f aca="false">IF(T331&lt;0,"Loss",IF(T331=0,"Break-even","Profit"))</f>
        <v>Profit</v>
      </c>
      <c r="V331" s="3" t="str">
        <f aca="false">IF(Q331&lt;100,"Low",IF(Q331&lt;=500,"Medium","High"))</f>
        <v>Medium</v>
      </c>
      <c r="W331" s="3" t="n">
        <f aca="false">D331-C331</f>
        <v>4</v>
      </c>
      <c r="X331" s="3" t="str">
        <f aca="false">TEXT(C331,"mmmm")</f>
        <v>August</v>
      </c>
      <c r="Y331" s="3" t="str">
        <f aca="false">LEFT(G331,1)&amp;MID(G331,FIND(" ",G331)+1,1)</f>
        <v>JW</v>
      </c>
    </row>
    <row r="332" customFormat="false" ht="15" hidden="false" customHeight="false" outlineLevel="0" collapsed="false">
      <c r="A332" s="3" t="n">
        <v>331</v>
      </c>
      <c r="B332" s="3" t="s">
        <v>1157</v>
      </c>
      <c r="C332" s="4" t="s">
        <v>1150</v>
      </c>
      <c r="D332" s="4" t="s">
        <v>1158</v>
      </c>
      <c r="E332" s="3" t="s">
        <v>84</v>
      </c>
      <c r="F332" s="3" t="s">
        <v>1159</v>
      </c>
      <c r="G332" s="3" t="s">
        <v>1160</v>
      </c>
      <c r="H332" s="3" t="s">
        <v>56</v>
      </c>
      <c r="I332" s="3" t="s">
        <v>32</v>
      </c>
      <c r="J332" s="3" t="s">
        <v>285</v>
      </c>
      <c r="K332" s="3" t="s">
        <v>202</v>
      </c>
      <c r="L332" s="3" t="s">
        <v>35</v>
      </c>
      <c r="M332" s="3" t="s">
        <v>219</v>
      </c>
      <c r="N332" s="3" t="s">
        <v>49</v>
      </c>
      <c r="O332" s="3" t="s">
        <v>220</v>
      </c>
      <c r="P332" s="3" t="s">
        <v>221</v>
      </c>
      <c r="Q332" s="5" t="n">
        <v>414.11</v>
      </c>
      <c r="R332" s="3" t="n">
        <v>7</v>
      </c>
      <c r="S332" s="6" t="n">
        <v>0.2</v>
      </c>
      <c r="T332" s="5" t="n">
        <v>-114.59</v>
      </c>
      <c r="U332" s="3" t="str">
        <f aca="false">IF(T332&lt;0,"Loss",IF(T332=0,"Break-even","Profit"))</f>
        <v>Loss</v>
      </c>
      <c r="V332" s="3" t="str">
        <f aca="false">IF(Q332&lt;100,"Low",IF(Q332&lt;=500,"Medium","High"))</f>
        <v>Medium</v>
      </c>
      <c r="W332" s="3" t="n">
        <f aca="false">D332-C332</f>
        <v>4</v>
      </c>
      <c r="X332" s="3" t="str">
        <f aca="false">TEXT(C332,"mmmm")</f>
        <v>August</v>
      </c>
      <c r="Y332" s="3" t="str">
        <f aca="false">LEFT(G332,1)&amp;MID(G332,FIND(" ",G332)+1,1)</f>
        <v>JM</v>
      </c>
    </row>
    <row r="333" customFormat="false" ht="15" hidden="false" customHeight="false" outlineLevel="0" collapsed="false">
      <c r="A333" s="3" t="n">
        <v>332</v>
      </c>
      <c r="B333" s="3" t="s">
        <v>1161</v>
      </c>
      <c r="C333" s="4" t="s">
        <v>1156</v>
      </c>
      <c r="D333" s="4" t="s">
        <v>1162</v>
      </c>
      <c r="E333" s="3" t="s">
        <v>28</v>
      </c>
      <c r="F333" s="3" t="s">
        <v>153</v>
      </c>
      <c r="G333" s="3" t="s">
        <v>154</v>
      </c>
      <c r="H333" s="3" t="s">
        <v>31</v>
      </c>
      <c r="I333" s="3" t="s">
        <v>32</v>
      </c>
      <c r="J333" s="3" t="s">
        <v>104</v>
      </c>
      <c r="K333" s="3" t="s">
        <v>96</v>
      </c>
      <c r="L333" s="3" t="s">
        <v>59</v>
      </c>
      <c r="M333" s="3" t="s">
        <v>347</v>
      </c>
      <c r="N333" s="3" t="s">
        <v>49</v>
      </c>
      <c r="O333" s="3" t="s">
        <v>220</v>
      </c>
      <c r="P333" s="3" t="s">
        <v>348</v>
      </c>
      <c r="Q333" s="5" t="n">
        <v>556.14</v>
      </c>
      <c r="R333" s="3" t="n">
        <v>6</v>
      </c>
      <c r="S333" s="6" t="n">
        <v>0.5</v>
      </c>
      <c r="T333" s="5" t="n">
        <v>18.09</v>
      </c>
      <c r="U333" s="3" t="str">
        <f aca="false">IF(T333&lt;0,"Loss",IF(T333=0,"Break-even","Profit"))</f>
        <v>Profit</v>
      </c>
      <c r="V333" s="3" t="str">
        <f aca="false">IF(Q333&lt;100,"Low",IF(Q333&lt;=500,"Medium","High"))</f>
        <v>High</v>
      </c>
      <c r="W333" s="3" t="n">
        <f aca="false">D333-C333</f>
        <v>7</v>
      </c>
      <c r="X333" s="3" t="str">
        <f aca="false">TEXT(C333,"mmmm")</f>
        <v>August</v>
      </c>
      <c r="Y333" s="3" t="str">
        <f aca="false">LEFT(G333,1)&amp;MID(G333,FIND(" ",G333)+1,1)</f>
        <v>SK</v>
      </c>
    </row>
    <row r="334" customFormat="false" ht="15" hidden="false" customHeight="false" outlineLevel="0" collapsed="false">
      <c r="A334" s="3" t="n">
        <v>333</v>
      </c>
      <c r="B334" s="3" t="s">
        <v>1163</v>
      </c>
      <c r="C334" s="4" t="s">
        <v>1156</v>
      </c>
      <c r="D334" s="4" t="s">
        <v>1164</v>
      </c>
      <c r="E334" s="3" t="s">
        <v>28</v>
      </c>
      <c r="F334" s="3" t="s">
        <v>1165</v>
      </c>
      <c r="G334" s="3" t="s">
        <v>1166</v>
      </c>
      <c r="H334" s="3" t="s">
        <v>56</v>
      </c>
      <c r="I334" s="3" t="s">
        <v>32</v>
      </c>
      <c r="J334" s="3" t="s">
        <v>299</v>
      </c>
      <c r="K334" s="3" t="s">
        <v>189</v>
      </c>
      <c r="L334" s="3" t="s">
        <v>59</v>
      </c>
      <c r="M334" s="3" t="s">
        <v>48</v>
      </c>
      <c r="N334" s="3" t="s">
        <v>49</v>
      </c>
      <c r="O334" s="3" t="s">
        <v>50</v>
      </c>
      <c r="P334" s="3" t="s">
        <v>51</v>
      </c>
      <c r="Q334" s="5" t="n">
        <v>962.7</v>
      </c>
      <c r="R334" s="3" t="n">
        <v>9</v>
      </c>
      <c r="S334" s="6" t="n">
        <v>0</v>
      </c>
      <c r="T334" s="5" t="n">
        <v>-73.05</v>
      </c>
      <c r="U334" s="3" t="str">
        <f aca="false">IF(T334&lt;0,"Loss",IF(T334=0,"Break-even","Profit"))</f>
        <v>Loss</v>
      </c>
      <c r="V334" s="3" t="str">
        <f aca="false">IF(Q334&lt;100,"Low",IF(Q334&lt;=500,"Medium","High"))</f>
        <v>High</v>
      </c>
      <c r="W334" s="3" t="n">
        <f aca="false">D334-C334</f>
        <v>4</v>
      </c>
      <c r="X334" s="3" t="str">
        <f aca="false">TEXT(C334,"mmmm")</f>
        <v>August</v>
      </c>
      <c r="Y334" s="3" t="str">
        <f aca="false">LEFT(G334,1)&amp;MID(G334,FIND(" ",G334)+1,1)</f>
        <v>ER</v>
      </c>
    </row>
    <row r="335" customFormat="false" ht="15" hidden="false" customHeight="false" outlineLevel="0" collapsed="false">
      <c r="A335" s="3" t="n">
        <v>334</v>
      </c>
      <c r="B335" s="3" t="s">
        <v>1167</v>
      </c>
      <c r="C335" s="4" t="s">
        <v>1168</v>
      </c>
      <c r="D335" s="4" t="s">
        <v>1169</v>
      </c>
      <c r="E335" s="3" t="s">
        <v>28</v>
      </c>
      <c r="F335" s="3" t="s">
        <v>1170</v>
      </c>
      <c r="G335" s="3" t="s">
        <v>1171</v>
      </c>
      <c r="H335" s="3" t="s">
        <v>31</v>
      </c>
      <c r="I335" s="3" t="s">
        <v>32</v>
      </c>
      <c r="J335" s="3" t="s">
        <v>33</v>
      </c>
      <c r="K335" s="3" t="s">
        <v>34</v>
      </c>
      <c r="L335" s="3" t="s">
        <v>35</v>
      </c>
      <c r="M335" s="3" t="s">
        <v>158</v>
      </c>
      <c r="N335" s="3" t="s">
        <v>49</v>
      </c>
      <c r="O335" s="3" t="s">
        <v>159</v>
      </c>
      <c r="P335" s="3" t="s">
        <v>160</v>
      </c>
      <c r="Q335" s="5" t="n">
        <v>272.76</v>
      </c>
      <c r="R335" s="3" t="n">
        <v>13</v>
      </c>
      <c r="S335" s="6" t="n">
        <v>0.2</v>
      </c>
      <c r="T335" s="5" t="n">
        <v>-59.69</v>
      </c>
      <c r="U335" s="3" t="str">
        <f aca="false">IF(T335&lt;0,"Loss",IF(T335=0,"Break-even","Profit"))</f>
        <v>Loss</v>
      </c>
      <c r="V335" s="3" t="str">
        <f aca="false">IF(Q335&lt;100,"Low",IF(Q335&lt;=500,"Medium","High"))</f>
        <v>Medium</v>
      </c>
      <c r="W335" s="3" t="n">
        <f aca="false">D335-C335</f>
        <v>4</v>
      </c>
      <c r="X335" s="3" t="str">
        <f aca="false">TEXT(C335,"mmmm")</f>
        <v>August</v>
      </c>
      <c r="Y335" s="3" t="str">
        <f aca="false">LEFT(G335,1)&amp;MID(G335,FIND(" ",G335)+1,1)</f>
        <v>OK</v>
      </c>
    </row>
    <row r="336" customFormat="false" ht="15" hidden="false" customHeight="false" outlineLevel="0" collapsed="false">
      <c r="A336" s="3" t="n">
        <v>335</v>
      </c>
      <c r="B336" s="3" t="s">
        <v>1172</v>
      </c>
      <c r="C336" s="4" t="s">
        <v>1168</v>
      </c>
      <c r="D336" s="4" t="s">
        <v>1173</v>
      </c>
      <c r="E336" s="3" t="s">
        <v>84</v>
      </c>
      <c r="F336" s="3" t="s">
        <v>1174</v>
      </c>
      <c r="G336" s="3" t="s">
        <v>1175</v>
      </c>
      <c r="H336" s="3" t="s">
        <v>56</v>
      </c>
      <c r="I336" s="3" t="s">
        <v>32</v>
      </c>
      <c r="J336" s="3" t="s">
        <v>299</v>
      </c>
      <c r="K336" s="3" t="s">
        <v>189</v>
      </c>
      <c r="L336" s="3" t="s">
        <v>59</v>
      </c>
      <c r="M336" s="3" t="s">
        <v>470</v>
      </c>
      <c r="N336" s="3" t="s">
        <v>49</v>
      </c>
      <c r="O336" s="3" t="s">
        <v>159</v>
      </c>
      <c r="P336" s="3" t="s">
        <v>471</v>
      </c>
      <c r="Q336" s="5" t="n">
        <v>130.69</v>
      </c>
      <c r="R336" s="3" t="n">
        <v>5</v>
      </c>
      <c r="S336" s="6" t="n">
        <v>0</v>
      </c>
      <c r="T336" s="5" t="n">
        <v>45.72</v>
      </c>
      <c r="U336" s="3" t="str">
        <f aca="false">IF(T336&lt;0,"Loss",IF(T336=0,"Break-even","Profit"))</f>
        <v>Profit</v>
      </c>
      <c r="V336" s="3" t="str">
        <f aca="false">IF(Q336&lt;100,"Low",IF(Q336&lt;=500,"Medium","High"))</f>
        <v>Medium</v>
      </c>
      <c r="W336" s="3" t="n">
        <f aca="false">D336-C336</f>
        <v>2</v>
      </c>
      <c r="X336" s="3" t="str">
        <f aca="false">TEXT(C336,"mmmm")</f>
        <v>August</v>
      </c>
      <c r="Y336" s="3" t="str">
        <f aca="false">LEFT(G336,1)&amp;MID(G336,FIND(" ",G336)+1,1)</f>
        <v>AB</v>
      </c>
    </row>
    <row r="337" customFormat="false" ht="15" hidden="false" customHeight="false" outlineLevel="0" collapsed="false">
      <c r="A337" s="3" t="n">
        <v>336</v>
      </c>
      <c r="B337" s="3" t="s">
        <v>1176</v>
      </c>
      <c r="C337" s="4" t="s">
        <v>1164</v>
      </c>
      <c r="D337" s="4" t="s">
        <v>1177</v>
      </c>
      <c r="E337" s="3" t="s">
        <v>28</v>
      </c>
      <c r="F337" s="3" t="s">
        <v>665</v>
      </c>
      <c r="G337" s="3" t="s">
        <v>666</v>
      </c>
      <c r="H337" s="3" t="s">
        <v>45</v>
      </c>
      <c r="I337" s="3" t="s">
        <v>32</v>
      </c>
      <c r="J337" s="3" t="s">
        <v>252</v>
      </c>
      <c r="K337" s="3" t="s">
        <v>172</v>
      </c>
      <c r="L337" s="3" t="s">
        <v>157</v>
      </c>
      <c r="M337" s="3" t="s">
        <v>195</v>
      </c>
      <c r="N337" s="3" t="s">
        <v>37</v>
      </c>
      <c r="O337" s="3" t="s">
        <v>196</v>
      </c>
      <c r="P337" s="3" t="s">
        <v>197</v>
      </c>
      <c r="Q337" s="5" t="n">
        <v>6540.57</v>
      </c>
      <c r="R337" s="3" t="n">
        <v>5</v>
      </c>
      <c r="S337" s="6" t="n">
        <v>0.4</v>
      </c>
      <c r="T337" s="5" t="n">
        <v>1570.56</v>
      </c>
      <c r="U337" s="3" t="str">
        <f aca="false">IF(T337&lt;0,"Loss",IF(T337=0,"Break-even","Profit"))</f>
        <v>Profit</v>
      </c>
      <c r="V337" s="3" t="str">
        <f aca="false">IF(Q337&lt;100,"Low",IF(Q337&lt;=500,"Medium","High"))</f>
        <v>High</v>
      </c>
      <c r="W337" s="3" t="n">
        <f aca="false">D337-C337</f>
        <v>4</v>
      </c>
      <c r="X337" s="3" t="str">
        <f aca="false">TEXT(C337,"mmmm")</f>
        <v>August</v>
      </c>
      <c r="Y337" s="3" t="str">
        <f aca="false">LEFT(G337,1)&amp;MID(G337,FIND(" ",G337)+1,1)</f>
        <v>EM</v>
      </c>
    </row>
    <row r="338" customFormat="false" ht="15" hidden="false" customHeight="false" outlineLevel="0" collapsed="false">
      <c r="A338" s="3" t="n">
        <v>337</v>
      </c>
      <c r="B338" s="3" t="s">
        <v>1178</v>
      </c>
      <c r="C338" s="4" t="s">
        <v>1164</v>
      </c>
      <c r="D338" s="4" t="s">
        <v>1162</v>
      </c>
      <c r="E338" s="3" t="s">
        <v>28</v>
      </c>
      <c r="F338" s="3" t="s">
        <v>1081</v>
      </c>
      <c r="G338" s="3" t="s">
        <v>1082</v>
      </c>
      <c r="H338" s="3" t="s">
        <v>56</v>
      </c>
      <c r="I338" s="3" t="s">
        <v>32</v>
      </c>
      <c r="J338" s="3" t="s">
        <v>315</v>
      </c>
      <c r="K338" s="3" t="s">
        <v>58</v>
      </c>
      <c r="L338" s="3" t="s">
        <v>59</v>
      </c>
      <c r="M338" s="3" t="s">
        <v>334</v>
      </c>
      <c r="N338" s="3" t="s">
        <v>37</v>
      </c>
      <c r="O338" s="3" t="s">
        <v>136</v>
      </c>
      <c r="P338" s="3" t="s">
        <v>335</v>
      </c>
      <c r="Q338" s="5" t="n">
        <v>9446.34</v>
      </c>
      <c r="R338" s="3" t="n">
        <v>6</v>
      </c>
      <c r="S338" s="6" t="n">
        <v>0.1</v>
      </c>
      <c r="T338" s="5" t="n">
        <v>1229.31</v>
      </c>
      <c r="U338" s="3" t="str">
        <f aca="false">IF(T338&lt;0,"Loss",IF(T338=0,"Break-even","Profit"))</f>
        <v>Profit</v>
      </c>
      <c r="V338" s="3" t="str">
        <f aca="false">IF(Q338&lt;100,"Low",IF(Q338&lt;=500,"Medium","High"))</f>
        <v>High</v>
      </c>
      <c r="W338" s="3" t="n">
        <f aca="false">D338-C338</f>
        <v>3</v>
      </c>
      <c r="X338" s="3" t="str">
        <f aca="false">TEXT(C338,"mmmm")</f>
        <v>August</v>
      </c>
      <c r="Y338" s="3" t="str">
        <f aca="false">LEFT(G338,1)&amp;MID(G338,FIND(" ",G338)+1,1)</f>
        <v>SB</v>
      </c>
    </row>
    <row r="339" customFormat="false" ht="15" hidden="false" customHeight="false" outlineLevel="0" collapsed="false">
      <c r="A339" s="3" t="n">
        <v>338</v>
      </c>
      <c r="B339" s="3" t="s">
        <v>1179</v>
      </c>
      <c r="C339" s="4" t="s">
        <v>1169</v>
      </c>
      <c r="D339" s="4" t="s">
        <v>1180</v>
      </c>
      <c r="E339" s="3" t="s">
        <v>84</v>
      </c>
      <c r="F339" s="3" t="s">
        <v>586</v>
      </c>
      <c r="G339" s="3" t="s">
        <v>587</v>
      </c>
      <c r="H339" s="3" t="s">
        <v>31</v>
      </c>
      <c r="I339" s="3" t="s">
        <v>32</v>
      </c>
      <c r="J339" s="3" t="s">
        <v>243</v>
      </c>
      <c r="K339" s="3" t="s">
        <v>244</v>
      </c>
      <c r="L339" s="3" t="s">
        <v>157</v>
      </c>
      <c r="M339" s="3" t="s">
        <v>105</v>
      </c>
      <c r="N339" s="3" t="s">
        <v>49</v>
      </c>
      <c r="O339" s="3" t="s">
        <v>106</v>
      </c>
      <c r="P339" s="3" t="s">
        <v>107</v>
      </c>
      <c r="Q339" s="5" t="n">
        <v>85.35</v>
      </c>
      <c r="R339" s="3" t="n">
        <v>10</v>
      </c>
      <c r="S339" s="6" t="n">
        <v>0</v>
      </c>
      <c r="T339" s="5" t="n">
        <v>-16.97</v>
      </c>
      <c r="U339" s="3" t="str">
        <f aca="false">IF(T339&lt;0,"Loss",IF(T339=0,"Break-even","Profit"))</f>
        <v>Loss</v>
      </c>
      <c r="V339" s="3" t="str">
        <f aca="false">IF(Q339&lt;100,"Low",IF(Q339&lt;=500,"Medium","High"))</f>
        <v>Low</v>
      </c>
      <c r="W339" s="3" t="n">
        <f aca="false">D339-C339</f>
        <v>4</v>
      </c>
      <c r="X339" s="3" t="str">
        <f aca="false">TEXT(C339,"mmmm")</f>
        <v>August</v>
      </c>
      <c r="Y339" s="3" t="str">
        <f aca="false">LEFT(G339,1)&amp;MID(G339,FIND(" ",G339)+1,1)</f>
        <v>MN</v>
      </c>
    </row>
    <row r="340" customFormat="false" ht="15" hidden="false" customHeight="false" outlineLevel="0" collapsed="false">
      <c r="A340" s="3" t="n">
        <v>339</v>
      </c>
      <c r="B340" s="3" t="s">
        <v>1181</v>
      </c>
      <c r="C340" s="4" t="s">
        <v>1169</v>
      </c>
      <c r="D340" s="4" t="s">
        <v>1182</v>
      </c>
      <c r="E340" s="3" t="s">
        <v>28</v>
      </c>
      <c r="F340" s="3" t="s">
        <v>817</v>
      </c>
      <c r="G340" s="3" t="s">
        <v>818</v>
      </c>
      <c r="H340" s="3" t="s">
        <v>45</v>
      </c>
      <c r="I340" s="3" t="s">
        <v>32</v>
      </c>
      <c r="J340" s="3" t="s">
        <v>179</v>
      </c>
      <c r="K340" s="3" t="s">
        <v>47</v>
      </c>
      <c r="L340" s="3" t="s">
        <v>35</v>
      </c>
      <c r="M340" s="3" t="s">
        <v>36</v>
      </c>
      <c r="N340" s="3" t="s">
        <v>37</v>
      </c>
      <c r="O340" s="3" t="s">
        <v>38</v>
      </c>
      <c r="P340" s="3" t="s">
        <v>39</v>
      </c>
      <c r="Q340" s="5" t="n">
        <v>4014.27</v>
      </c>
      <c r="R340" s="3" t="n">
        <v>10</v>
      </c>
      <c r="S340" s="6" t="n">
        <v>0</v>
      </c>
      <c r="T340" s="5" t="n">
        <v>-313.35</v>
      </c>
      <c r="U340" s="3" t="str">
        <f aca="false">IF(T340&lt;0,"Loss",IF(T340=0,"Break-even","Profit"))</f>
        <v>Loss</v>
      </c>
      <c r="V340" s="3" t="str">
        <f aca="false">IF(Q340&lt;100,"Low",IF(Q340&lt;=500,"Medium","High"))</f>
        <v>High</v>
      </c>
      <c r="W340" s="3" t="n">
        <f aca="false">D340-C340</f>
        <v>7</v>
      </c>
      <c r="X340" s="3" t="str">
        <f aca="false">TEXT(C340,"mmmm")</f>
        <v>August</v>
      </c>
      <c r="Y340" s="3" t="str">
        <f aca="false">LEFT(G340,1)&amp;MID(G340,FIND(" ",G340)+1,1)</f>
        <v>ES</v>
      </c>
    </row>
    <row r="341" customFormat="false" ht="15" hidden="false" customHeight="false" outlineLevel="0" collapsed="false">
      <c r="A341" s="3" t="n">
        <v>340</v>
      </c>
      <c r="B341" s="3" t="s">
        <v>1183</v>
      </c>
      <c r="C341" s="4" t="s">
        <v>1184</v>
      </c>
      <c r="D341" s="4" t="s">
        <v>1162</v>
      </c>
      <c r="E341" s="3" t="s">
        <v>42</v>
      </c>
      <c r="F341" s="3" t="s">
        <v>454</v>
      </c>
      <c r="G341" s="3" t="s">
        <v>455</v>
      </c>
      <c r="H341" s="3" t="s">
        <v>56</v>
      </c>
      <c r="I341" s="3" t="s">
        <v>32</v>
      </c>
      <c r="J341" s="3" t="s">
        <v>87</v>
      </c>
      <c r="K341" s="3" t="s">
        <v>68</v>
      </c>
      <c r="L341" s="3" t="s">
        <v>69</v>
      </c>
      <c r="M341" s="3" t="s">
        <v>105</v>
      </c>
      <c r="N341" s="3" t="s">
        <v>49</v>
      </c>
      <c r="O341" s="3" t="s">
        <v>106</v>
      </c>
      <c r="P341" s="3" t="s">
        <v>107</v>
      </c>
      <c r="Q341" s="5" t="n">
        <v>1028.87</v>
      </c>
      <c r="R341" s="3" t="n">
        <v>10</v>
      </c>
      <c r="S341" s="6" t="n">
        <v>0.1</v>
      </c>
      <c r="T341" s="5" t="n">
        <v>255.41</v>
      </c>
      <c r="U341" s="3" t="str">
        <f aca="false">IF(T341&lt;0,"Loss",IF(T341=0,"Break-even","Profit"))</f>
        <v>Profit</v>
      </c>
      <c r="V341" s="3" t="str">
        <f aca="false">IF(Q341&lt;100,"Low",IF(Q341&lt;=500,"Medium","High"))</f>
        <v>High</v>
      </c>
      <c r="W341" s="3" t="n">
        <f aca="false">D341-C341</f>
        <v>1</v>
      </c>
      <c r="X341" s="3" t="str">
        <f aca="false">TEXT(C341,"mmmm")</f>
        <v>August</v>
      </c>
      <c r="Y341" s="3" t="str">
        <f aca="false">LEFT(G341,1)&amp;MID(G341,FIND(" ",G341)+1,1)</f>
        <v>OD</v>
      </c>
    </row>
    <row r="342" customFormat="false" ht="15" hidden="false" customHeight="false" outlineLevel="0" collapsed="false">
      <c r="A342" s="3" t="n">
        <v>341</v>
      </c>
      <c r="B342" s="3" t="s">
        <v>1185</v>
      </c>
      <c r="C342" s="4" t="s">
        <v>1184</v>
      </c>
      <c r="D342" s="4" t="s">
        <v>1180</v>
      </c>
      <c r="E342" s="3" t="s">
        <v>28</v>
      </c>
      <c r="F342" s="3" t="s">
        <v>1186</v>
      </c>
      <c r="G342" s="3" t="s">
        <v>1187</v>
      </c>
      <c r="H342" s="3" t="s">
        <v>31</v>
      </c>
      <c r="I342" s="3" t="s">
        <v>32</v>
      </c>
      <c r="J342" s="3" t="s">
        <v>306</v>
      </c>
      <c r="K342" s="3" t="s">
        <v>307</v>
      </c>
      <c r="L342" s="3" t="s">
        <v>69</v>
      </c>
      <c r="M342" s="3" t="s">
        <v>253</v>
      </c>
      <c r="N342" s="3" t="s">
        <v>89</v>
      </c>
      <c r="O342" s="3" t="s">
        <v>90</v>
      </c>
      <c r="P342" s="3" t="s">
        <v>254</v>
      </c>
      <c r="Q342" s="5" t="n">
        <v>1663.18</v>
      </c>
      <c r="R342" s="3" t="n">
        <v>3</v>
      </c>
      <c r="S342" s="6" t="n">
        <v>0.1</v>
      </c>
      <c r="T342" s="5" t="n">
        <v>78.13</v>
      </c>
      <c r="U342" s="3" t="str">
        <f aca="false">IF(T342&lt;0,"Loss",IF(T342=0,"Break-even","Profit"))</f>
        <v>Profit</v>
      </c>
      <c r="V342" s="3" t="str">
        <f aca="false">IF(Q342&lt;100,"Low",IF(Q342&lt;=500,"Medium","High"))</f>
        <v>High</v>
      </c>
      <c r="W342" s="3" t="n">
        <f aca="false">D342-C342</f>
        <v>3</v>
      </c>
      <c r="X342" s="3" t="str">
        <f aca="false">TEXT(C342,"mmmm")</f>
        <v>August</v>
      </c>
      <c r="Y342" s="3" t="str">
        <f aca="false">LEFT(G342,1)&amp;MID(G342,FIND(" ",G342)+1,1)</f>
        <v>FJ</v>
      </c>
    </row>
    <row r="343" customFormat="false" ht="15" hidden="false" customHeight="false" outlineLevel="0" collapsed="false">
      <c r="A343" s="3" t="n">
        <v>342</v>
      </c>
      <c r="B343" s="3" t="s">
        <v>1188</v>
      </c>
      <c r="C343" s="4" t="s">
        <v>1184</v>
      </c>
      <c r="D343" s="4" t="s">
        <v>1189</v>
      </c>
      <c r="E343" s="3" t="s">
        <v>84</v>
      </c>
      <c r="F343" s="3" t="s">
        <v>641</v>
      </c>
      <c r="G343" s="3" t="s">
        <v>642</v>
      </c>
      <c r="H343" s="3" t="s">
        <v>45</v>
      </c>
      <c r="I343" s="3" t="s">
        <v>32</v>
      </c>
      <c r="J343" s="3" t="s">
        <v>179</v>
      </c>
      <c r="K343" s="3" t="s">
        <v>47</v>
      </c>
      <c r="L343" s="3" t="s">
        <v>35</v>
      </c>
      <c r="M343" s="3" t="s">
        <v>316</v>
      </c>
      <c r="N343" s="3" t="s">
        <v>49</v>
      </c>
      <c r="O343" s="3" t="s">
        <v>143</v>
      </c>
      <c r="P343" s="3" t="s">
        <v>317</v>
      </c>
      <c r="Q343" s="5" t="n">
        <v>101.72</v>
      </c>
      <c r="R343" s="3" t="n">
        <v>1</v>
      </c>
      <c r="S343" s="6" t="n">
        <v>0</v>
      </c>
      <c r="T343" s="5" t="n">
        <v>10.84</v>
      </c>
      <c r="U343" s="3" t="str">
        <f aca="false">IF(T343&lt;0,"Loss",IF(T343=0,"Break-even","Profit"))</f>
        <v>Profit</v>
      </c>
      <c r="V343" s="3" t="str">
        <f aca="false">IF(Q343&lt;100,"Low",IF(Q343&lt;=500,"Medium","High"))</f>
        <v>Medium</v>
      </c>
      <c r="W343" s="3" t="n">
        <f aca="false">D343-C343</f>
        <v>4</v>
      </c>
      <c r="X343" s="3" t="str">
        <f aca="false">TEXT(C343,"mmmm")</f>
        <v>August</v>
      </c>
      <c r="Y343" s="3" t="str">
        <f aca="false">LEFT(G343,1)&amp;MID(G343,FIND(" ",G343)+1,1)</f>
        <v>PC</v>
      </c>
    </row>
    <row r="344" customFormat="false" ht="15" hidden="false" customHeight="false" outlineLevel="0" collapsed="false">
      <c r="A344" s="3" t="n">
        <v>343</v>
      </c>
      <c r="B344" s="3" t="s">
        <v>1190</v>
      </c>
      <c r="C344" s="4" t="s">
        <v>1184</v>
      </c>
      <c r="D344" s="4" t="s">
        <v>1191</v>
      </c>
      <c r="E344" s="3" t="s">
        <v>28</v>
      </c>
      <c r="F344" s="3" t="s">
        <v>1192</v>
      </c>
      <c r="G344" s="3" t="s">
        <v>1193</v>
      </c>
      <c r="H344" s="3" t="s">
        <v>45</v>
      </c>
      <c r="I344" s="3" t="s">
        <v>32</v>
      </c>
      <c r="J344" s="3" t="s">
        <v>737</v>
      </c>
      <c r="K344" s="3" t="s">
        <v>307</v>
      </c>
      <c r="L344" s="3" t="s">
        <v>69</v>
      </c>
      <c r="M344" s="3" t="s">
        <v>79</v>
      </c>
      <c r="N344" s="3" t="s">
        <v>49</v>
      </c>
      <c r="O344" s="3" t="s">
        <v>80</v>
      </c>
      <c r="P344" s="3" t="s">
        <v>81</v>
      </c>
      <c r="Q344" s="5" t="n">
        <v>359.98</v>
      </c>
      <c r="R344" s="3" t="n">
        <v>3</v>
      </c>
      <c r="S344" s="6" t="n">
        <v>0</v>
      </c>
      <c r="T344" s="5" t="n">
        <v>-62.95</v>
      </c>
      <c r="U344" s="3" t="str">
        <f aca="false">IF(T344&lt;0,"Loss",IF(T344=0,"Break-even","Profit"))</f>
        <v>Loss</v>
      </c>
      <c r="V344" s="3" t="str">
        <f aca="false">IF(Q344&lt;100,"Low",IF(Q344&lt;=500,"Medium","High"))</f>
        <v>Medium</v>
      </c>
      <c r="W344" s="3" t="n">
        <f aca="false">D344-C344</f>
        <v>7</v>
      </c>
      <c r="X344" s="3" t="str">
        <f aca="false">TEXT(C344,"mmmm")</f>
        <v>August</v>
      </c>
      <c r="Y344" s="3" t="str">
        <f aca="false">LEFT(G344,1)&amp;MID(G344,FIND(" ",G344)+1,1)</f>
        <v>PM</v>
      </c>
    </row>
    <row r="345" customFormat="false" ht="15" hidden="false" customHeight="false" outlineLevel="0" collapsed="false">
      <c r="A345" s="3" t="n">
        <v>344</v>
      </c>
      <c r="B345" s="3" t="s">
        <v>1026</v>
      </c>
      <c r="C345" s="4" t="s">
        <v>1177</v>
      </c>
      <c r="D345" s="4" t="s">
        <v>1177</v>
      </c>
      <c r="E345" s="3" t="s">
        <v>53</v>
      </c>
      <c r="F345" s="3" t="s">
        <v>1194</v>
      </c>
      <c r="G345" s="3" t="s">
        <v>1195</v>
      </c>
      <c r="H345" s="3" t="s">
        <v>56</v>
      </c>
      <c r="I345" s="3" t="s">
        <v>32</v>
      </c>
      <c r="J345" s="3" t="s">
        <v>873</v>
      </c>
      <c r="K345" s="3" t="s">
        <v>387</v>
      </c>
      <c r="L345" s="3" t="s">
        <v>35</v>
      </c>
      <c r="M345" s="3" t="s">
        <v>683</v>
      </c>
      <c r="N345" s="3" t="s">
        <v>37</v>
      </c>
      <c r="O345" s="3" t="s">
        <v>136</v>
      </c>
      <c r="P345" s="3" t="s">
        <v>684</v>
      </c>
      <c r="Q345" s="5" t="n">
        <v>5352.78</v>
      </c>
      <c r="R345" s="3" t="n">
        <v>9</v>
      </c>
      <c r="S345" s="6" t="n">
        <v>0.4</v>
      </c>
      <c r="T345" s="5" t="n">
        <v>-1671.68</v>
      </c>
      <c r="U345" s="3" t="str">
        <f aca="false">IF(T345&lt;0,"Loss",IF(T345=0,"Break-even","Profit"))</f>
        <v>Loss</v>
      </c>
      <c r="V345" s="3" t="str">
        <f aca="false">IF(Q345&lt;100,"Low",IF(Q345&lt;=500,"Medium","High"))</f>
        <v>High</v>
      </c>
      <c r="W345" s="3" t="n">
        <f aca="false">D345-C345</f>
        <v>0</v>
      </c>
      <c r="X345" s="3" t="str">
        <f aca="false">TEXT(C345,"mmmm")</f>
        <v>August</v>
      </c>
      <c r="Y345" s="3" t="str">
        <f aca="false">LEFT(G345,1)&amp;MID(G345,FIND(" ",G345)+1,1)</f>
        <v>JK</v>
      </c>
    </row>
    <row r="346" customFormat="false" ht="15" hidden="false" customHeight="false" outlineLevel="0" collapsed="false">
      <c r="A346" s="3" t="n">
        <v>345</v>
      </c>
      <c r="B346" s="3" t="s">
        <v>1196</v>
      </c>
      <c r="C346" s="4" t="s">
        <v>1180</v>
      </c>
      <c r="D346" s="4" t="s">
        <v>1182</v>
      </c>
      <c r="E346" s="3" t="s">
        <v>84</v>
      </c>
      <c r="F346" s="3" t="s">
        <v>1197</v>
      </c>
      <c r="G346" s="3" t="s">
        <v>1198</v>
      </c>
      <c r="H346" s="3" t="s">
        <v>56</v>
      </c>
      <c r="I346" s="3" t="s">
        <v>32</v>
      </c>
      <c r="J346" s="3" t="s">
        <v>252</v>
      </c>
      <c r="K346" s="3" t="s">
        <v>172</v>
      </c>
      <c r="L346" s="3" t="s">
        <v>157</v>
      </c>
      <c r="M346" s="3" t="s">
        <v>470</v>
      </c>
      <c r="N346" s="3" t="s">
        <v>49</v>
      </c>
      <c r="O346" s="3" t="s">
        <v>159</v>
      </c>
      <c r="P346" s="3" t="s">
        <v>471</v>
      </c>
      <c r="Q346" s="5" t="n">
        <v>359.59</v>
      </c>
      <c r="R346" s="3" t="n">
        <v>5</v>
      </c>
      <c r="S346" s="6" t="n">
        <v>0.1</v>
      </c>
      <c r="T346" s="5" t="n">
        <v>-45.83</v>
      </c>
      <c r="U346" s="3" t="str">
        <f aca="false">IF(T346&lt;0,"Loss",IF(T346=0,"Break-even","Profit"))</f>
        <v>Loss</v>
      </c>
      <c r="V346" s="3" t="str">
        <f aca="false">IF(Q346&lt;100,"Low",IF(Q346&lt;=500,"Medium","High"))</f>
        <v>Medium</v>
      </c>
      <c r="W346" s="3" t="n">
        <f aca="false">D346-C346</f>
        <v>3</v>
      </c>
      <c r="X346" s="3" t="str">
        <f aca="false">TEXT(C346,"mmmm")</f>
        <v>August</v>
      </c>
      <c r="Y346" s="3" t="str">
        <f aca="false">LEFT(G346,1)&amp;MID(G346,FIND(" ",G346)+1,1)</f>
        <v>PT</v>
      </c>
    </row>
    <row r="347" customFormat="false" ht="15" hidden="false" customHeight="false" outlineLevel="0" collapsed="false">
      <c r="A347" s="3" t="n">
        <v>346</v>
      </c>
      <c r="B347" s="3" t="s">
        <v>1199</v>
      </c>
      <c r="C347" s="4" t="s">
        <v>1189</v>
      </c>
      <c r="D347" s="4" t="s">
        <v>1182</v>
      </c>
      <c r="E347" s="3" t="s">
        <v>84</v>
      </c>
      <c r="F347" s="3" t="s">
        <v>1008</v>
      </c>
      <c r="G347" s="3" t="s">
        <v>1009</v>
      </c>
      <c r="H347" s="3" t="s">
        <v>45</v>
      </c>
      <c r="I347" s="3" t="s">
        <v>32</v>
      </c>
      <c r="J347" s="3" t="s">
        <v>285</v>
      </c>
      <c r="K347" s="3" t="s">
        <v>202</v>
      </c>
      <c r="L347" s="3" t="s">
        <v>35</v>
      </c>
      <c r="M347" s="3" t="s">
        <v>195</v>
      </c>
      <c r="N347" s="3" t="s">
        <v>37</v>
      </c>
      <c r="O347" s="3" t="s">
        <v>196</v>
      </c>
      <c r="P347" s="3" t="s">
        <v>197</v>
      </c>
      <c r="Q347" s="5" t="n">
        <v>9408.06</v>
      </c>
      <c r="R347" s="3" t="n">
        <v>6</v>
      </c>
      <c r="S347" s="6" t="n">
        <v>0.1</v>
      </c>
      <c r="T347" s="5" t="n">
        <v>-1834.45</v>
      </c>
      <c r="U347" s="3" t="str">
        <f aca="false">IF(T347&lt;0,"Loss",IF(T347=0,"Break-even","Profit"))</f>
        <v>Loss</v>
      </c>
      <c r="V347" s="3" t="str">
        <f aca="false">IF(Q347&lt;100,"Low",IF(Q347&lt;=500,"Medium","High"))</f>
        <v>High</v>
      </c>
      <c r="W347" s="3" t="n">
        <f aca="false">D347-C347</f>
        <v>2</v>
      </c>
      <c r="X347" s="3" t="str">
        <f aca="false">TEXT(C347,"mmmm")</f>
        <v>August</v>
      </c>
      <c r="Y347" s="3" t="str">
        <f aca="false">LEFT(G347,1)&amp;MID(G347,FIND(" ",G347)+1,1)</f>
        <v>SJ</v>
      </c>
    </row>
    <row r="348" customFormat="false" ht="15" hidden="false" customHeight="false" outlineLevel="0" collapsed="false">
      <c r="A348" s="3" t="n">
        <v>347</v>
      </c>
      <c r="B348" s="3" t="s">
        <v>1200</v>
      </c>
      <c r="C348" s="4" t="s">
        <v>1201</v>
      </c>
      <c r="D348" s="4" t="s">
        <v>1191</v>
      </c>
      <c r="E348" s="3" t="s">
        <v>84</v>
      </c>
      <c r="F348" s="3" t="s">
        <v>572</v>
      </c>
      <c r="G348" s="3" t="s">
        <v>573</v>
      </c>
      <c r="H348" s="3" t="s">
        <v>56</v>
      </c>
      <c r="I348" s="3" t="s">
        <v>32</v>
      </c>
      <c r="J348" s="3" t="s">
        <v>243</v>
      </c>
      <c r="K348" s="3" t="s">
        <v>244</v>
      </c>
      <c r="L348" s="3" t="s">
        <v>157</v>
      </c>
      <c r="M348" s="3" t="s">
        <v>347</v>
      </c>
      <c r="N348" s="3" t="s">
        <v>49</v>
      </c>
      <c r="O348" s="3" t="s">
        <v>220</v>
      </c>
      <c r="P348" s="3" t="s">
        <v>348</v>
      </c>
      <c r="Q348" s="5" t="n">
        <v>462.51</v>
      </c>
      <c r="R348" s="3" t="n">
        <v>5</v>
      </c>
      <c r="S348" s="6" t="n">
        <v>0.1</v>
      </c>
      <c r="T348" s="5" t="n">
        <v>-111.38</v>
      </c>
      <c r="U348" s="3" t="str">
        <f aca="false">IF(T348&lt;0,"Loss",IF(T348=0,"Break-even","Profit"))</f>
        <v>Loss</v>
      </c>
      <c r="V348" s="3" t="str">
        <f aca="false">IF(Q348&lt;100,"Low",IF(Q348&lt;=500,"Medium","High"))</f>
        <v>Medium</v>
      </c>
      <c r="W348" s="3" t="n">
        <f aca="false">D348-C348</f>
        <v>2</v>
      </c>
      <c r="X348" s="3" t="str">
        <f aca="false">TEXT(C348,"mmmm")</f>
        <v>September</v>
      </c>
      <c r="Y348" s="3" t="str">
        <f aca="false">LEFT(G348,1)&amp;MID(G348,FIND(" ",G348)+1,1)</f>
        <v>PM</v>
      </c>
    </row>
    <row r="349" customFormat="false" ht="15" hidden="false" customHeight="false" outlineLevel="0" collapsed="false">
      <c r="A349" s="3" t="n">
        <v>348</v>
      </c>
      <c r="B349" s="3" t="s">
        <v>1202</v>
      </c>
      <c r="C349" s="4" t="s">
        <v>1201</v>
      </c>
      <c r="D349" s="4" t="s">
        <v>1203</v>
      </c>
      <c r="E349" s="3" t="s">
        <v>28</v>
      </c>
      <c r="F349" s="3" t="s">
        <v>989</v>
      </c>
      <c r="G349" s="3" t="s">
        <v>990</v>
      </c>
      <c r="H349" s="3" t="s">
        <v>31</v>
      </c>
      <c r="I349" s="3" t="s">
        <v>32</v>
      </c>
      <c r="J349" s="3" t="s">
        <v>46</v>
      </c>
      <c r="K349" s="3" t="s">
        <v>47</v>
      </c>
      <c r="L349" s="3" t="s">
        <v>35</v>
      </c>
      <c r="M349" s="3" t="s">
        <v>127</v>
      </c>
      <c r="N349" s="3" t="s">
        <v>49</v>
      </c>
      <c r="O349" s="3" t="s">
        <v>61</v>
      </c>
      <c r="P349" s="3" t="s">
        <v>128</v>
      </c>
      <c r="Q349" s="5" t="n">
        <v>473.03</v>
      </c>
      <c r="R349" s="3" t="n">
        <v>5</v>
      </c>
      <c r="S349" s="6" t="n">
        <v>0.1</v>
      </c>
      <c r="T349" s="5" t="n">
        <v>58.97</v>
      </c>
      <c r="U349" s="3" t="str">
        <f aca="false">IF(T349&lt;0,"Loss",IF(T349=0,"Break-even","Profit"))</f>
        <v>Profit</v>
      </c>
      <c r="V349" s="3" t="str">
        <f aca="false">IF(Q349&lt;100,"Low",IF(Q349&lt;=500,"Medium","High"))</f>
        <v>Medium</v>
      </c>
      <c r="W349" s="3" t="n">
        <f aca="false">D349-C349</f>
        <v>5</v>
      </c>
      <c r="X349" s="3" t="str">
        <f aca="false">TEXT(C349,"mmmm")</f>
        <v>September</v>
      </c>
      <c r="Y349" s="3" t="str">
        <f aca="false">LEFT(G349,1)&amp;MID(G349,FIND(" ",G349)+1,1)</f>
        <v>EK</v>
      </c>
    </row>
    <row r="350" customFormat="false" ht="15" hidden="false" customHeight="false" outlineLevel="0" collapsed="false">
      <c r="A350" s="3" t="n">
        <v>349</v>
      </c>
      <c r="B350" s="3" t="s">
        <v>1204</v>
      </c>
      <c r="C350" s="4" t="s">
        <v>1182</v>
      </c>
      <c r="D350" s="4" t="s">
        <v>1205</v>
      </c>
      <c r="E350" s="3" t="s">
        <v>28</v>
      </c>
      <c r="F350" s="3" t="s">
        <v>1206</v>
      </c>
      <c r="G350" s="3" t="s">
        <v>1207</v>
      </c>
      <c r="H350" s="3" t="s">
        <v>31</v>
      </c>
      <c r="I350" s="3" t="s">
        <v>32</v>
      </c>
      <c r="J350" s="3" t="s">
        <v>171</v>
      </c>
      <c r="K350" s="3" t="s">
        <v>172</v>
      </c>
      <c r="L350" s="3" t="s">
        <v>157</v>
      </c>
      <c r="M350" s="3" t="s">
        <v>158</v>
      </c>
      <c r="N350" s="3" t="s">
        <v>49</v>
      </c>
      <c r="O350" s="3" t="s">
        <v>159</v>
      </c>
      <c r="P350" s="3" t="s">
        <v>160</v>
      </c>
      <c r="Q350" s="5" t="n">
        <v>680.27</v>
      </c>
      <c r="R350" s="3" t="n">
        <v>9</v>
      </c>
      <c r="S350" s="6" t="n">
        <v>0.2</v>
      </c>
      <c r="T350" s="5" t="n">
        <v>-172.18</v>
      </c>
      <c r="U350" s="3" t="str">
        <f aca="false">IF(T350&lt;0,"Loss",IF(T350=0,"Break-even","Profit"))</f>
        <v>Loss</v>
      </c>
      <c r="V350" s="3" t="str">
        <f aca="false">IF(Q350&lt;100,"Low",IF(Q350&lt;=500,"Medium","High"))</f>
        <v>High</v>
      </c>
      <c r="W350" s="3" t="n">
        <f aca="false">D350-C350</f>
        <v>3</v>
      </c>
      <c r="X350" s="3" t="str">
        <f aca="false">TEXT(C350,"mmmm")</f>
        <v>September</v>
      </c>
      <c r="Y350" s="3" t="str">
        <f aca="false">LEFT(G350,1)&amp;MID(G350,FIND(" ",G350)+1,1)</f>
        <v>LN</v>
      </c>
    </row>
    <row r="351" customFormat="false" ht="15" hidden="false" customHeight="false" outlineLevel="0" collapsed="false">
      <c r="A351" s="3" t="n">
        <v>350</v>
      </c>
      <c r="B351" s="3" t="s">
        <v>1208</v>
      </c>
      <c r="C351" s="4" t="s">
        <v>1182</v>
      </c>
      <c r="D351" s="4" t="s">
        <v>1209</v>
      </c>
      <c r="E351" s="3" t="s">
        <v>84</v>
      </c>
      <c r="F351" s="3" t="s">
        <v>957</v>
      </c>
      <c r="G351" s="3" t="s">
        <v>958</v>
      </c>
      <c r="H351" s="3" t="s">
        <v>56</v>
      </c>
      <c r="I351" s="3" t="s">
        <v>32</v>
      </c>
      <c r="J351" s="3" t="s">
        <v>95</v>
      </c>
      <c r="K351" s="3" t="s">
        <v>96</v>
      </c>
      <c r="L351" s="3" t="s">
        <v>59</v>
      </c>
      <c r="M351" s="3" t="s">
        <v>334</v>
      </c>
      <c r="N351" s="3" t="s">
        <v>37</v>
      </c>
      <c r="O351" s="3" t="s">
        <v>136</v>
      </c>
      <c r="P351" s="3" t="s">
        <v>335</v>
      </c>
      <c r="Q351" s="5" t="n">
        <v>110.56</v>
      </c>
      <c r="R351" s="3" t="n">
        <v>1</v>
      </c>
      <c r="S351" s="6" t="n">
        <v>0</v>
      </c>
      <c r="T351" s="5" t="n">
        <v>-8.26</v>
      </c>
      <c r="U351" s="3" t="str">
        <f aca="false">IF(T351&lt;0,"Loss",IF(T351=0,"Break-even","Profit"))</f>
        <v>Loss</v>
      </c>
      <c r="V351" s="3" t="str">
        <f aca="false">IF(Q351&lt;100,"Low",IF(Q351&lt;=500,"Medium","High"))</f>
        <v>Medium</v>
      </c>
      <c r="W351" s="3" t="n">
        <f aca="false">D351-C351</f>
        <v>2</v>
      </c>
      <c r="X351" s="3" t="str">
        <f aca="false">TEXT(C351,"mmmm")</f>
        <v>September</v>
      </c>
      <c r="Y351" s="3" t="str">
        <f aca="false">LEFT(G351,1)&amp;MID(G351,FIND(" ",G351)+1,1)</f>
        <v>JM</v>
      </c>
    </row>
    <row r="352" customFormat="false" ht="15" hidden="false" customHeight="false" outlineLevel="0" collapsed="false">
      <c r="A352" s="3" t="n">
        <v>351</v>
      </c>
      <c r="B352" s="3" t="s">
        <v>1210</v>
      </c>
      <c r="C352" s="4" t="s">
        <v>1209</v>
      </c>
      <c r="D352" s="4" t="s">
        <v>1211</v>
      </c>
      <c r="E352" s="3" t="s">
        <v>28</v>
      </c>
      <c r="F352" s="3" t="s">
        <v>332</v>
      </c>
      <c r="G352" s="3" t="s">
        <v>333</v>
      </c>
      <c r="H352" s="3" t="s">
        <v>56</v>
      </c>
      <c r="I352" s="3" t="s">
        <v>32</v>
      </c>
      <c r="J352" s="3" t="s">
        <v>476</v>
      </c>
      <c r="K352" s="3" t="s">
        <v>366</v>
      </c>
      <c r="L352" s="3" t="s">
        <v>157</v>
      </c>
      <c r="M352" s="3" t="s">
        <v>237</v>
      </c>
      <c r="N352" s="3" t="s">
        <v>49</v>
      </c>
      <c r="O352" s="3" t="s">
        <v>220</v>
      </c>
      <c r="P352" s="3" t="s">
        <v>238</v>
      </c>
      <c r="Q352" s="5" t="n">
        <v>79.47</v>
      </c>
      <c r="R352" s="3" t="n">
        <v>3</v>
      </c>
      <c r="S352" s="6" t="n">
        <v>0.2</v>
      </c>
      <c r="T352" s="5" t="n">
        <v>-6.17</v>
      </c>
      <c r="U352" s="3" t="str">
        <f aca="false">IF(T352&lt;0,"Loss",IF(T352=0,"Break-even","Profit"))</f>
        <v>Loss</v>
      </c>
      <c r="V352" s="3" t="str">
        <f aca="false">IF(Q352&lt;100,"Low",IF(Q352&lt;=500,"Medium","High"))</f>
        <v>Low</v>
      </c>
      <c r="W352" s="3" t="n">
        <f aca="false">D352-C352</f>
        <v>5</v>
      </c>
      <c r="X352" s="3" t="str">
        <f aca="false">TEXT(C352,"mmmm")</f>
        <v>September</v>
      </c>
      <c r="Y352" s="3" t="str">
        <f aca="false">LEFT(G352,1)&amp;MID(G352,FIND(" ",G352)+1,1)</f>
        <v>AM</v>
      </c>
    </row>
    <row r="353" customFormat="false" ht="15" hidden="false" customHeight="false" outlineLevel="0" collapsed="false">
      <c r="A353" s="3" t="n">
        <v>352</v>
      </c>
      <c r="B353" s="3" t="s">
        <v>1212</v>
      </c>
      <c r="C353" s="4" t="s">
        <v>1209</v>
      </c>
      <c r="D353" s="4" t="s">
        <v>1213</v>
      </c>
      <c r="E353" s="3" t="s">
        <v>28</v>
      </c>
      <c r="F353" s="3" t="s">
        <v>743</v>
      </c>
      <c r="G353" s="3" t="s">
        <v>744</v>
      </c>
      <c r="H353" s="3" t="s">
        <v>45</v>
      </c>
      <c r="I353" s="3" t="s">
        <v>32</v>
      </c>
      <c r="J353" s="3" t="s">
        <v>148</v>
      </c>
      <c r="K353" s="3" t="s">
        <v>78</v>
      </c>
      <c r="L353" s="3" t="s">
        <v>59</v>
      </c>
      <c r="M353" s="3" t="s">
        <v>461</v>
      </c>
      <c r="N353" s="3" t="s">
        <v>37</v>
      </c>
      <c r="O353" s="3" t="s">
        <v>71</v>
      </c>
      <c r="P353" s="3" t="s">
        <v>462</v>
      </c>
      <c r="Q353" s="5" t="n">
        <v>3406.33</v>
      </c>
      <c r="R353" s="3" t="n">
        <v>9</v>
      </c>
      <c r="S353" s="6" t="n">
        <v>0.3</v>
      </c>
      <c r="T353" s="5" t="n">
        <v>326.16</v>
      </c>
      <c r="U353" s="3" t="str">
        <f aca="false">IF(T353&lt;0,"Loss",IF(T353=0,"Break-even","Profit"))</f>
        <v>Profit</v>
      </c>
      <c r="V353" s="3" t="str">
        <f aca="false">IF(Q353&lt;100,"Low",IF(Q353&lt;=500,"Medium","High"))</f>
        <v>High</v>
      </c>
      <c r="W353" s="3" t="n">
        <f aca="false">D353-C353</f>
        <v>4</v>
      </c>
      <c r="X353" s="3" t="str">
        <f aca="false">TEXT(C353,"mmmm")</f>
        <v>September</v>
      </c>
      <c r="Y353" s="3" t="str">
        <f aca="false">LEFT(G353,1)&amp;MID(G353,FIND(" ",G353)+1,1)</f>
        <v>AN</v>
      </c>
    </row>
    <row r="354" customFormat="false" ht="15" hidden="false" customHeight="false" outlineLevel="0" collapsed="false">
      <c r="A354" s="3" t="n">
        <v>353</v>
      </c>
      <c r="B354" s="3" t="s">
        <v>1214</v>
      </c>
      <c r="C354" s="4" t="s">
        <v>1205</v>
      </c>
      <c r="D354" s="4" t="s">
        <v>1215</v>
      </c>
      <c r="E354" s="3" t="s">
        <v>28</v>
      </c>
      <c r="F354" s="3" t="s">
        <v>1216</v>
      </c>
      <c r="G354" s="3" t="s">
        <v>1217</v>
      </c>
      <c r="H354" s="3" t="s">
        <v>56</v>
      </c>
      <c r="I354" s="3" t="s">
        <v>32</v>
      </c>
      <c r="J354" s="3" t="s">
        <v>67</v>
      </c>
      <c r="K354" s="3" t="s">
        <v>68</v>
      </c>
      <c r="L354" s="3" t="s">
        <v>69</v>
      </c>
      <c r="M354" s="3" t="s">
        <v>461</v>
      </c>
      <c r="N354" s="3" t="s">
        <v>37</v>
      </c>
      <c r="O354" s="3" t="s">
        <v>71</v>
      </c>
      <c r="P354" s="3" t="s">
        <v>462</v>
      </c>
      <c r="Q354" s="5" t="n">
        <v>780.95</v>
      </c>
      <c r="R354" s="3" t="n">
        <v>2</v>
      </c>
      <c r="S354" s="6" t="n">
        <v>0.4</v>
      </c>
      <c r="T354" s="5" t="n">
        <v>-131.59</v>
      </c>
      <c r="U354" s="3" t="str">
        <f aca="false">IF(T354&lt;0,"Loss",IF(T354=0,"Break-even","Profit"))</f>
        <v>Loss</v>
      </c>
      <c r="V354" s="3" t="str">
        <f aca="false">IF(Q354&lt;100,"Low",IF(Q354&lt;=500,"Medium","High"))</f>
        <v>High</v>
      </c>
      <c r="W354" s="3" t="n">
        <f aca="false">D354-C354</f>
        <v>7</v>
      </c>
      <c r="X354" s="3" t="str">
        <f aca="false">TEXT(C354,"mmmm")</f>
        <v>September</v>
      </c>
      <c r="Y354" s="3" t="str">
        <f aca="false">LEFT(G354,1)&amp;MID(G354,FIND(" ",G354)+1,1)</f>
        <v>FT</v>
      </c>
    </row>
    <row r="355" customFormat="false" ht="15" hidden="false" customHeight="false" outlineLevel="0" collapsed="false">
      <c r="A355" s="3" t="n">
        <v>354</v>
      </c>
      <c r="B355" s="3" t="s">
        <v>1218</v>
      </c>
      <c r="C355" s="4" t="s">
        <v>1203</v>
      </c>
      <c r="D355" s="4" t="s">
        <v>1219</v>
      </c>
      <c r="E355" s="3" t="s">
        <v>28</v>
      </c>
      <c r="F355" s="3" t="s">
        <v>712</v>
      </c>
      <c r="G355" s="3" t="s">
        <v>713</v>
      </c>
      <c r="H355" s="3" t="s">
        <v>56</v>
      </c>
      <c r="I355" s="3" t="s">
        <v>32</v>
      </c>
      <c r="J355" s="3" t="s">
        <v>120</v>
      </c>
      <c r="K355" s="3" t="s">
        <v>113</v>
      </c>
      <c r="L355" s="3" t="s">
        <v>69</v>
      </c>
      <c r="M355" s="3" t="s">
        <v>280</v>
      </c>
      <c r="N355" s="3" t="s">
        <v>89</v>
      </c>
      <c r="O355" s="3" t="s">
        <v>166</v>
      </c>
      <c r="P355" s="3" t="s">
        <v>281</v>
      </c>
      <c r="Q355" s="5" t="n">
        <v>462.51</v>
      </c>
      <c r="R355" s="3" t="n">
        <v>1</v>
      </c>
      <c r="S355" s="6" t="n">
        <v>0.1</v>
      </c>
      <c r="T355" s="5" t="n">
        <v>97.69</v>
      </c>
      <c r="U355" s="3" t="str">
        <f aca="false">IF(T355&lt;0,"Loss",IF(T355=0,"Break-even","Profit"))</f>
        <v>Profit</v>
      </c>
      <c r="V355" s="3" t="str">
        <f aca="false">IF(Q355&lt;100,"Low",IF(Q355&lt;=500,"Medium","High"))</f>
        <v>Medium</v>
      </c>
      <c r="W355" s="3" t="n">
        <f aca="false">D355-C355</f>
        <v>4</v>
      </c>
      <c r="X355" s="3" t="str">
        <f aca="false">TEXT(C355,"mmmm")</f>
        <v>September</v>
      </c>
      <c r="Y355" s="3" t="str">
        <f aca="false">LEFT(G355,1)&amp;MID(G355,FIND(" ",G355)+1,1)</f>
        <v>PJ</v>
      </c>
    </row>
    <row r="356" customFormat="false" ht="15" hidden="false" customHeight="false" outlineLevel="0" collapsed="false">
      <c r="A356" s="3" t="n">
        <v>355</v>
      </c>
      <c r="B356" s="3" t="s">
        <v>1220</v>
      </c>
      <c r="C356" s="4" t="s">
        <v>1219</v>
      </c>
      <c r="D356" s="4" t="s">
        <v>1215</v>
      </c>
      <c r="E356" s="3" t="s">
        <v>42</v>
      </c>
      <c r="F356" s="3" t="s">
        <v>1221</v>
      </c>
      <c r="G356" s="3" t="s">
        <v>1222</v>
      </c>
      <c r="H356" s="3" t="s">
        <v>56</v>
      </c>
      <c r="I356" s="3" t="s">
        <v>32</v>
      </c>
      <c r="J356" s="3" t="s">
        <v>365</v>
      </c>
      <c r="K356" s="3" t="s">
        <v>366</v>
      </c>
      <c r="L356" s="3" t="s">
        <v>157</v>
      </c>
      <c r="M356" s="3" t="s">
        <v>135</v>
      </c>
      <c r="N356" s="3" t="s">
        <v>37</v>
      </c>
      <c r="O356" s="3" t="s">
        <v>136</v>
      </c>
      <c r="P356" s="3" t="s">
        <v>137</v>
      </c>
      <c r="Q356" s="5" t="n">
        <v>932.9</v>
      </c>
      <c r="R356" s="3" t="n">
        <v>8</v>
      </c>
      <c r="S356" s="6" t="n">
        <v>0</v>
      </c>
      <c r="T356" s="5" t="n">
        <v>26.26</v>
      </c>
      <c r="U356" s="3" t="str">
        <f aca="false">IF(T356&lt;0,"Loss",IF(T356=0,"Break-even","Profit"))</f>
        <v>Profit</v>
      </c>
      <c r="V356" s="3" t="str">
        <f aca="false">IF(Q356&lt;100,"Low",IF(Q356&lt;=500,"Medium","High"))</f>
        <v>High</v>
      </c>
      <c r="W356" s="3" t="n">
        <f aca="false">D356-C356</f>
        <v>2</v>
      </c>
      <c r="X356" s="3" t="str">
        <f aca="false">TEXT(C356,"mmmm")</f>
        <v>September</v>
      </c>
      <c r="Y356" s="3" t="str">
        <f aca="false">LEFT(G356,1)&amp;MID(G356,FIND(" ",G356)+1,1)</f>
        <v>MD</v>
      </c>
    </row>
    <row r="357" customFormat="false" ht="15" hidden="false" customHeight="false" outlineLevel="0" collapsed="false">
      <c r="A357" s="3" t="n">
        <v>356</v>
      </c>
      <c r="B357" s="3" t="s">
        <v>1223</v>
      </c>
      <c r="C357" s="4" t="s">
        <v>1224</v>
      </c>
      <c r="D357" s="4" t="s">
        <v>1225</v>
      </c>
      <c r="E357" s="3" t="s">
        <v>84</v>
      </c>
      <c r="F357" s="3" t="s">
        <v>908</v>
      </c>
      <c r="G357" s="3" t="s">
        <v>909</v>
      </c>
      <c r="H357" s="3" t="s">
        <v>56</v>
      </c>
      <c r="I357" s="3" t="s">
        <v>32</v>
      </c>
      <c r="J357" s="3" t="s">
        <v>95</v>
      </c>
      <c r="K357" s="3" t="s">
        <v>96</v>
      </c>
      <c r="L357" s="3" t="s">
        <v>59</v>
      </c>
      <c r="M357" s="3" t="s">
        <v>190</v>
      </c>
      <c r="N357" s="3" t="s">
        <v>49</v>
      </c>
      <c r="O357" s="3" t="s">
        <v>150</v>
      </c>
      <c r="P357" s="3" t="s">
        <v>191</v>
      </c>
      <c r="Q357" s="5" t="n">
        <v>531.45</v>
      </c>
      <c r="R357" s="3" t="n">
        <v>9</v>
      </c>
      <c r="S357" s="6" t="n">
        <v>0</v>
      </c>
      <c r="T357" s="5" t="n">
        <v>-45.68</v>
      </c>
      <c r="U357" s="3" t="str">
        <f aca="false">IF(T357&lt;0,"Loss",IF(T357=0,"Break-even","Profit"))</f>
        <v>Loss</v>
      </c>
      <c r="V357" s="3" t="str">
        <f aca="false">IF(Q357&lt;100,"Low",IF(Q357&lt;=500,"Medium","High"))</f>
        <v>High</v>
      </c>
      <c r="W357" s="3" t="n">
        <f aca="false">D357-C357</f>
        <v>3</v>
      </c>
      <c r="X357" s="3" t="str">
        <f aca="false">TEXT(C357,"mmmm")</f>
        <v>September</v>
      </c>
      <c r="Y357" s="3" t="str">
        <f aca="false">LEFT(G357,1)&amp;MID(G357,FIND(" ",G357)+1,1)</f>
        <v>JM</v>
      </c>
    </row>
    <row r="358" customFormat="false" ht="15" hidden="false" customHeight="false" outlineLevel="0" collapsed="false">
      <c r="A358" s="3" t="n">
        <v>357</v>
      </c>
      <c r="B358" s="3" t="s">
        <v>1226</v>
      </c>
      <c r="C358" s="4" t="s">
        <v>1227</v>
      </c>
      <c r="D358" s="4" t="s">
        <v>1228</v>
      </c>
      <c r="E358" s="3" t="s">
        <v>84</v>
      </c>
      <c r="F358" s="3" t="s">
        <v>1112</v>
      </c>
      <c r="G358" s="3" t="s">
        <v>1113</v>
      </c>
      <c r="H358" s="3" t="s">
        <v>56</v>
      </c>
      <c r="I358" s="3" t="s">
        <v>32</v>
      </c>
      <c r="J358" s="3" t="s">
        <v>133</v>
      </c>
      <c r="K358" s="3" t="s">
        <v>134</v>
      </c>
      <c r="L358" s="3" t="s">
        <v>69</v>
      </c>
      <c r="M358" s="3" t="s">
        <v>142</v>
      </c>
      <c r="N358" s="3" t="s">
        <v>49</v>
      </c>
      <c r="O358" s="3" t="s">
        <v>143</v>
      </c>
      <c r="P358" s="3" t="s">
        <v>144</v>
      </c>
      <c r="Q358" s="5" t="n">
        <v>63.06</v>
      </c>
      <c r="R358" s="3" t="n">
        <v>5</v>
      </c>
      <c r="S358" s="6" t="n">
        <v>0.1</v>
      </c>
      <c r="T358" s="5" t="n">
        <v>-12.83</v>
      </c>
      <c r="U358" s="3" t="str">
        <f aca="false">IF(T358&lt;0,"Loss",IF(T358=0,"Break-even","Profit"))</f>
        <v>Loss</v>
      </c>
      <c r="V358" s="3" t="str">
        <f aca="false">IF(Q358&lt;100,"Low",IF(Q358&lt;=500,"Medium","High"))</f>
        <v>Low</v>
      </c>
      <c r="W358" s="3" t="n">
        <f aca="false">D358-C358</f>
        <v>4</v>
      </c>
      <c r="X358" s="3" t="str">
        <f aca="false">TEXT(C358,"mmmm")</f>
        <v>September</v>
      </c>
      <c r="Y358" s="3" t="str">
        <f aca="false">LEFT(G358,1)&amp;MID(G358,FIND(" ",G358)+1,1)</f>
        <v>MD</v>
      </c>
    </row>
    <row r="359" customFormat="false" ht="15" hidden="false" customHeight="false" outlineLevel="0" collapsed="false">
      <c r="A359" s="3" t="n">
        <v>358</v>
      </c>
      <c r="B359" s="3" t="s">
        <v>1229</v>
      </c>
      <c r="C359" s="4" t="s">
        <v>1230</v>
      </c>
      <c r="D359" s="4" t="s">
        <v>1228</v>
      </c>
      <c r="E359" s="3" t="s">
        <v>28</v>
      </c>
      <c r="F359" s="3" t="s">
        <v>835</v>
      </c>
      <c r="G359" s="3" t="s">
        <v>836</v>
      </c>
      <c r="H359" s="3" t="s">
        <v>56</v>
      </c>
      <c r="I359" s="3" t="s">
        <v>32</v>
      </c>
      <c r="J359" s="3" t="s">
        <v>67</v>
      </c>
      <c r="K359" s="3" t="s">
        <v>68</v>
      </c>
      <c r="L359" s="3" t="s">
        <v>69</v>
      </c>
      <c r="M359" s="3" t="s">
        <v>135</v>
      </c>
      <c r="N359" s="3" t="s">
        <v>37</v>
      </c>
      <c r="O359" s="3" t="s">
        <v>136</v>
      </c>
      <c r="P359" s="3" t="s">
        <v>137</v>
      </c>
      <c r="Q359" s="5" t="n">
        <v>14289.02</v>
      </c>
      <c r="R359" s="3" t="n">
        <v>13</v>
      </c>
      <c r="S359" s="6" t="n">
        <v>0.1</v>
      </c>
      <c r="T359" s="5" t="n">
        <v>-221.84</v>
      </c>
      <c r="U359" s="3" t="str">
        <f aca="false">IF(T359&lt;0,"Loss",IF(T359=0,"Break-even","Profit"))</f>
        <v>Loss</v>
      </c>
      <c r="V359" s="3" t="str">
        <f aca="false">IF(Q359&lt;100,"Low",IF(Q359&lt;=500,"Medium","High"))</f>
        <v>High</v>
      </c>
      <c r="W359" s="3" t="n">
        <f aca="false">D359-C359</f>
        <v>3</v>
      </c>
      <c r="X359" s="3" t="str">
        <f aca="false">TEXT(C359,"mmmm")</f>
        <v>September</v>
      </c>
      <c r="Y359" s="3" t="str">
        <f aca="false">LEFT(G359,1)&amp;MID(G359,FIND(" ",G359)+1,1)</f>
        <v>AN</v>
      </c>
    </row>
    <row r="360" customFormat="false" ht="15" hidden="false" customHeight="false" outlineLevel="0" collapsed="false">
      <c r="A360" s="3" t="n">
        <v>359</v>
      </c>
      <c r="B360" s="3" t="s">
        <v>1231</v>
      </c>
      <c r="C360" s="4" t="s">
        <v>1225</v>
      </c>
      <c r="D360" s="4" t="s">
        <v>1232</v>
      </c>
      <c r="E360" s="3" t="s">
        <v>42</v>
      </c>
      <c r="F360" s="3" t="s">
        <v>1233</v>
      </c>
      <c r="G360" s="3" t="s">
        <v>1234</v>
      </c>
      <c r="H360" s="3" t="s">
        <v>31</v>
      </c>
      <c r="I360" s="3" t="s">
        <v>32</v>
      </c>
      <c r="J360" s="3" t="s">
        <v>33</v>
      </c>
      <c r="K360" s="3" t="s">
        <v>34</v>
      </c>
      <c r="L360" s="3" t="s">
        <v>35</v>
      </c>
      <c r="M360" s="3" t="s">
        <v>209</v>
      </c>
      <c r="N360" s="3" t="s">
        <v>49</v>
      </c>
      <c r="O360" s="3" t="s">
        <v>106</v>
      </c>
      <c r="P360" s="3" t="s">
        <v>210</v>
      </c>
      <c r="Q360" s="5" t="n">
        <v>1553.68</v>
      </c>
      <c r="R360" s="3" t="n">
        <v>14</v>
      </c>
      <c r="S360" s="6" t="n">
        <v>0.2</v>
      </c>
      <c r="T360" s="5" t="n">
        <v>-38.6</v>
      </c>
      <c r="U360" s="3" t="str">
        <f aca="false">IF(T360&lt;0,"Loss",IF(T360=0,"Break-even","Profit"))</f>
        <v>Loss</v>
      </c>
      <c r="V360" s="3" t="str">
        <f aca="false">IF(Q360&lt;100,"Low",IF(Q360&lt;=500,"Medium","High"))</f>
        <v>High</v>
      </c>
      <c r="W360" s="3" t="n">
        <f aca="false">D360-C360</f>
        <v>1</v>
      </c>
      <c r="X360" s="3" t="str">
        <f aca="false">TEXT(C360,"mmmm")</f>
        <v>September</v>
      </c>
      <c r="Y360" s="3" t="str">
        <f aca="false">LEFT(G360,1)&amp;MID(G360,FIND(" ",G360)+1,1)</f>
        <v>WJ</v>
      </c>
    </row>
    <row r="361" customFormat="false" ht="15" hidden="false" customHeight="false" outlineLevel="0" collapsed="false">
      <c r="A361" s="3" t="n">
        <v>360</v>
      </c>
      <c r="B361" s="3" t="s">
        <v>1235</v>
      </c>
      <c r="C361" s="4" t="s">
        <v>1225</v>
      </c>
      <c r="D361" s="4" t="s">
        <v>1228</v>
      </c>
      <c r="E361" s="3" t="s">
        <v>84</v>
      </c>
      <c r="F361" s="3" t="s">
        <v>891</v>
      </c>
      <c r="G361" s="3" t="s">
        <v>892</v>
      </c>
      <c r="H361" s="3" t="s">
        <v>56</v>
      </c>
      <c r="I361" s="3" t="s">
        <v>32</v>
      </c>
      <c r="J361" s="3" t="s">
        <v>476</v>
      </c>
      <c r="K361" s="3" t="s">
        <v>366</v>
      </c>
      <c r="L361" s="3" t="s">
        <v>157</v>
      </c>
      <c r="M361" s="3" t="s">
        <v>114</v>
      </c>
      <c r="N361" s="3" t="s">
        <v>49</v>
      </c>
      <c r="O361" s="3" t="s">
        <v>61</v>
      </c>
      <c r="P361" s="3" t="s">
        <v>115</v>
      </c>
      <c r="Q361" s="5" t="n">
        <v>789.94</v>
      </c>
      <c r="R361" s="3" t="n">
        <v>14</v>
      </c>
      <c r="S361" s="6" t="n">
        <v>0.2</v>
      </c>
      <c r="T361" s="5" t="n">
        <v>-157.17</v>
      </c>
      <c r="U361" s="3" t="str">
        <f aca="false">IF(T361&lt;0,"Loss",IF(T361=0,"Break-even","Profit"))</f>
        <v>Loss</v>
      </c>
      <c r="V361" s="3" t="str">
        <f aca="false">IF(Q361&lt;100,"Low",IF(Q361&lt;=500,"Medium","High"))</f>
        <v>High</v>
      </c>
      <c r="W361" s="3" t="n">
        <f aca="false">D361-C361</f>
        <v>2</v>
      </c>
      <c r="X361" s="3" t="str">
        <f aca="false">TEXT(C361,"mmmm")</f>
        <v>September</v>
      </c>
      <c r="Y361" s="3" t="str">
        <f aca="false">LEFT(G361,1)&amp;MID(G361,FIND(" ",G361)+1,1)</f>
        <v>MB</v>
      </c>
    </row>
    <row r="362" customFormat="false" ht="15" hidden="false" customHeight="false" outlineLevel="0" collapsed="false">
      <c r="A362" s="3" t="n">
        <v>361</v>
      </c>
      <c r="B362" s="3" t="s">
        <v>1236</v>
      </c>
      <c r="C362" s="4" t="s">
        <v>1232</v>
      </c>
      <c r="D362" s="4" t="s">
        <v>1228</v>
      </c>
      <c r="E362" s="3" t="s">
        <v>42</v>
      </c>
      <c r="F362" s="3" t="s">
        <v>597</v>
      </c>
      <c r="G362" s="3" t="s">
        <v>598</v>
      </c>
      <c r="H362" s="3" t="s">
        <v>56</v>
      </c>
      <c r="I362" s="3" t="s">
        <v>32</v>
      </c>
      <c r="J362" s="3" t="s">
        <v>67</v>
      </c>
      <c r="K362" s="3" t="s">
        <v>68</v>
      </c>
      <c r="L362" s="3" t="s">
        <v>69</v>
      </c>
      <c r="M362" s="3" t="s">
        <v>48</v>
      </c>
      <c r="N362" s="3" t="s">
        <v>49</v>
      </c>
      <c r="O362" s="3" t="s">
        <v>50</v>
      </c>
      <c r="P362" s="3" t="s">
        <v>51</v>
      </c>
      <c r="Q362" s="5" t="n">
        <v>821.71</v>
      </c>
      <c r="R362" s="3" t="n">
        <v>14</v>
      </c>
      <c r="S362" s="6" t="n">
        <v>0.2</v>
      </c>
      <c r="T362" s="5" t="n">
        <v>-98.49</v>
      </c>
      <c r="U362" s="3" t="str">
        <f aca="false">IF(T362&lt;0,"Loss",IF(T362=0,"Break-even","Profit"))</f>
        <v>Loss</v>
      </c>
      <c r="V362" s="3" t="str">
        <f aca="false">IF(Q362&lt;100,"Low",IF(Q362&lt;=500,"Medium","High"))</f>
        <v>High</v>
      </c>
      <c r="W362" s="3" t="n">
        <f aca="false">D362-C362</f>
        <v>1</v>
      </c>
      <c r="X362" s="3" t="str">
        <f aca="false">TEXT(C362,"mmmm")</f>
        <v>September</v>
      </c>
      <c r="Y362" s="3" t="str">
        <f aca="false">LEFT(G362,1)&amp;MID(G362,FIND(" ",G362)+1,1)</f>
        <v>OK</v>
      </c>
    </row>
    <row r="363" customFormat="false" ht="15" hidden="false" customHeight="false" outlineLevel="0" collapsed="false">
      <c r="A363" s="3" t="n">
        <v>362</v>
      </c>
      <c r="B363" s="3" t="s">
        <v>1237</v>
      </c>
      <c r="C363" s="4" t="s">
        <v>1228</v>
      </c>
      <c r="D363" s="4" t="s">
        <v>1238</v>
      </c>
      <c r="E363" s="3" t="s">
        <v>42</v>
      </c>
      <c r="F363" s="3" t="s">
        <v>1239</v>
      </c>
      <c r="G363" s="3" t="s">
        <v>1240</v>
      </c>
      <c r="H363" s="3" t="s">
        <v>45</v>
      </c>
      <c r="I363" s="3" t="s">
        <v>32</v>
      </c>
      <c r="J363" s="3" t="s">
        <v>814</v>
      </c>
      <c r="K363" s="3" t="s">
        <v>156</v>
      </c>
      <c r="L363" s="3" t="s">
        <v>157</v>
      </c>
      <c r="M363" s="3" t="s">
        <v>195</v>
      </c>
      <c r="N363" s="3" t="s">
        <v>37</v>
      </c>
      <c r="O363" s="3" t="s">
        <v>196</v>
      </c>
      <c r="P363" s="3" t="s">
        <v>197</v>
      </c>
      <c r="Q363" s="5" t="n">
        <v>7785.93</v>
      </c>
      <c r="R363" s="3" t="n">
        <v>11</v>
      </c>
      <c r="S363" s="6" t="n">
        <v>0.1</v>
      </c>
      <c r="T363" s="5" t="n">
        <v>49.53</v>
      </c>
      <c r="U363" s="3" t="str">
        <f aca="false">IF(T363&lt;0,"Loss",IF(T363=0,"Break-even","Profit"))</f>
        <v>Profit</v>
      </c>
      <c r="V363" s="3" t="str">
        <f aca="false">IF(Q363&lt;100,"Low",IF(Q363&lt;=500,"Medium","High"))</f>
        <v>High</v>
      </c>
      <c r="W363" s="3" t="n">
        <f aca="false">D363-C363</f>
        <v>2</v>
      </c>
      <c r="X363" s="3" t="str">
        <f aca="false">TEXT(C363,"mmmm")</f>
        <v>September</v>
      </c>
      <c r="Y363" s="3" t="str">
        <f aca="false">LEFT(G363,1)&amp;MID(G363,FIND(" ",G363)+1,1)</f>
        <v>JK</v>
      </c>
    </row>
    <row r="364" customFormat="false" ht="15" hidden="false" customHeight="false" outlineLevel="0" collapsed="false">
      <c r="A364" s="3" t="n">
        <v>363</v>
      </c>
      <c r="B364" s="3" t="s">
        <v>1241</v>
      </c>
      <c r="C364" s="4" t="s">
        <v>1238</v>
      </c>
      <c r="D364" s="4" t="s">
        <v>1242</v>
      </c>
      <c r="E364" s="3" t="s">
        <v>28</v>
      </c>
      <c r="F364" s="3" t="s">
        <v>1243</v>
      </c>
      <c r="G364" s="3" t="s">
        <v>1244</v>
      </c>
      <c r="H364" s="3" t="s">
        <v>31</v>
      </c>
      <c r="I364" s="3" t="s">
        <v>32</v>
      </c>
      <c r="J364" s="3" t="s">
        <v>95</v>
      </c>
      <c r="K364" s="3" t="s">
        <v>96</v>
      </c>
      <c r="L364" s="3" t="s">
        <v>59</v>
      </c>
      <c r="M364" s="3" t="s">
        <v>158</v>
      </c>
      <c r="N364" s="3" t="s">
        <v>49</v>
      </c>
      <c r="O364" s="3" t="s">
        <v>159</v>
      </c>
      <c r="P364" s="3" t="s">
        <v>160</v>
      </c>
      <c r="Q364" s="5" t="n">
        <v>515.8</v>
      </c>
      <c r="R364" s="3" t="n">
        <v>13</v>
      </c>
      <c r="S364" s="6" t="n">
        <v>0.2</v>
      </c>
      <c r="T364" s="5" t="n">
        <v>129.52</v>
      </c>
      <c r="U364" s="3" t="str">
        <f aca="false">IF(T364&lt;0,"Loss",IF(T364=0,"Break-even","Profit"))</f>
        <v>Profit</v>
      </c>
      <c r="V364" s="3" t="str">
        <f aca="false">IF(Q364&lt;100,"Low",IF(Q364&lt;=500,"Medium","High"))</f>
        <v>High</v>
      </c>
      <c r="W364" s="3" t="n">
        <f aca="false">D364-C364</f>
        <v>3</v>
      </c>
      <c r="X364" s="3" t="str">
        <f aca="false">TEXT(C364,"mmmm")</f>
        <v>September</v>
      </c>
      <c r="Y364" s="3" t="str">
        <f aca="false">LEFT(G364,1)&amp;MID(G364,FIND(" ",G364)+1,1)</f>
        <v>SS</v>
      </c>
    </row>
    <row r="365" customFormat="false" ht="15" hidden="false" customHeight="false" outlineLevel="0" collapsed="false">
      <c r="A365" s="3" t="n">
        <v>364</v>
      </c>
      <c r="B365" s="3" t="s">
        <v>1245</v>
      </c>
      <c r="C365" s="4" t="s">
        <v>1246</v>
      </c>
      <c r="D365" s="4" t="s">
        <v>1247</v>
      </c>
      <c r="E365" s="3" t="s">
        <v>28</v>
      </c>
      <c r="F365" s="3" t="s">
        <v>568</v>
      </c>
      <c r="G365" s="3" t="s">
        <v>569</v>
      </c>
      <c r="H365" s="3" t="s">
        <v>31</v>
      </c>
      <c r="I365" s="3" t="s">
        <v>32</v>
      </c>
      <c r="J365" s="3" t="s">
        <v>329</v>
      </c>
      <c r="K365" s="3" t="s">
        <v>156</v>
      </c>
      <c r="L365" s="3" t="s">
        <v>157</v>
      </c>
      <c r="M365" s="3" t="s">
        <v>70</v>
      </c>
      <c r="N365" s="3" t="s">
        <v>37</v>
      </c>
      <c r="O365" s="3" t="s">
        <v>71</v>
      </c>
      <c r="P365" s="3" t="s">
        <v>72</v>
      </c>
      <c r="Q365" s="5" t="n">
        <v>18190.21</v>
      </c>
      <c r="R365" s="3" t="n">
        <v>11</v>
      </c>
      <c r="S365" s="6" t="n">
        <v>0.1</v>
      </c>
      <c r="T365" s="5" t="n">
        <v>3632.24</v>
      </c>
      <c r="U365" s="3" t="str">
        <f aca="false">IF(T365&lt;0,"Loss",IF(T365=0,"Break-even","Profit"))</f>
        <v>Profit</v>
      </c>
      <c r="V365" s="3" t="str">
        <f aca="false">IF(Q365&lt;100,"Low",IF(Q365&lt;=500,"Medium","High"))</f>
        <v>High</v>
      </c>
      <c r="W365" s="3" t="n">
        <f aca="false">D365-C365</f>
        <v>7</v>
      </c>
      <c r="X365" s="3" t="str">
        <f aca="false">TEXT(C365,"mmmm")</f>
        <v>September</v>
      </c>
      <c r="Y365" s="3" t="str">
        <f aca="false">LEFT(G365,1)&amp;MID(G365,FIND(" ",G365)+1,1)</f>
        <v>JT</v>
      </c>
    </row>
    <row r="366" customFormat="false" ht="15" hidden="false" customHeight="false" outlineLevel="0" collapsed="false">
      <c r="A366" s="3" t="n">
        <v>365</v>
      </c>
      <c r="B366" s="3" t="s">
        <v>1248</v>
      </c>
      <c r="C366" s="4" t="s">
        <v>1246</v>
      </c>
      <c r="D366" s="4" t="s">
        <v>1249</v>
      </c>
      <c r="E366" s="3" t="s">
        <v>42</v>
      </c>
      <c r="F366" s="3" t="s">
        <v>418</v>
      </c>
      <c r="G366" s="3" t="s">
        <v>419</v>
      </c>
      <c r="H366" s="3" t="s">
        <v>45</v>
      </c>
      <c r="I366" s="3" t="s">
        <v>32</v>
      </c>
      <c r="J366" s="3" t="s">
        <v>171</v>
      </c>
      <c r="K366" s="3" t="s">
        <v>172</v>
      </c>
      <c r="L366" s="3" t="s">
        <v>157</v>
      </c>
      <c r="M366" s="3" t="s">
        <v>659</v>
      </c>
      <c r="N366" s="3" t="s">
        <v>89</v>
      </c>
      <c r="O366" s="3" t="s">
        <v>323</v>
      </c>
      <c r="P366" s="3" t="s">
        <v>660</v>
      </c>
      <c r="Q366" s="5" t="n">
        <v>706.24</v>
      </c>
      <c r="R366" s="3" t="n">
        <v>1</v>
      </c>
      <c r="S366" s="6" t="n">
        <v>0</v>
      </c>
      <c r="T366" s="5" t="n">
        <v>159.49</v>
      </c>
      <c r="U366" s="3" t="str">
        <f aca="false">IF(T366&lt;0,"Loss",IF(T366=0,"Break-even","Profit"))</f>
        <v>Profit</v>
      </c>
      <c r="V366" s="3" t="str">
        <f aca="false">IF(Q366&lt;100,"Low",IF(Q366&lt;=500,"Medium","High"))</f>
        <v>High</v>
      </c>
      <c r="W366" s="3" t="n">
        <f aca="false">D366-C366</f>
        <v>1</v>
      </c>
      <c r="X366" s="3" t="str">
        <f aca="false">TEXT(C366,"mmmm")</f>
        <v>September</v>
      </c>
      <c r="Y366" s="3" t="str">
        <f aca="false">LEFT(G366,1)&amp;MID(G366,FIND(" ",G366)+1,1)</f>
        <v>PW</v>
      </c>
    </row>
    <row r="367" customFormat="false" ht="15" hidden="false" customHeight="false" outlineLevel="0" collapsed="false">
      <c r="A367" s="3" t="n">
        <v>366</v>
      </c>
      <c r="B367" s="3" t="s">
        <v>701</v>
      </c>
      <c r="C367" s="4" t="s">
        <v>1246</v>
      </c>
      <c r="D367" s="4" t="s">
        <v>1242</v>
      </c>
      <c r="E367" s="3" t="s">
        <v>84</v>
      </c>
      <c r="F367" s="3" t="s">
        <v>702</v>
      </c>
      <c r="G367" s="3" t="s">
        <v>703</v>
      </c>
      <c r="H367" s="3" t="s">
        <v>56</v>
      </c>
      <c r="I367" s="3" t="s">
        <v>32</v>
      </c>
      <c r="J367" s="3" t="s">
        <v>548</v>
      </c>
      <c r="K367" s="3" t="s">
        <v>244</v>
      </c>
      <c r="L367" s="3" t="s">
        <v>157</v>
      </c>
      <c r="M367" s="3" t="s">
        <v>127</v>
      </c>
      <c r="N367" s="3" t="s">
        <v>49</v>
      </c>
      <c r="O367" s="3" t="s">
        <v>61</v>
      </c>
      <c r="P367" s="3" t="s">
        <v>128</v>
      </c>
      <c r="Q367" s="5" t="n">
        <v>312.53</v>
      </c>
      <c r="R367" s="3" t="n">
        <v>12</v>
      </c>
      <c r="S367" s="6" t="n">
        <v>0</v>
      </c>
      <c r="T367" s="5" t="n">
        <v>40.59</v>
      </c>
      <c r="U367" s="3" t="str">
        <f aca="false">IF(T367&lt;0,"Loss",IF(T367=0,"Break-even","Profit"))</f>
        <v>Profit</v>
      </c>
      <c r="V367" s="3" t="str">
        <f aca="false">IF(Q367&lt;100,"Low",IF(Q367&lt;=500,"Medium","High"))</f>
        <v>Medium</v>
      </c>
      <c r="W367" s="3" t="n">
        <f aca="false">D367-C367</f>
        <v>2</v>
      </c>
      <c r="X367" s="3" t="str">
        <f aca="false">TEXT(C367,"mmmm")</f>
        <v>September</v>
      </c>
      <c r="Y367" s="3" t="str">
        <f aca="false">LEFT(G367,1)&amp;MID(G367,FIND(" ",G367)+1,1)</f>
        <v>DT</v>
      </c>
    </row>
    <row r="368" customFormat="false" ht="15" hidden="false" customHeight="false" outlineLevel="0" collapsed="false">
      <c r="A368" s="3" t="n">
        <v>367</v>
      </c>
      <c r="B368" s="3" t="s">
        <v>82</v>
      </c>
      <c r="C368" s="4" t="s">
        <v>1246</v>
      </c>
      <c r="D368" s="4" t="s">
        <v>1250</v>
      </c>
      <c r="E368" s="3" t="s">
        <v>28</v>
      </c>
      <c r="F368" s="3" t="s">
        <v>507</v>
      </c>
      <c r="G368" s="3" t="s">
        <v>508</v>
      </c>
      <c r="H368" s="3" t="s">
        <v>45</v>
      </c>
      <c r="I368" s="3" t="s">
        <v>32</v>
      </c>
      <c r="J368" s="3" t="s">
        <v>476</v>
      </c>
      <c r="K368" s="3" t="s">
        <v>366</v>
      </c>
      <c r="L368" s="3" t="s">
        <v>157</v>
      </c>
      <c r="M368" s="3" t="s">
        <v>470</v>
      </c>
      <c r="N368" s="3" t="s">
        <v>49</v>
      </c>
      <c r="O368" s="3" t="s">
        <v>159</v>
      </c>
      <c r="P368" s="3" t="s">
        <v>471</v>
      </c>
      <c r="Q368" s="5" t="n">
        <v>92.09</v>
      </c>
      <c r="R368" s="3" t="n">
        <v>4</v>
      </c>
      <c r="S368" s="6" t="n">
        <v>0</v>
      </c>
      <c r="T368" s="5" t="n">
        <v>4.68</v>
      </c>
      <c r="U368" s="3" t="str">
        <f aca="false">IF(T368&lt;0,"Loss",IF(T368=0,"Break-even","Profit"))</f>
        <v>Profit</v>
      </c>
      <c r="V368" s="3" t="str">
        <f aca="false">IF(Q368&lt;100,"Low",IF(Q368&lt;=500,"Medium","High"))</f>
        <v>Low</v>
      </c>
      <c r="W368" s="3" t="n">
        <f aca="false">D368-C368</f>
        <v>5</v>
      </c>
      <c r="X368" s="3" t="str">
        <f aca="false">TEXT(C368,"mmmm")</f>
        <v>September</v>
      </c>
      <c r="Y368" s="3" t="str">
        <f aca="false">LEFT(G368,1)&amp;MID(G368,FIND(" ",G368)+1,1)</f>
        <v>LS</v>
      </c>
    </row>
    <row r="369" customFormat="false" ht="15" hidden="false" customHeight="false" outlineLevel="0" collapsed="false">
      <c r="A369" s="3" t="n">
        <v>368</v>
      </c>
      <c r="B369" s="3" t="s">
        <v>1251</v>
      </c>
      <c r="C369" s="4" t="s">
        <v>1252</v>
      </c>
      <c r="D369" s="4" t="s">
        <v>1250</v>
      </c>
      <c r="E369" s="3" t="s">
        <v>42</v>
      </c>
      <c r="F369" s="3" t="s">
        <v>1253</v>
      </c>
      <c r="G369" s="3" t="s">
        <v>1254</v>
      </c>
      <c r="H369" s="3" t="s">
        <v>56</v>
      </c>
      <c r="I369" s="3" t="s">
        <v>32</v>
      </c>
      <c r="J369" s="3" t="s">
        <v>299</v>
      </c>
      <c r="K369" s="3" t="s">
        <v>189</v>
      </c>
      <c r="L369" s="3" t="s">
        <v>59</v>
      </c>
      <c r="M369" s="3" t="s">
        <v>88</v>
      </c>
      <c r="N369" s="3" t="s">
        <v>89</v>
      </c>
      <c r="O369" s="3" t="s">
        <v>90</v>
      </c>
      <c r="P369" s="3" t="s">
        <v>91</v>
      </c>
      <c r="Q369" s="5" t="n">
        <v>1101.16</v>
      </c>
      <c r="R369" s="3" t="n">
        <v>3</v>
      </c>
      <c r="S369" s="6" t="n">
        <v>0.1</v>
      </c>
      <c r="T369" s="5" t="n">
        <v>-283.61</v>
      </c>
      <c r="U369" s="3" t="str">
        <f aca="false">IF(T369&lt;0,"Loss",IF(T369=0,"Break-even","Profit"))</f>
        <v>Loss</v>
      </c>
      <c r="V369" s="3" t="str">
        <f aca="false">IF(Q369&lt;100,"Low",IF(Q369&lt;=500,"Medium","High"))</f>
        <v>High</v>
      </c>
      <c r="W369" s="3" t="n">
        <f aca="false">D369-C369</f>
        <v>2</v>
      </c>
      <c r="X369" s="3" t="str">
        <f aca="false">TEXT(C369,"mmmm")</f>
        <v>September</v>
      </c>
      <c r="Y369" s="3" t="str">
        <f aca="false">LEFT(G369,1)&amp;MID(G369,FIND(" ",G369)+1,1)</f>
        <v>AN</v>
      </c>
    </row>
    <row r="370" customFormat="false" ht="15" hidden="false" customHeight="false" outlineLevel="0" collapsed="false">
      <c r="A370" s="3" t="n">
        <v>369</v>
      </c>
      <c r="B370" s="3" t="s">
        <v>255</v>
      </c>
      <c r="C370" s="4" t="s">
        <v>1252</v>
      </c>
      <c r="D370" s="4" t="s">
        <v>1247</v>
      </c>
      <c r="E370" s="3" t="s">
        <v>28</v>
      </c>
      <c r="F370" s="3" t="s">
        <v>273</v>
      </c>
      <c r="G370" s="3" t="s">
        <v>274</v>
      </c>
      <c r="H370" s="3" t="s">
        <v>56</v>
      </c>
      <c r="I370" s="3" t="s">
        <v>32</v>
      </c>
      <c r="J370" s="3" t="s">
        <v>215</v>
      </c>
      <c r="K370" s="3" t="s">
        <v>34</v>
      </c>
      <c r="L370" s="3" t="s">
        <v>35</v>
      </c>
      <c r="M370" s="3" t="s">
        <v>114</v>
      </c>
      <c r="N370" s="3" t="s">
        <v>49</v>
      </c>
      <c r="O370" s="3" t="s">
        <v>61</v>
      </c>
      <c r="P370" s="3" t="s">
        <v>115</v>
      </c>
      <c r="Q370" s="5" t="n">
        <v>972.14</v>
      </c>
      <c r="R370" s="3" t="n">
        <v>13</v>
      </c>
      <c r="S370" s="6" t="n">
        <v>0</v>
      </c>
      <c r="T370" s="5" t="n">
        <v>-21.92</v>
      </c>
      <c r="U370" s="3" t="str">
        <f aca="false">IF(T370&lt;0,"Loss",IF(T370=0,"Break-even","Profit"))</f>
        <v>Loss</v>
      </c>
      <c r="V370" s="3" t="str">
        <f aca="false">IF(Q370&lt;100,"Low",IF(Q370&lt;=500,"Medium","High"))</f>
        <v>High</v>
      </c>
      <c r="W370" s="3" t="n">
        <f aca="false">D370-C370</f>
        <v>4</v>
      </c>
      <c r="X370" s="3" t="str">
        <f aca="false">TEXT(C370,"mmmm")</f>
        <v>September</v>
      </c>
      <c r="Y370" s="3" t="str">
        <f aca="false">LEFT(G370,1)&amp;MID(G370,FIND(" ",G370)+1,1)</f>
        <v>LJ</v>
      </c>
    </row>
    <row r="371" customFormat="false" ht="15" hidden="false" customHeight="false" outlineLevel="0" collapsed="false">
      <c r="A371" s="3" t="n">
        <v>370</v>
      </c>
      <c r="B371" s="3" t="s">
        <v>1255</v>
      </c>
      <c r="C371" s="4" t="s">
        <v>1256</v>
      </c>
      <c r="D371" s="4" t="s">
        <v>1247</v>
      </c>
      <c r="E371" s="3" t="s">
        <v>84</v>
      </c>
      <c r="F371" s="3" t="s">
        <v>223</v>
      </c>
      <c r="G371" s="3" t="s">
        <v>224</v>
      </c>
      <c r="H371" s="3" t="s">
        <v>56</v>
      </c>
      <c r="I371" s="3" t="s">
        <v>32</v>
      </c>
      <c r="J371" s="3" t="s">
        <v>415</v>
      </c>
      <c r="K371" s="3" t="s">
        <v>202</v>
      </c>
      <c r="L371" s="3" t="s">
        <v>35</v>
      </c>
      <c r="M371" s="3" t="s">
        <v>447</v>
      </c>
      <c r="N371" s="3" t="s">
        <v>89</v>
      </c>
      <c r="O371" s="3" t="s">
        <v>323</v>
      </c>
      <c r="P371" s="3" t="s">
        <v>448</v>
      </c>
      <c r="Q371" s="5" t="n">
        <v>1171.64</v>
      </c>
      <c r="R371" s="3" t="n">
        <v>6</v>
      </c>
      <c r="S371" s="6" t="n">
        <v>0.3</v>
      </c>
      <c r="T371" s="5" t="n">
        <v>-108.07</v>
      </c>
      <c r="U371" s="3" t="str">
        <f aca="false">IF(T371&lt;0,"Loss",IF(T371=0,"Break-even","Profit"))</f>
        <v>Loss</v>
      </c>
      <c r="V371" s="3" t="str">
        <f aca="false">IF(Q371&lt;100,"Low",IF(Q371&lt;=500,"Medium","High"))</f>
        <v>High</v>
      </c>
      <c r="W371" s="3" t="n">
        <f aca="false">D371-C371</f>
        <v>3</v>
      </c>
      <c r="X371" s="3" t="str">
        <f aca="false">TEXT(C371,"mmmm")</f>
        <v>September</v>
      </c>
      <c r="Y371" s="3" t="str">
        <f aca="false">LEFT(G371,1)&amp;MID(G371,FIND(" ",G371)+1,1)</f>
        <v>RK</v>
      </c>
    </row>
    <row r="372" customFormat="false" ht="15" hidden="false" customHeight="false" outlineLevel="0" collapsed="false">
      <c r="A372" s="3" t="n">
        <v>371</v>
      </c>
      <c r="B372" s="3" t="s">
        <v>1257</v>
      </c>
      <c r="C372" s="4" t="s">
        <v>1256</v>
      </c>
      <c r="D372" s="4" t="s">
        <v>1250</v>
      </c>
      <c r="E372" s="3" t="s">
        <v>42</v>
      </c>
      <c r="F372" s="3" t="s">
        <v>1258</v>
      </c>
      <c r="G372" s="3" t="s">
        <v>1259</v>
      </c>
      <c r="H372" s="3" t="s">
        <v>56</v>
      </c>
      <c r="I372" s="3" t="s">
        <v>32</v>
      </c>
      <c r="J372" s="3" t="s">
        <v>329</v>
      </c>
      <c r="K372" s="3" t="s">
        <v>156</v>
      </c>
      <c r="L372" s="3" t="s">
        <v>157</v>
      </c>
      <c r="M372" s="3" t="s">
        <v>470</v>
      </c>
      <c r="N372" s="3" t="s">
        <v>49</v>
      </c>
      <c r="O372" s="3" t="s">
        <v>159</v>
      </c>
      <c r="P372" s="3" t="s">
        <v>471</v>
      </c>
      <c r="Q372" s="5" t="n">
        <v>626.5</v>
      </c>
      <c r="R372" s="3" t="n">
        <v>12</v>
      </c>
      <c r="S372" s="6" t="n">
        <v>0</v>
      </c>
      <c r="T372" s="5" t="n">
        <v>-99.43</v>
      </c>
      <c r="U372" s="3" t="str">
        <f aca="false">IF(T372&lt;0,"Loss",IF(T372=0,"Break-even","Profit"))</f>
        <v>Loss</v>
      </c>
      <c r="V372" s="3" t="str">
        <f aca="false">IF(Q372&lt;100,"Low",IF(Q372&lt;=500,"Medium","High"))</f>
        <v>High</v>
      </c>
      <c r="W372" s="3" t="n">
        <f aca="false">D372-C372</f>
        <v>1</v>
      </c>
      <c r="X372" s="3" t="str">
        <f aca="false">TEXT(C372,"mmmm")</f>
        <v>September</v>
      </c>
      <c r="Y372" s="3" t="str">
        <f aca="false">LEFT(G372,1)&amp;MID(G372,FIND(" ",G372)+1,1)</f>
        <v>MS</v>
      </c>
    </row>
    <row r="373" customFormat="false" ht="15" hidden="false" customHeight="false" outlineLevel="0" collapsed="false">
      <c r="A373" s="3" t="n">
        <v>372</v>
      </c>
      <c r="B373" s="3" t="s">
        <v>1260</v>
      </c>
      <c r="C373" s="4" t="s">
        <v>1256</v>
      </c>
      <c r="D373" s="4" t="s">
        <v>1247</v>
      </c>
      <c r="E373" s="3" t="s">
        <v>28</v>
      </c>
      <c r="F373" s="3" t="s">
        <v>830</v>
      </c>
      <c r="G373" s="3" t="s">
        <v>831</v>
      </c>
      <c r="H373" s="3" t="s">
        <v>56</v>
      </c>
      <c r="I373" s="3" t="s">
        <v>32</v>
      </c>
      <c r="J373" s="3" t="s">
        <v>386</v>
      </c>
      <c r="K373" s="3" t="s">
        <v>387</v>
      </c>
      <c r="L373" s="3" t="s">
        <v>35</v>
      </c>
      <c r="M373" s="3" t="s">
        <v>461</v>
      </c>
      <c r="N373" s="3" t="s">
        <v>37</v>
      </c>
      <c r="O373" s="3" t="s">
        <v>71</v>
      </c>
      <c r="P373" s="3" t="s">
        <v>462</v>
      </c>
      <c r="Q373" s="5" t="n">
        <v>3303.67</v>
      </c>
      <c r="R373" s="3" t="n">
        <v>2</v>
      </c>
      <c r="S373" s="6" t="n">
        <v>0.2</v>
      </c>
      <c r="T373" s="5" t="n">
        <v>-92.1</v>
      </c>
      <c r="U373" s="3" t="str">
        <f aca="false">IF(T373&lt;0,"Loss",IF(T373=0,"Break-even","Profit"))</f>
        <v>Loss</v>
      </c>
      <c r="V373" s="3" t="str">
        <f aca="false">IF(Q373&lt;100,"Low",IF(Q373&lt;=500,"Medium","High"))</f>
        <v>High</v>
      </c>
      <c r="W373" s="3" t="n">
        <f aca="false">D373-C373</f>
        <v>3</v>
      </c>
      <c r="X373" s="3" t="str">
        <f aca="false">TEXT(C373,"mmmm")</f>
        <v>September</v>
      </c>
      <c r="Y373" s="3" t="str">
        <f aca="false">LEFT(G373,1)&amp;MID(G373,FIND(" ",G373)+1,1)</f>
        <v>WM</v>
      </c>
    </row>
    <row r="374" customFormat="false" ht="15" hidden="false" customHeight="false" outlineLevel="0" collapsed="false">
      <c r="A374" s="3" t="n">
        <v>373</v>
      </c>
      <c r="B374" s="3" t="s">
        <v>516</v>
      </c>
      <c r="C374" s="4" t="s">
        <v>1250</v>
      </c>
      <c r="D374" s="4" t="s">
        <v>1250</v>
      </c>
      <c r="E374" s="3" t="s">
        <v>53</v>
      </c>
      <c r="F374" s="3" t="s">
        <v>568</v>
      </c>
      <c r="G374" s="3" t="s">
        <v>569</v>
      </c>
      <c r="H374" s="3" t="s">
        <v>31</v>
      </c>
      <c r="I374" s="3" t="s">
        <v>32</v>
      </c>
      <c r="J374" s="3" t="s">
        <v>67</v>
      </c>
      <c r="K374" s="3" t="s">
        <v>68</v>
      </c>
      <c r="L374" s="3" t="s">
        <v>69</v>
      </c>
      <c r="M374" s="3" t="s">
        <v>259</v>
      </c>
      <c r="N374" s="3" t="s">
        <v>89</v>
      </c>
      <c r="O374" s="3" t="s">
        <v>174</v>
      </c>
      <c r="P374" s="3" t="s">
        <v>260</v>
      </c>
      <c r="Q374" s="5" t="n">
        <v>1207.81</v>
      </c>
      <c r="R374" s="3" t="n">
        <v>8</v>
      </c>
      <c r="S374" s="6" t="n">
        <v>0.1</v>
      </c>
      <c r="T374" s="5" t="n">
        <v>-97.31</v>
      </c>
      <c r="U374" s="3" t="str">
        <f aca="false">IF(T374&lt;0,"Loss",IF(T374=0,"Break-even","Profit"))</f>
        <v>Loss</v>
      </c>
      <c r="V374" s="3" t="str">
        <f aca="false">IF(Q374&lt;100,"Low",IF(Q374&lt;=500,"Medium","High"))</f>
        <v>High</v>
      </c>
      <c r="W374" s="3" t="n">
        <f aca="false">D374-C374</f>
        <v>0</v>
      </c>
      <c r="X374" s="3" t="str">
        <f aca="false">TEXT(C374,"mmmm")</f>
        <v>September</v>
      </c>
      <c r="Y374" s="3" t="str">
        <f aca="false">LEFT(G374,1)&amp;MID(G374,FIND(" ",G374)+1,1)</f>
        <v>JT</v>
      </c>
    </row>
    <row r="375" customFormat="false" ht="15" hidden="false" customHeight="false" outlineLevel="0" collapsed="false">
      <c r="A375" s="3" t="n">
        <v>374</v>
      </c>
      <c r="B375" s="3" t="s">
        <v>1261</v>
      </c>
      <c r="C375" s="4" t="s">
        <v>1247</v>
      </c>
      <c r="D375" s="4" t="s">
        <v>1262</v>
      </c>
      <c r="E375" s="3" t="s">
        <v>84</v>
      </c>
      <c r="F375" s="3" t="s">
        <v>1263</v>
      </c>
      <c r="G375" s="3" t="s">
        <v>1264</v>
      </c>
      <c r="H375" s="3" t="s">
        <v>56</v>
      </c>
      <c r="I375" s="3" t="s">
        <v>32</v>
      </c>
      <c r="J375" s="3" t="s">
        <v>365</v>
      </c>
      <c r="K375" s="3" t="s">
        <v>366</v>
      </c>
      <c r="L375" s="3" t="s">
        <v>157</v>
      </c>
      <c r="M375" s="3" t="s">
        <v>158</v>
      </c>
      <c r="N375" s="3" t="s">
        <v>49</v>
      </c>
      <c r="O375" s="3" t="s">
        <v>159</v>
      </c>
      <c r="P375" s="3" t="s">
        <v>160</v>
      </c>
      <c r="Q375" s="5" t="n">
        <v>362.78</v>
      </c>
      <c r="R375" s="3" t="n">
        <v>7</v>
      </c>
      <c r="S375" s="6" t="n">
        <v>0</v>
      </c>
      <c r="T375" s="5" t="n">
        <v>115.8</v>
      </c>
      <c r="U375" s="3" t="str">
        <f aca="false">IF(T375&lt;0,"Loss",IF(T375=0,"Break-even","Profit"))</f>
        <v>Profit</v>
      </c>
      <c r="V375" s="3" t="str">
        <f aca="false">IF(Q375&lt;100,"Low",IF(Q375&lt;=500,"Medium","High"))</f>
        <v>Medium</v>
      </c>
      <c r="W375" s="3" t="n">
        <f aca="false">D375-C375</f>
        <v>3</v>
      </c>
      <c r="X375" s="3" t="str">
        <f aca="false">TEXT(C375,"mmmm")</f>
        <v>September</v>
      </c>
      <c r="Y375" s="3" t="str">
        <f aca="false">LEFT(G375,1)&amp;MID(G375,FIND(" ",G375)+1,1)</f>
        <v>MR</v>
      </c>
    </row>
    <row r="376" customFormat="false" ht="15" hidden="false" customHeight="false" outlineLevel="0" collapsed="false">
      <c r="A376" s="3" t="n">
        <v>375</v>
      </c>
      <c r="B376" s="3" t="s">
        <v>481</v>
      </c>
      <c r="C376" s="4" t="s">
        <v>1247</v>
      </c>
      <c r="D376" s="4" t="s">
        <v>1262</v>
      </c>
      <c r="E376" s="3" t="s">
        <v>28</v>
      </c>
      <c r="F376" s="3" t="s">
        <v>755</v>
      </c>
      <c r="G376" s="3" t="s">
        <v>756</v>
      </c>
      <c r="H376" s="3" t="s">
        <v>45</v>
      </c>
      <c r="I376" s="3" t="s">
        <v>32</v>
      </c>
      <c r="J376" s="3" t="s">
        <v>104</v>
      </c>
      <c r="K376" s="3" t="s">
        <v>96</v>
      </c>
      <c r="L376" s="3" t="s">
        <v>59</v>
      </c>
      <c r="M376" s="3" t="s">
        <v>105</v>
      </c>
      <c r="N376" s="3" t="s">
        <v>49</v>
      </c>
      <c r="O376" s="3" t="s">
        <v>106</v>
      </c>
      <c r="P376" s="3" t="s">
        <v>107</v>
      </c>
      <c r="Q376" s="5" t="n">
        <v>296.91</v>
      </c>
      <c r="R376" s="3" t="n">
        <v>4</v>
      </c>
      <c r="S376" s="6" t="n">
        <v>0.2</v>
      </c>
      <c r="T376" s="5" t="n">
        <v>44.95</v>
      </c>
      <c r="U376" s="3" t="str">
        <f aca="false">IF(T376&lt;0,"Loss",IF(T376=0,"Break-even","Profit"))</f>
        <v>Profit</v>
      </c>
      <c r="V376" s="3" t="str">
        <f aca="false">IF(Q376&lt;100,"Low",IF(Q376&lt;=500,"Medium","High"))</f>
        <v>Medium</v>
      </c>
      <c r="W376" s="3" t="n">
        <f aca="false">D376-C376</f>
        <v>3</v>
      </c>
      <c r="X376" s="3" t="str">
        <f aca="false">TEXT(C376,"mmmm")</f>
        <v>September</v>
      </c>
      <c r="Y376" s="3" t="str">
        <f aca="false">LEFT(G376,1)&amp;MID(G376,FIND(" ",G376)+1,1)</f>
        <v>MA</v>
      </c>
    </row>
    <row r="377" customFormat="false" ht="15" hidden="false" customHeight="false" outlineLevel="0" collapsed="false">
      <c r="A377" s="3" t="n">
        <v>376</v>
      </c>
      <c r="B377" s="3" t="s">
        <v>1265</v>
      </c>
      <c r="C377" s="4" t="s">
        <v>1247</v>
      </c>
      <c r="D377" s="4" t="s">
        <v>1266</v>
      </c>
      <c r="E377" s="3" t="s">
        <v>28</v>
      </c>
      <c r="F377" s="3" t="s">
        <v>418</v>
      </c>
      <c r="G377" s="3" t="s">
        <v>419</v>
      </c>
      <c r="H377" s="3" t="s">
        <v>45</v>
      </c>
      <c r="I377" s="3" t="s">
        <v>32</v>
      </c>
      <c r="J377" s="3" t="s">
        <v>188</v>
      </c>
      <c r="K377" s="3" t="s">
        <v>189</v>
      </c>
      <c r="L377" s="3" t="s">
        <v>59</v>
      </c>
      <c r="M377" s="3" t="s">
        <v>322</v>
      </c>
      <c r="N377" s="3" t="s">
        <v>89</v>
      </c>
      <c r="O377" s="3" t="s">
        <v>323</v>
      </c>
      <c r="P377" s="3" t="s">
        <v>324</v>
      </c>
      <c r="Q377" s="5" t="n">
        <v>4856.62</v>
      </c>
      <c r="R377" s="3" t="n">
        <v>8</v>
      </c>
      <c r="S377" s="6" t="n">
        <v>0</v>
      </c>
      <c r="T377" s="5" t="n">
        <v>1518.38</v>
      </c>
      <c r="U377" s="3" t="str">
        <f aca="false">IF(T377&lt;0,"Loss",IF(T377=0,"Break-even","Profit"))</f>
        <v>Profit</v>
      </c>
      <c r="V377" s="3" t="str">
        <f aca="false">IF(Q377&lt;100,"Low",IF(Q377&lt;=500,"Medium","High"))</f>
        <v>High</v>
      </c>
      <c r="W377" s="3" t="n">
        <f aca="false">D377-C377</f>
        <v>7</v>
      </c>
      <c r="X377" s="3" t="str">
        <f aca="false">TEXT(C377,"mmmm")</f>
        <v>September</v>
      </c>
      <c r="Y377" s="3" t="str">
        <f aca="false">LEFT(G377,1)&amp;MID(G377,FIND(" ",G377)+1,1)</f>
        <v>PW</v>
      </c>
    </row>
    <row r="378" customFormat="false" ht="15" hidden="false" customHeight="false" outlineLevel="0" collapsed="false">
      <c r="A378" s="3" t="n">
        <v>377</v>
      </c>
      <c r="B378" s="3" t="s">
        <v>639</v>
      </c>
      <c r="C378" s="4" t="s">
        <v>1247</v>
      </c>
      <c r="D378" s="4" t="s">
        <v>1266</v>
      </c>
      <c r="E378" s="3" t="s">
        <v>28</v>
      </c>
      <c r="F378" s="3" t="s">
        <v>199</v>
      </c>
      <c r="G378" s="3" t="s">
        <v>200</v>
      </c>
      <c r="H378" s="3" t="s">
        <v>31</v>
      </c>
      <c r="I378" s="3" t="s">
        <v>32</v>
      </c>
      <c r="J378" s="3" t="s">
        <v>77</v>
      </c>
      <c r="K378" s="3" t="s">
        <v>78</v>
      </c>
      <c r="L378" s="3" t="s">
        <v>59</v>
      </c>
      <c r="M378" s="3" t="s">
        <v>60</v>
      </c>
      <c r="N378" s="3" t="s">
        <v>49</v>
      </c>
      <c r="O378" s="3" t="s">
        <v>61</v>
      </c>
      <c r="P378" s="3" t="s">
        <v>62</v>
      </c>
      <c r="Q378" s="5" t="n">
        <v>22.49</v>
      </c>
      <c r="R378" s="3" t="n">
        <v>1</v>
      </c>
      <c r="S378" s="6" t="n">
        <v>0</v>
      </c>
      <c r="T378" s="5" t="n">
        <v>3.38</v>
      </c>
      <c r="U378" s="3" t="str">
        <f aca="false">IF(T378&lt;0,"Loss",IF(T378=0,"Break-even","Profit"))</f>
        <v>Profit</v>
      </c>
      <c r="V378" s="3" t="str">
        <f aca="false">IF(Q378&lt;100,"Low",IF(Q378&lt;=500,"Medium","High"))</f>
        <v>Low</v>
      </c>
      <c r="W378" s="3" t="n">
        <f aca="false">D378-C378</f>
        <v>7</v>
      </c>
      <c r="X378" s="3" t="str">
        <f aca="false">TEXT(C378,"mmmm")</f>
        <v>September</v>
      </c>
      <c r="Y378" s="3" t="str">
        <f aca="false">LEFT(G378,1)&amp;MID(G378,FIND(" ",G378)+1,1)</f>
        <v>MK</v>
      </c>
    </row>
    <row r="379" customFormat="false" ht="15" hidden="false" customHeight="false" outlineLevel="0" collapsed="false">
      <c r="A379" s="3" t="n">
        <v>378</v>
      </c>
      <c r="B379" s="3" t="s">
        <v>1267</v>
      </c>
      <c r="C379" s="4" t="s">
        <v>1268</v>
      </c>
      <c r="D379" s="4" t="s">
        <v>1269</v>
      </c>
      <c r="E379" s="3" t="s">
        <v>28</v>
      </c>
      <c r="F379" s="3" t="s">
        <v>1270</v>
      </c>
      <c r="G379" s="3" t="s">
        <v>1271</v>
      </c>
      <c r="H379" s="3" t="s">
        <v>45</v>
      </c>
      <c r="I379" s="3" t="s">
        <v>32</v>
      </c>
      <c r="J379" s="3" t="s">
        <v>67</v>
      </c>
      <c r="K379" s="3" t="s">
        <v>68</v>
      </c>
      <c r="L379" s="3" t="s">
        <v>69</v>
      </c>
      <c r="M379" s="3" t="s">
        <v>659</v>
      </c>
      <c r="N379" s="3" t="s">
        <v>89</v>
      </c>
      <c r="O379" s="3" t="s">
        <v>323</v>
      </c>
      <c r="P379" s="3" t="s">
        <v>660</v>
      </c>
      <c r="Q379" s="5" t="n">
        <v>1087.25</v>
      </c>
      <c r="R379" s="3" t="n">
        <v>8</v>
      </c>
      <c r="S379" s="6" t="n">
        <v>0.1</v>
      </c>
      <c r="T379" s="5" t="n">
        <v>-153.31</v>
      </c>
      <c r="U379" s="3" t="str">
        <f aca="false">IF(T379&lt;0,"Loss",IF(T379=0,"Break-even","Profit"))</f>
        <v>Loss</v>
      </c>
      <c r="V379" s="3" t="str">
        <f aca="false">IF(Q379&lt;100,"Low",IF(Q379&lt;=500,"Medium","High"))</f>
        <v>High</v>
      </c>
      <c r="W379" s="3" t="n">
        <f aca="false">D379-C379</f>
        <v>4</v>
      </c>
      <c r="X379" s="3" t="str">
        <f aca="false">TEXT(C379,"mmmm")</f>
        <v>September</v>
      </c>
      <c r="Y379" s="3" t="str">
        <f aca="false">LEFT(G379,1)&amp;MID(G379,FIND(" ",G379)+1,1)</f>
        <v>RM</v>
      </c>
    </row>
    <row r="380" customFormat="false" ht="15" hidden="false" customHeight="false" outlineLevel="0" collapsed="false">
      <c r="A380" s="3" t="n">
        <v>379</v>
      </c>
      <c r="B380" s="3" t="s">
        <v>1151</v>
      </c>
      <c r="C380" s="4" t="s">
        <v>1268</v>
      </c>
      <c r="D380" s="4" t="s">
        <v>1272</v>
      </c>
      <c r="E380" s="3" t="s">
        <v>28</v>
      </c>
      <c r="F380" s="3" t="s">
        <v>1002</v>
      </c>
      <c r="G380" s="3" t="s">
        <v>1003</v>
      </c>
      <c r="H380" s="3" t="s">
        <v>45</v>
      </c>
      <c r="I380" s="3" t="s">
        <v>32</v>
      </c>
      <c r="J380" s="3" t="s">
        <v>33</v>
      </c>
      <c r="K380" s="3" t="s">
        <v>34</v>
      </c>
      <c r="L380" s="3" t="s">
        <v>35</v>
      </c>
      <c r="M380" s="3" t="s">
        <v>165</v>
      </c>
      <c r="N380" s="3" t="s">
        <v>89</v>
      </c>
      <c r="O380" s="3" t="s">
        <v>166</v>
      </c>
      <c r="P380" s="3" t="s">
        <v>167</v>
      </c>
      <c r="Q380" s="5" t="n">
        <v>5123.5</v>
      </c>
      <c r="R380" s="3" t="n">
        <v>8</v>
      </c>
      <c r="S380" s="6" t="n">
        <v>0.3</v>
      </c>
      <c r="T380" s="5" t="n">
        <v>-449.58</v>
      </c>
      <c r="U380" s="3" t="str">
        <f aca="false">IF(T380&lt;0,"Loss",IF(T380=0,"Break-even","Profit"))</f>
        <v>Loss</v>
      </c>
      <c r="V380" s="3" t="str">
        <f aca="false">IF(Q380&lt;100,"Low",IF(Q380&lt;=500,"Medium","High"))</f>
        <v>High</v>
      </c>
      <c r="W380" s="3" t="n">
        <f aca="false">D380-C380</f>
        <v>3</v>
      </c>
      <c r="X380" s="3" t="str">
        <f aca="false">TEXT(C380,"mmmm")</f>
        <v>September</v>
      </c>
      <c r="Y380" s="3" t="str">
        <f aca="false">LEFT(G380,1)&amp;MID(G380,FIND(" ",G380)+1,1)</f>
        <v>JN</v>
      </c>
    </row>
    <row r="381" customFormat="false" ht="15" hidden="false" customHeight="false" outlineLevel="0" collapsed="false">
      <c r="A381" s="3" t="n">
        <v>380</v>
      </c>
      <c r="B381" s="3" t="s">
        <v>1273</v>
      </c>
      <c r="C381" s="4" t="s">
        <v>1268</v>
      </c>
      <c r="D381" s="4" t="s">
        <v>1274</v>
      </c>
      <c r="E381" s="3" t="s">
        <v>28</v>
      </c>
      <c r="F381" s="3" t="s">
        <v>1081</v>
      </c>
      <c r="G381" s="3" t="s">
        <v>1082</v>
      </c>
      <c r="H381" s="3" t="s">
        <v>31</v>
      </c>
      <c r="I381" s="3" t="s">
        <v>32</v>
      </c>
      <c r="J381" s="3" t="s">
        <v>104</v>
      </c>
      <c r="K381" s="3" t="s">
        <v>96</v>
      </c>
      <c r="L381" s="3" t="s">
        <v>59</v>
      </c>
      <c r="M381" s="3" t="s">
        <v>127</v>
      </c>
      <c r="N381" s="3" t="s">
        <v>49</v>
      </c>
      <c r="O381" s="3" t="s">
        <v>61</v>
      </c>
      <c r="P381" s="3" t="s">
        <v>128</v>
      </c>
      <c r="Q381" s="5" t="n">
        <v>102.75</v>
      </c>
      <c r="R381" s="3" t="n">
        <v>12</v>
      </c>
      <c r="S381" s="6" t="n">
        <v>0</v>
      </c>
      <c r="T381" s="5" t="n">
        <v>-11.38</v>
      </c>
      <c r="U381" s="3" t="str">
        <f aca="false">IF(T381&lt;0,"Loss",IF(T381=0,"Break-even","Profit"))</f>
        <v>Loss</v>
      </c>
      <c r="V381" s="3" t="str">
        <f aca="false">IF(Q381&lt;100,"Low",IF(Q381&lt;=500,"Medium","High"))</f>
        <v>Medium</v>
      </c>
      <c r="W381" s="3" t="n">
        <f aca="false">D381-C381</f>
        <v>5</v>
      </c>
      <c r="X381" s="3" t="str">
        <f aca="false">TEXT(C381,"mmmm")</f>
        <v>September</v>
      </c>
      <c r="Y381" s="3" t="str">
        <f aca="false">LEFT(G381,1)&amp;MID(G381,FIND(" ",G381)+1,1)</f>
        <v>SB</v>
      </c>
    </row>
    <row r="382" customFormat="false" ht="15" hidden="false" customHeight="false" outlineLevel="0" collapsed="false">
      <c r="A382" s="3" t="n">
        <v>381</v>
      </c>
      <c r="B382" s="3" t="s">
        <v>1275</v>
      </c>
      <c r="C382" s="4" t="s">
        <v>1276</v>
      </c>
      <c r="D382" s="4" t="s">
        <v>1274</v>
      </c>
      <c r="E382" s="3" t="s">
        <v>28</v>
      </c>
      <c r="F382" s="3" t="s">
        <v>1121</v>
      </c>
      <c r="G382" s="3" t="s">
        <v>1122</v>
      </c>
      <c r="H382" s="3" t="s">
        <v>45</v>
      </c>
      <c r="I382" s="3" t="s">
        <v>32</v>
      </c>
      <c r="J382" s="3" t="s">
        <v>133</v>
      </c>
      <c r="K382" s="3" t="s">
        <v>134</v>
      </c>
      <c r="L382" s="3" t="s">
        <v>69</v>
      </c>
      <c r="M382" s="3" t="s">
        <v>420</v>
      </c>
      <c r="N382" s="3" t="s">
        <v>49</v>
      </c>
      <c r="O382" s="3" t="s">
        <v>80</v>
      </c>
      <c r="P382" s="3" t="s">
        <v>421</v>
      </c>
      <c r="Q382" s="5" t="n">
        <v>1082.84</v>
      </c>
      <c r="R382" s="3" t="n">
        <v>13</v>
      </c>
      <c r="S382" s="6" t="n">
        <v>0.1</v>
      </c>
      <c r="T382" s="5" t="n">
        <v>200.44</v>
      </c>
      <c r="U382" s="3" t="str">
        <f aca="false">IF(T382&lt;0,"Loss",IF(T382=0,"Break-even","Profit"))</f>
        <v>Profit</v>
      </c>
      <c r="V382" s="3" t="str">
        <f aca="false">IF(Q382&lt;100,"Low",IF(Q382&lt;=500,"Medium","High"))</f>
        <v>High</v>
      </c>
      <c r="W382" s="3" t="n">
        <f aca="false">D382-C382</f>
        <v>4</v>
      </c>
      <c r="X382" s="3" t="str">
        <f aca="false">TEXT(C382,"mmmm")</f>
        <v>September</v>
      </c>
      <c r="Y382" s="3" t="str">
        <f aca="false">LEFT(G382,1)&amp;MID(G382,FIND(" ",G382)+1,1)</f>
        <v>MC</v>
      </c>
    </row>
    <row r="383" customFormat="false" ht="15" hidden="false" customHeight="false" outlineLevel="0" collapsed="false">
      <c r="A383" s="3" t="n">
        <v>382</v>
      </c>
      <c r="B383" s="3" t="s">
        <v>1277</v>
      </c>
      <c r="C383" s="4" t="s">
        <v>1262</v>
      </c>
      <c r="D383" s="4" t="s">
        <v>1266</v>
      </c>
      <c r="E383" s="3" t="s">
        <v>28</v>
      </c>
      <c r="F383" s="3" t="s">
        <v>1278</v>
      </c>
      <c r="G383" s="3" t="s">
        <v>1279</v>
      </c>
      <c r="H383" s="3" t="s">
        <v>45</v>
      </c>
      <c r="I383" s="3" t="s">
        <v>32</v>
      </c>
      <c r="J383" s="3" t="s">
        <v>663</v>
      </c>
      <c r="K383" s="3" t="s">
        <v>307</v>
      </c>
      <c r="L383" s="3" t="s">
        <v>69</v>
      </c>
      <c r="M383" s="3" t="s">
        <v>470</v>
      </c>
      <c r="N383" s="3" t="s">
        <v>49</v>
      </c>
      <c r="O383" s="3" t="s">
        <v>159</v>
      </c>
      <c r="P383" s="3" t="s">
        <v>471</v>
      </c>
      <c r="Q383" s="5" t="n">
        <v>331.74</v>
      </c>
      <c r="R383" s="3" t="n">
        <v>7</v>
      </c>
      <c r="S383" s="6" t="n">
        <v>0.1</v>
      </c>
      <c r="T383" s="5" t="n">
        <v>107.19</v>
      </c>
      <c r="U383" s="3" t="str">
        <f aca="false">IF(T383&lt;0,"Loss",IF(T383=0,"Break-even","Profit"))</f>
        <v>Profit</v>
      </c>
      <c r="V383" s="3" t="str">
        <f aca="false">IF(Q383&lt;100,"Low",IF(Q383&lt;=500,"Medium","High"))</f>
        <v>Medium</v>
      </c>
      <c r="W383" s="3" t="n">
        <f aca="false">D383-C383</f>
        <v>4</v>
      </c>
      <c r="X383" s="3" t="str">
        <f aca="false">TEXT(C383,"mmmm")</f>
        <v>October</v>
      </c>
      <c r="Y383" s="3" t="str">
        <f aca="false">LEFT(G383,1)&amp;MID(G383,FIND(" ",G383)+1,1)</f>
        <v>MC</v>
      </c>
    </row>
    <row r="384" customFormat="false" ht="15" hidden="false" customHeight="false" outlineLevel="0" collapsed="false">
      <c r="A384" s="3" t="n">
        <v>383</v>
      </c>
      <c r="B384" s="3" t="s">
        <v>1280</v>
      </c>
      <c r="C384" s="4" t="s">
        <v>1262</v>
      </c>
      <c r="D384" s="4" t="s">
        <v>1281</v>
      </c>
      <c r="E384" s="3" t="s">
        <v>28</v>
      </c>
      <c r="F384" s="3" t="s">
        <v>320</v>
      </c>
      <c r="G384" s="3" t="s">
        <v>321</v>
      </c>
      <c r="H384" s="3" t="s">
        <v>45</v>
      </c>
      <c r="I384" s="3" t="s">
        <v>32</v>
      </c>
      <c r="J384" s="3" t="s">
        <v>476</v>
      </c>
      <c r="K384" s="3" t="s">
        <v>366</v>
      </c>
      <c r="L384" s="3" t="s">
        <v>157</v>
      </c>
      <c r="M384" s="3" t="s">
        <v>316</v>
      </c>
      <c r="N384" s="3" t="s">
        <v>49</v>
      </c>
      <c r="O384" s="3" t="s">
        <v>143</v>
      </c>
      <c r="P384" s="3" t="s">
        <v>317</v>
      </c>
      <c r="Q384" s="5" t="n">
        <v>742.44</v>
      </c>
      <c r="R384" s="3" t="n">
        <v>9</v>
      </c>
      <c r="S384" s="6" t="n">
        <v>0.1</v>
      </c>
      <c r="T384" s="5" t="n">
        <v>-172.95</v>
      </c>
      <c r="U384" s="3" t="str">
        <f aca="false">IF(T384&lt;0,"Loss",IF(T384=0,"Break-even","Profit"))</f>
        <v>Loss</v>
      </c>
      <c r="V384" s="3" t="str">
        <f aca="false">IF(Q384&lt;100,"Low",IF(Q384&lt;=500,"Medium","High"))</f>
        <v>High</v>
      </c>
      <c r="W384" s="3" t="n">
        <f aca="false">D384-C384</f>
        <v>7</v>
      </c>
      <c r="X384" s="3" t="str">
        <f aca="false">TEXT(C384,"mmmm")</f>
        <v>October</v>
      </c>
      <c r="Y384" s="3" t="str">
        <f aca="false">LEFT(G384,1)&amp;MID(G384,FIND(" ",G384)+1,1)</f>
        <v>OW</v>
      </c>
    </row>
    <row r="385" customFormat="false" ht="15" hidden="false" customHeight="false" outlineLevel="0" collapsed="false">
      <c r="A385" s="3" t="n">
        <v>384</v>
      </c>
      <c r="B385" s="3" t="s">
        <v>693</v>
      </c>
      <c r="C385" s="4" t="s">
        <v>1262</v>
      </c>
      <c r="D385" s="4" t="s">
        <v>1266</v>
      </c>
      <c r="E385" s="3" t="s">
        <v>84</v>
      </c>
      <c r="F385" s="3" t="s">
        <v>928</v>
      </c>
      <c r="G385" s="3" t="s">
        <v>929</v>
      </c>
      <c r="H385" s="3" t="s">
        <v>45</v>
      </c>
      <c r="I385" s="3" t="s">
        <v>32</v>
      </c>
      <c r="J385" s="3" t="s">
        <v>201</v>
      </c>
      <c r="K385" s="3" t="s">
        <v>202</v>
      </c>
      <c r="L385" s="3" t="s">
        <v>35</v>
      </c>
      <c r="M385" s="3" t="s">
        <v>79</v>
      </c>
      <c r="N385" s="3" t="s">
        <v>49</v>
      </c>
      <c r="O385" s="3" t="s">
        <v>80</v>
      </c>
      <c r="P385" s="3" t="s">
        <v>81</v>
      </c>
      <c r="Q385" s="5" t="n">
        <v>98.29</v>
      </c>
      <c r="R385" s="3" t="n">
        <v>1</v>
      </c>
      <c r="S385" s="6" t="n">
        <v>0</v>
      </c>
      <c r="T385" s="5" t="n">
        <v>32.75</v>
      </c>
      <c r="U385" s="3" t="str">
        <f aca="false">IF(T385&lt;0,"Loss",IF(T385=0,"Break-even","Profit"))</f>
        <v>Profit</v>
      </c>
      <c r="V385" s="3" t="str">
        <f aca="false">IF(Q385&lt;100,"Low",IF(Q385&lt;=500,"Medium","High"))</f>
        <v>Low</v>
      </c>
      <c r="W385" s="3" t="n">
        <f aca="false">D385-C385</f>
        <v>4</v>
      </c>
      <c r="X385" s="3" t="str">
        <f aca="false">TEXT(C385,"mmmm")</f>
        <v>October</v>
      </c>
      <c r="Y385" s="3" t="str">
        <f aca="false">LEFT(G385,1)&amp;MID(G385,FIND(" ",G385)+1,1)</f>
        <v>RA</v>
      </c>
    </row>
    <row r="386" customFormat="false" ht="15" hidden="false" customHeight="false" outlineLevel="0" collapsed="false">
      <c r="A386" s="3" t="n">
        <v>385</v>
      </c>
      <c r="B386" s="3" t="s">
        <v>570</v>
      </c>
      <c r="C386" s="4" t="s">
        <v>1272</v>
      </c>
      <c r="D386" s="4" t="s">
        <v>1282</v>
      </c>
      <c r="E386" s="3" t="s">
        <v>28</v>
      </c>
      <c r="F386" s="3" t="s">
        <v>1283</v>
      </c>
      <c r="G386" s="3" t="s">
        <v>1284</v>
      </c>
      <c r="H386" s="3" t="s">
        <v>56</v>
      </c>
      <c r="I386" s="3" t="s">
        <v>32</v>
      </c>
      <c r="J386" s="3" t="s">
        <v>208</v>
      </c>
      <c r="K386" s="3" t="s">
        <v>134</v>
      </c>
      <c r="L386" s="3" t="s">
        <v>69</v>
      </c>
      <c r="M386" s="3" t="s">
        <v>404</v>
      </c>
      <c r="N386" s="3" t="s">
        <v>89</v>
      </c>
      <c r="O386" s="3" t="s">
        <v>166</v>
      </c>
      <c r="P386" s="3" t="s">
        <v>405</v>
      </c>
      <c r="Q386" s="5" t="n">
        <v>4023.99</v>
      </c>
      <c r="R386" s="3" t="n">
        <v>6</v>
      </c>
      <c r="S386" s="6" t="n">
        <v>0.1</v>
      </c>
      <c r="T386" s="5" t="n">
        <v>32.04</v>
      </c>
      <c r="U386" s="3" t="str">
        <f aca="false">IF(T386&lt;0,"Loss",IF(T386=0,"Break-even","Profit"))</f>
        <v>Profit</v>
      </c>
      <c r="V386" s="3" t="str">
        <f aca="false">IF(Q386&lt;100,"Low",IF(Q386&lt;=500,"Medium","High"))</f>
        <v>High</v>
      </c>
      <c r="W386" s="3" t="n">
        <f aca="false">D386-C386</f>
        <v>4</v>
      </c>
      <c r="X386" s="3" t="str">
        <f aca="false">TEXT(C386,"mmmm")</f>
        <v>October</v>
      </c>
      <c r="Y386" s="3" t="str">
        <f aca="false">LEFT(G386,1)&amp;MID(G386,FIND(" ",G386)+1,1)</f>
        <v>LK</v>
      </c>
    </row>
    <row r="387" customFormat="false" ht="15" hidden="false" customHeight="false" outlineLevel="0" collapsed="false">
      <c r="A387" s="3" t="n">
        <v>386</v>
      </c>
      <c r="B387" s="3" t="s">
        <v>1285</v>
      </c>
      <c r="C387" s="4" t="s">
        <v>1269</v>
      </c>
      <c r="D387" s="4" t="s">
        <v>1266</v>
      </c>
      <c r="E387" s="3" t="s">
        <v>84</v>
      </c>
      <c r="F387" s="3" t="s">
        <v>486</v>
      </c>
      <c r="G387" s="3" t="s">
        <v>487</v>
      </c>
      <c r="H387" s="3" t="s">
        <v>56</v>
      </c>
      <c r="I387" s="3" t="s">
        <v>32</v>
      </c>
      <c r="J387" s="3" t="s">
        <v>663</v>
      </c>
      <c r="K387" s="3" t="s">
        <v>307</v>
      </c>
      <c r="L387" s="3" t="s">
        <v>69</v>
      </c>
      <c r="M387" s="3" t="s">
        <v>79</v>
      </c>
      <c r="N387" s="3" t="s">
        <v>49</v>
      </c>
      <c r="O387" s="3" t="s">
        <v>80</v>
      </c>
      <c r="P387" s="3" t="s">
        <v>81</v>
      </c>
      <c r="Q387" s="5" t="n">
        <v>933.3</v>
      </c>
      <c r="R387" s="3" t="n">
        <v>12</v>
      </c>
      <c r="S387" s="6" t="n">
        <v>0.1</v>
      </c>
      <c r="T387" s="5" t="n">
        <v>286.56</v>
      </c>
      <c r="U387" s="3" t="str">
        <f aca="false">IF(T387&lt;0,"Loss",IF(T387=0,"Break-even","Profit"))</f>
        <v>Profit</v>
      </c>
      <c r="V387" s="3" t="str">
        <f aca="false">IF(Q387&lt;100,"Low",IF(Q387&lt;=500,"Medium","High"))</f>
        <v>High</v>
      </c>
      <c r="W387" s="3" t="n">
        <f aca="false">D387-C387</f>
        <v>2</v>
      </c>
      <c r="X387" s="3" t="str">
        <f aca="false">TEXT(C387,"mmmm")</f>
        <v>October</v>
      </c>
      <c r="Y387" s="3" t="str">
        <f aca="false">LEFT(G387,1)&amp;MID(G387,FIND(" ",G387)+1,1)</f>
        <v>JB</v>
      </c>
    </row>
    <row r="388" customFormat="false" ht="15" hidden="false" customHeight="false" outlineLevel="0" collapsed="false">
      <c r="A388" s="3" t="n">
        <v>387</v>
      </c>
      <c r="B388" s="3" t="s">
        <v>1286</v>
      </c>
      <c r="C388" s="4" t="s">
        <v>1269</v>
      </c>
      <c r="D388" s="4" t="s">
        <v>1287</v>
      </c>
      <c r="E388" s="3" t="s">
        <v>28</v>
      </c>
      <c r="F388" s="3" t="s">
        <v>1288</v>
      </c>
      <c r="G388" s="3" t="s">
        <v>1289</v>
      </c>
      <c r="H388" s="3" t="s">
        <v>45</v>
      </c>
      <c r="I388" s="3" t="s">
        <v>32</v>
      </c>
      <c r="J388" s="3" t="s">
        <v>616</v>
      </c>
      <c r="K388" s="3" t="s">
        <v>156</v>
      </c>
      <c r="L388" s="3" t="s">
        <v>157</v>
      </c>
      <c r="M388" s="3" t="s">
        <v>97</v>
      </c>
      <c r="N388" s="3" t="s">
        <v>89</v>
      </c>
      <c r="O388" s="3" t="s">
        <v>90</v>
      </c>
      <c r="P388" s="3" t="s">
        <v>98</v>
      </c>
      <c r="Q388" s="5" t="n">
        <v>4512.01</v>
      </c>
      <c r="R388" s="3" t="n">
        <v>8</v>
      </c>
      <c r="S388" s="6" t="n">
        <v>0</v>
      </c>
      <c r="T388" s="5" t="n">
        <v>543.49</v>
      </c>
      <c r="U388" s="3" t="str">
        <f aca="false">IF(T388&lt;0,"Loss",IF(T388=0,"Break-even","Profit"))</f>
        <v>Profit</v>
      </c>
      <c r="V388" s="3" t="str">
        <f aca="false">IF(Q388&lt;100,"Low",IF(Q388&lt;=500,"Medium","High"))</f>
        <v>High</v>
      </c>
      <c r="W388" s="3" t="n">
        <f aca="false">D388-C388</f>
        <v>7</v>
      </c>
      <c r="X388" s="3" t="str">
        <f aca="false">TEXT(C388,"mmmm")</f>
        <v>October</v>
      </c>
      <c r="Y388" s="3" t="str">
        <f aca="false">LEFT(G388,1)&amp;MID(G388,FIND(" ",G388)+1,1)</f>
        <v>LT</v>
      </c>
    </row>
    <row r="389" customFormat="false" ht="15" hidden="false" customHeight="false" outlineLevel="0" collapsed="false">
      <c r="A389" s="3" t="n">
        <v>388</v>
      </c>
      <c r="B389" s="3" t="s">
        <v>1290</v>
      </c>
      <c r="C389" s="4" t="s">
        <v>1269</v>
      </c>
      <c r="D389" s="4" t="s">
        <v>1282</v>
      </c>
      <c r="E389" s="3" t="s">
        <v>84</v>
      </c>
      <c r="F389" s="3" t="s">
        <v>712</v>
      </c>
      <c r="G389" s="3" t="s">
        <v>713</v>
      </c>
      <c r="H389" s="3" t="s">
        <v>31</v>
      </c>
      <c r="I389" s="3" t="s">
        <v>32</v>
      </c>
      <c r="J389" s="3" t="s">
        <v>87</v>
      </c>
      <c r="K389" s="3" t="s">
        <v>68</v>
      </c>
      <c r="L389" s="3" t="s">
        <v>69</v>
      </c>
      <c r="M389" s="3" t="s">
        <v>158</v>
      </c>
      <c r="N389" s="3" t="s">
        <v>49</v>
      </c>
      <c r="O389" s="3" t="s">
        <v>159</v>
      </c>
      <c r="P389" s="3" t="s">
        <v>160</v>
      </c>
      <c r="Q389" s="5" t="n">
        <v>497.07</v>
      </c>
      <c r="R389" s="3" t="n">
        <v>5</v>
      </c>
      <c r="S389" s="6" t="n">
        <v>0.2</v>
      </c>
      <c r="T389" s="5" t="n">
        <v>-82.54</v>
      </c>
      <c r="U389" s="3" t="str">
        <f aca="false">IF(T389&lt;0,"Loss",IF(T389=0,"Break-even","Profit"))</f>
        <v>Loss</v>
      </c>
      <c r="V389" s="3" t="str">
        <f aca="false">IF(Q389&lt;100,"Low",IF(Q389&lt;=500,"Medium","High"))</f>
        <v>Medium</v>
      </c>
      <c r="W389" s="3" t="n">
        <f aca="false">D389-C389</f>
        <v>3</v>
      </c>
      <c r="X389" s="3" t="str">
        <f aca="false">TEXT(C389,"mmmm")</f>
        <v>October</v>
      </c>
      <c r="Y389" s="3" t="str">
        <f aca="false">LEFT(G389,1)&amp;MID(G389,FIND(" ",G389)+1,1)</f>
        <v>PJ</v>
      </c>
    </row>
    <row r="390" customFormat="false" ht="15" hidden="false" customHeight="false" outlineLevel="0" collapsed="false">
      <c r="A390" s="3" t="n">
        <v>389</v>
      </c>
      <c r="B390" s="3" t="s">
        <v>1291</v>
      </c>
      <c r="C390" s="4" t="s">
        <v>1274</v>
      </c>
      <c r="D390" s="4" t="s">
        <v>1282</v>
      </c>
      <c r="E390" s="3" t="s">
        <v>84</v>
      </c>
      <c r="F390" s="3" t="s">
        <v>1292</v>
      </c>
      <c r="G390" s="3" t="s">
        <v>1293</v>
      </c>
      <c r="H390" s="3" t="s">
        <v>56</v>
      </c>
      <c r="I390" s="3" t="s">
        <v>32</v>
      </c>
      <c r="J390" s="3" t="s">
        <v>252</v>
      </c>
      <c r="K390" s="3" t="s">
        <v>172</v>
      </c>
      <c r="L390" s="3" t="s">
        <v>157</v>
      </c>
      <c r="M390" s="3" t="s">
        <v>290</v>
      </c>
      <c r="N390" s="3" t="s">
        <v>37</v>
      </c>
      <c r="O390" s="3" t="s">
        <v>38</v>
      </c>
      <c r="P390" s="3" t="s">
        <v>291</v>
      </c>
      <c r="Q390" s="5" t="n">
        <v>10209.22</v>
      </c>
      <c r="R390" s="3" t="n">
        <v>7</v>
      </c>
      <c r="S390" s="6" t="n">
        <v>0.1</v>
      </c>
      <c r="T390" s="5" t="n">
        <v>1968.09</v>
      </c>
      <c r="U390" s="3" t="str">
        <f aca="false">IF(T390&lt;0,"Loss",IF(T390=0,"Break-even","Profit"))</f>
        <v>Profit</v>
      </c>
      <c r="V390" s="3" t="str">
        <f aca="false">IF(Q390&lt;100,"Low",IF(Q390&lt;=500,"Medium","High"))</f>
        <v>High</v>
      </c>
      <c r="W390" s="3" t="n">
        <f aca="false">D390-C390</f>
        <v>2</v>
      </c>
      <c r="X390" s="3" t="str">
        <f aca="false">TEXT(C390,"mmmm")</f>
        <v>October</v>
      </c>
      <c r="Y390" s="3" t="str">
        <f aca="false">LEFT(G390,1)&amp;MID(G390,FIND(" ",G390)+1,1)</f>
        <v>MW</v>
      </c>
    </row>
    <row r="391" customFormat="false" ht="15" hidden="false" customHeight="false" outlineLevel="0" collapsed="false">
      <c r="A391" s="3" t="n">
        <v>390</v>
      </c>
      <c r="B391" s="3" t="s">
        <v>890</v>
      </c>
      <c r="C391" s="4" t="s">
        <v>1294</v>
      </c>
      <c r="D391" s="4" t="s">
        <v>1295</v>
      </c>
      <c r="E391" s="3" t="s">
        <v>28</v>
      </c>
      <c r="F391" s="3" t="s">
        <v>1296</v>
      </c>
      <c r="G391" s="3" t="s">
        <v>1297</v>
      </c>
      <c r="H391" s="3" t="s">
        <v>56</v>
      </c>
      <c r="I391" s="3" t="s">
        <v>32</v>
      </c>
      <c r="J391" s="3" t="s">
        <v>87</v>
      </c>
      <c r="K391" s="3" t="s">
        <v>68</v>
      </c>
      <c r="L391" s="3" t="s">
        <v>69</v>
      </c>
      <c r="M391" s="3" t="s">
        <v>322</v>
      </c>
      <c r="N391" s="3" t="s">
        <v>89</v>
      </c>
      <c r="O391" s="3" t="s">
        <v>323</v>
      </c>
      <c r="P391" s="3" t="s">
        <v>324</v>
      </c>
      <c r="Q391" s="5" t="n">
        <v>405.34</v>
      </c>
      <c r="R391" s="3" t="n">
        <v>2</v>
      </c>
      <c r="S391" s="6" t="n">
        <v>0.2</v>
      </c>
      <c r="T391" s="5" t="n">
        <v>-2.61</v>
      </c>
      <c r="U391" s="3" t="str">
        <f aca="false">IF(T391&lt;0,"Loss",IF(T391=0,"Break-even","Profit"))</f>
        <v>Loss</v>
      </c>
      <c r="V391" s="3" t="str">
        <f aca="false">IF(Q391&lt;100,"Low",IF(Q391&lt;=500,"Medium","High"))</f>
        <v>Medium</v>
      </c>
      <c r="W391" s="3" t="n">
        <f aca="false">D391-C391</f>
        <v>6</v>
      </c>
      <c r="X391" s="3" t="str">
        <f aca="false">TEXT(C391,"mmmm")</f>
        <v>October</v>
      </c>
      <c r="Y391" s="3" t="str">
        <f aca="false">LEFT(G391,1)&amp;MID(G391,FIND(" ",G391)+1,1)</f>
        <v>JW</v>
      </c>
    </row>
    <row r="392" customFormat="false" ht="15" hidden="false" customHeight="false" outlineLevel="0" collapsed="false">
      <c r="A392" s="3" t="n">
        <v>391</v>
      </c>
      <c r="B392" s="3" t="s">
        <v>1298</v>
      </c>
      <c r="C392" s="4" t="s">
        <v>1294</v>
      </c>
      <c r="D392" s="4" t="s">
        <v>1299</v>
      </c>
      <c r="E392" s="3" t="s">
        <v>28</v>
      </c>
      <c r="F392" s="3" t="s">
        <v>384</v>
      </c>
      <c r="G392" s="3" t="s">
        <v>385</v>
      </c>
      <c r="H392" s="3" t="s">
        <v>45</v>
      </c>
      <c r="I392" s="3" t="s">
        <v>32</v>
      </c>
      <c r="J392" s="3" t="s">
        <v>873</v>
      </c>
      <c r="K392" s="3" t="s">
        <v>387</v>
      </c>
      <c r="L392" s="3" t="s">
        <v>35</v>
      </c>
      <c r="M392" s="3" t="s">
        <v>165</v>
      </c>
      <c r="N392" s="3" t="s">
        <v>89</v>
      </c>
      <c r="O392" s="3" t="s">
        <v>166</v>
      </c>
      <c r="P392" s="3" t="s">
        <v>167</v>
      </c>
      <c r="Q392" s="5" t="n">
        <v>4216.06</v>
      </c>
      <c r="R392" s="3" t="n">
        <v>7</v>
      </c>
      <c r="S392" s="6" t="n">
        <v>0.1</v>
      </c>
      <c r="T392" s="5" t="n">
        <v>-377.42</v>
      </c>
      <c r="U392" s="3" t="str">
        <f aca="false">IF(T392&lt;0,"Loss",IF(T392=0,"Break-even","Profit"))</f>
        <v>Loss</v>
      </c>
      <c r="V392" s="3" t="str">
        <f aca="false">IF(Q392&lt;100,"Low",IF(Q392&lt;=500,"Medium","High"))</f>
        <v>High</v>
      </c>
      <c r="W392" s="3" t="n">
        <f aca="false">D392-C392</f>
        <v>4</v>
      </c>
      <c r="X392" s="3" t="str">
        <f aca="false">TEXT(C392,"mmmm")</f>
        <v>October</v>
      </c>
      <c r="Y392" s="3" t="str">
        <f aca="false">LEFT(G392,1)&amp;MID(G392,FIND(" ",G392)+1,1)</f>
        <v>DJ</v>
      </c>
    </row>
    <row r="393" customFormat="false" ht="15" hidden="false" customHeight="false" outlineLevel="0" collapsed="false">
      <c r="A393" s="3" t="n">
        <v>392</v>
      </c>
      <c r="B393" s="3" t="s">
        <v>1300</v>
      </c>
      <c r="C393" s="4" t="s">
        <v>1294</v>
      </c>
      <c r="D393" s="4" t="s">
        <v>1287</v>
      </c>
      <c r="E393" s="3" t="s">
        <v>28</v>
      </c>
      <c r="F393" s="3" t="s">
        <v>1301</v>
      </c>
      <c r="G393" s="3" t="s">
        <v>1302</v>
      </c>
      <c r="H393" s="3" t="s">
        <v>45</v>
      </c>
      <c r="I393" s="3" t="s">
        <v>32</v>
      </c>
      <c r="J393" s="3" t="s">
        <v>148</v>
      </c>
      <c r="K393" s="3" t="s">
        <v>78</v>
      </c>
      <c r="L393" s="3" t="s">
        <v>59</v>
      </c>
      <c r="M393" s="3" t="s">
        <v>280</v>
      </c>
      <c r="N393" s="3" t="s">
        <v>89</v>
      </c>
      <c r="O393" s="3" t="s">
        <v>166</v>
      </c>
      <c r="P393" s="3" t="s">
        <v>281</v>
      </c>
      <c r="Q393" s="5" t="n">
        <v>1213.03</v>
      </c>
      <c r="R393" s="3" t="n">
        <v>6</v>
      </c>
      <c r="S393" s="6" t="n">
        <v>0</v>
      </c>
      <c r="T393" s="5" t="n">
        <v>217.09</v>
      </c>
      <c r="U393" s="3" t="str">
        <f aca="false">IF(T393&lt;0,"Loss",IF(T393=0,"Break-even","Profit"))</f>
        <v>Profit</v>
      </c>
      <c r="V393" s="3" t="str">
        <f aca="false">IF(Q393&lt;100,"Low",IF(Q393&lt;=500,"Medium","High"))</f>
        <v>High</v>
      </c>
      <c r="W393" s="3" t="n">
        <f aca="false">D393-C393</f>
        <v>3</v>
      </c>
      <c r="X393" s="3" t="str">
        <f aca="false">TEXT(C393,"mmmm")</f>
        <v>October</v>
      </c>
      <c r="Y393" s="3" t="str">
        <f aca="false">LEFT(G393,1)&amp;MID(G393,FIND(" ",G393)+1,1)</f>
        <v>JA</v>
      </c>
    </row>
    <row r="394" customFormat="false" ht="15" hidden="false" customHeight="false" outlineLevel="0" collapsed="false">
      <c r="A394" s="3" t="n">
        <v>393</v>
      </c>
      <c r="B394" s="3" t="s">
        <v>846</v>
      </c>
      <c r="C394" s="4" t="s">
        <v>1281</v>
      </c>
      <c r="D394" s="4" t="s">
        <v>1303</v>
      </c>
      <c r="E394" s="3" t="s">
        <v>28</v>
      </c>
      <c r="F394" s="3" t="s">
        <v>871</v>
      </c>
      <c r="G394" s="3" t="s">
        <v>872</v>
      </c>
      <c r="H394" s="3" t="s">
        <v>56</v>
      </c>
      <c r="I394" s="3" t="s">
        <v>32</v>
      </c>
      <c r="J394" s="3" t="s">
        <v>57</v>
      </c>
      <c r="K394" s="3" t="s">
        <v>58</v>
      </c>
      <c r="L394" s="3" t="s">
        <v>59</v>
      </c>
      <c r="M394" s="3" t="s">
        <v>420</v>
      </c>
      <c r="N394" s="3" t="s">
        <v>49</v>
      </c>
      <c r="O394" s="3" t="s">
        <v>80</v>
      </c>
      <c r="P394" s="3" t="s">
        <v>421</v>
      </c>
      <c r="Q394" s="5" t="n">
        <v>187.76</v>
      </c>
      <c r="R394" s="3" t="n">
        <v>6</v>
      </c>
      <c r="S394" s="6" t="n">
        <v>0.1</v>
      </c>
      <c r="T394" s="5" t="n">
        <v>60.98</v>
      </c>
      <c r="U394" s="3" t="str">
        <f aca="false">IF(T394&lt;0,"Loss",IF(T394=0,"Break-even","Profit"))</f>
        <v>Profit</v>
      </c>
      <c r="V394" s="3" t="str">
        <f aca="false">IF(Q394&lt;100,"Low",IF(Q394&lt;=500,"Medium","High"))</f>
        <v>Medium</v>
      </c>
      <c r="W394" s="3" t="n">
        <f aca="false">D394-C394</f>
        <v>6</v>
      </c>
      <c r="X394" s="3" t="str">
        <f aca="false">TEXT(C394,"mmmm")</f>
        <v>October</v>
      </c>
      <c r="Y394" s="3" t="str">
        <f aca="false">LEFT(G394,1)&amp;MID(G394,FIND(" ",G394)+1,1)</f>
        <v>MM</v>
      </c>
    </row>
    <row r="395" customFormat="false" ht="15" hidden="false" customHeight="false" outlineLevel="0" collapsed="false">
      <c r="A395" s="3" t="n">
        <v>394</v>
      </c>
      <c r="B395" s="3" t="s">
        <v>1304</v>
      </c>
      <c r="C395" s="4" t="s">
        <v>1281</v>
      </c>
      <c r="D395" s="4" t="s">
        <v>1305</v>
      </c>
      <c r="E395" s="3" t="s">
        <v>84</v>
      </c>
      <c r="F395" s="3" t="s">
        <v>1306</v>
      </c>
      <c r="G395" s="3" t="s">
        <v>1307</v>
      </c>
      <c r="H395" s="3" t="s">
        <v>31</v>
      </c>
      <c r="I395" s="3" t="s">
        <v>32</v>
      </c>
      <c r="J395" s="3" t="s">
        <v>548</v>
      </c>
      <c r="K395" s="3" t="s">
        <v>244</v>
      </c>
      <c r="L395" s="3" t="s">
        <v>157</v>
      </c>
      <c r="M395" s="3" t="s">
        <v>70</v>
      </c>
      <c r="N395" s="3" t="s">
        <v>37</v>
      </c>
      <c r="O395" s="3" t="s">
        <v>71</v>
      </c>
      <c r="P395" s="3" t="s">
        <v>72</v>
      </c>
      <c r="Q395" s="5" t="n">
        <v>316.63</v>
      </c>
      <c r="R395" s="3" t="n">
        <v>2</v>
      </c>
      <c r="S395" s="6" t="n">
        <v>0.5</v>
      </c>
      <c r="T395" s="5" t="n">
        <v>18.53</v>
      </c>
      <c r="U395" s="3" t="str">
        <f aca="false">IF(T395&lt;0,"Loss",IF(T395=0,"Break-even","Profit"))</f>
        <v>Profit</v>
      </c>
      <c r="V395" s="3" t="str">
        <f aca="false">IF(Q395&lt;100,"Low",IF(Q395&lt;=500,"Medium","High"))</f>
        <v>Medium</v>
      </c>
      <c r="W395" s="3" t="n">
        <f aca="false">D395-C395</f>
        <v>4</v>
      </c>
      <c r="X395" s="3" t="str">
        <f aca="false">TEXT(C395,"mmmm")</f>
        <v>October</v>
      </c>
      <c r="Y395" s="3" t="str">
        <f aca="false">LEFT(G395,1)&amp;MID(G395,FIND(" ",G395)+1,1)</f>
        <v>PD</v>
      </c>
    </row>
    <row r="396" customFormat="false" ht="15" hidden="false" customHeight="false" outlineLevel="0" collapsed="false">
      <c r="A396" s="3" t="n">
        <v>395</v>
      </c>
      <c r="B396" s="3" t="s">
        <v>1308</v>
      </c>
      <c r="C396" s="4" t="s">
        <v>1309</v>
      </c>
      <c r="D396" s="4" t="s">
        <v>1305</v>
      </c>
      <c r="E396" s="3" t="s">
        <v>28</v>
      </c>
      <c r="F396" s="3" t="s">
        <v>1310</v>
      </c>
      <c r="G396" s="3" t="s">
        <v>1311</v>
      </c>
      <c r="H396" s="3" t="s">
        <v>56</v>
      </c>
      <c r="I396" s="3" t="s">
        <v>32</v>
      </c>
      <c r="J396" s="3" t="s">
        <v>46</v>
      </c>
      <c r="K396" s="3" t="s">
        <v>47</v>
      </c>
      <c r="L396" s="3" t="s">
        <v>35</v>
      </c>
      <c r="M396" s="3" t="s">
        <v>461</v>
      </c>
      <c r="N396" s="3" t="s">
        <v>37</v>
      </c>
      <c r="O396" s="3" t="s">
        <v>71</v>
      </c>
      <c r="P396" s="3" t="s">
        <v>462</v>
      </c>
      <c r="Q396" s="5" t="n">
        <v>13950.36</v>
      </c>
      <c r="R396" s="3" t="n">
        <v>12</v>
      </c>
      <c r="S396" s="6" t="n">
        <v>0</v>
      </c>
      <c r="T396" s="5" t="n">
        <v>2088.57</v>
      </c>
      <c r="U396" s="3" t="str">
        <f aca="false">IF(T396&lt;0,"Loss",IF(T396=0,"Break-even","Profit"))</f>
        <v>Profit</v>
      </c>
      <c r="V396" s="3" t="str">
        <f aca="false">IF(Q396&lt;100,"Low",IF(Q396&lt;=500,"Medium","High"))</f>
        <v>High</v>
      </c>
      <c r="W396" s="3" t="n">
        <f aca="false">D396-C396</f>
        <v>3</v>
      </c>
      <c r="X396" s="3" t="str">
        <f aca="false">TEXT(C396,"mmmm")</f>
        <v>October</v>
      </c>
      <c r="Y396" s="3" t="str">
        <f aca="false">LEFT(G396,1)&amp;MID(G396,FIND(" ",G396)+1,1)</f>
        <v>DM</v>
      </c>
    </row>
    <row r="397" customFormat="false" ht="15" hidden="false" customHeight="false" outlineLevel="0" collapsed="false">
      <c r="A397" s="3" t="n">
        <v>396</v>
      </c>
      <c r="B397" s="3" t="s">
        <v>1016</v>
      </c>
      <c r="C397" s="4" t="s">
        <v>1309</v>
      </c>
      <c r="D397" s="4" t="s">
        <v>1295</v>
      </c>
      <c r="E397" s="3" t="s">
        <v>28</v>
      </c>
      <c r="F397" s="3" t="s">
        <v>606</v>
      </c>
      <c r="G397" s="3" t="s">
        <v>607</v>
      </c>
      <c r="H397" s="3" t="s">
        <v>56</v>
      </c>
      <c r="I397" s="3" t="s">
        <v>32</v>
      </c>
      <c r="J397" s="3" t="s">
        <v>77</v>
      </c>
      <c r="K397" s="3" t="s">
        <v>78</v>
      </c>
      <c r="L397" s="3" t="s">
        <v>59</v>
      </c>
      <c r="M397" s="3" t="s">
        <v>290</v>
      </c>
      <c r="N397" s="3" t="s">
        <v>37</v>
      </c>
      <c r="O397" s="3" t="s">
        <v>38</v>
      </c>
      <c r="P397" s="3" t="s">
        <v>291</v>
      </c>
      <c r="Q397" s="5" t="n">
        <v>16845.91</v>
      </c>
      <c r="R397" s="3" t="n">
        <v>12</v>
      </c>
      <c r="S397" s="6" t="n">
        <v>0</v>
      </c>
      <c r="T397" s="5" t="n">
        <v>-2979.89</v>
      </c>
      <c r="U397" s="3" t="str">
        <f aca="false">IF(T397&lt;0,"Loss",IF(T397=0,"Break-even","Profit"))</f>
        <v>Loss</v>
      </c>
      <c r="V397" s="3" t="str">
        <f aca="false">IF(Q397&lt;100,"Low",IF(Q397&lt;=500,"Medium","High"))</f>
        <v>High</v>
      </c>
      <c r="W397" s="3" t="n">
        <f aca="false">D397-C397</f>
        <v>4</v>
      </c>
      <c r="X397" s="3" t="str">
        <f aca="false">TEXT(C397,"mmmm")</f>
        <v>October</v>
      </c>
      <c r="Y397" s="3" t="str">
        <f aca="false">LEFT(G397,1)&amp;MID(G397,FIND(" ",G397)+1,1)</f>
        <v>JA</v>
      </c>
    </row>
    <row r="398" customFormat="false" ht="15" hidden="false" customHeight="false" outlineLevel="0" collapsed="false">
      <c r="A398" s="3" t="n">
        <v>397</v>
      </c>
      <c r="B398" s="3" t="s">
        <v>1312</v>
      </c>
      <c r="C398" s="4" t="s">
        <v>1287</v>
      </c>
      <c r="D398" s="4" t="s">
        <v>1287</v>
      </c>
      <c r="E398" s="3" t="s">
        <v>53</v>
      </c>
      <c r="F398" s="3" t="s">
        <v>434</v>
      </c>
      <c r="G398" s="3" t="s">
        <v>435</v>
      </c>
      <c r="H398" s="3" t="s">
        <v>45</v>
      </c>
      <c r="I398" s="3" t="s">
        <v>32</v>
      </c>
      <c r="J398" s="3" t="s">
        <v>548</v>
      </c>
      <c r="K398" s="3" t="s">
        <v>244</v>
      </c>
      <c r="L398" s="3" t="s">
        <v>157</v>
      </c>
      <c r="M398" s="3" t="s">
        <v>290</v>
      </c>
      <c r="N398" s="3" t="s">
        <v>37</v>
      </c>
      <c r="O398" s="3" t="s">
        <v>38</v>
      </c>
      <c r="P398" s="3" t="s">
        <v>291</v>
      </c>
      <c r="Q398" s="5" t="n">
        <v>3374.65</v>
      </c>
      <c r="R398" s="3" t="n">
        <v>4</v>
      </c>
      <c r="S398" s="6" t="n">
        <v>0.1</v>
      </c>
      <c r="T398" s="5" t="n">
        <v>680.28</v>
      </c>
      <c r="U398" s="3" t="str">
        <f aca="false">IF(T398&lt;0,"Loss",IF(T398=0,"Break-even","Profit"))</f>
        <v>Profit</v>
      </c>
      <c r="V398" s="3" t="str">
        <f aca="false">IF(Q398&lt;100,"Low",IF(Q398&lt;=500,"Medium","High"))</f>
        <v>High</v>
      </c>
      <c r="W398" s="3" t="n">
        <f aca="false">D398-C398</f>
        <v>0</v>
      </c>
      <c r="X398" s="3" t="str">
        <f aca="false">TEXT(C398,"mmmm")</f>
        <v>October</v>
      </c>
      <c r="Y398" s="3" t="str">
        <f aca="false">LEFT(G398,1)&amp;MID(G398,FIND(" ",G398)+1,1)</f>
        <v>JC</v>
      </c>
    </row>
    <row r="399" customFormat="false" ht="15" hidden="false" customHeight="false" outlineLevel="0" collapsed="false">
      <c r="A399" s="3" t="n">
        <v>398</v>
      </c>
      <c r="B399" s="3" t="s">
        <v>108</v>
      </c>
      <c r="C399" s="4" t="s">
        <v>1287</v>
      </c>
      <c r="D399" s="4" t="s">
        <v>1313</v>
      </c>
      <c r="E399" s="3" t="s">
        <v>28</v>
      </c>
      <c r="F399" s="3" t="s">
        <v>1314</v>
      </c>
      <c r="G399" s="3" t="s">
        <v>1315</v>
      </c>
      <c r="H399" s="3" t="s">
        <v>56</v>
      </c>
      <c r="I399" s="3" t="s">
        <v>32</v>
      </c>
      <c r="J399" s="3" t="s">
        <v>67</v>
      </c>
      <c r="K399" s="3" t="s">
        <v>68</v>
      </c>
      <c r="L399" s="3" t="s">
        <v>69</v>
      </c>
      <c r="M399" s="3" t="s">
        <v>300</v>
      </c>
      <c r="N399" s="3" t="s">
        <v>49</v>
      </c>
      <c r="O399" s="3" t="s">
        <v>143</v>
      </c>
      <c r="P399" s="3" t="s">
        <v>301</v>
      </c>
      <c r="Q399" s="5" t="n">
        <v>321.92</v>
      </c>
      <c r="R399" s="3" t="n">
        <v>6</v>
      </c>
      <c r="S399" s="6" t="n">
        <v>0.3</v>
      </c>
      <c r="T399" s="5" t="n">
        <v>37.61</v>
      </c>
      <c r="U399" s="3" t="str">
        <f aca="false">IF(T399&lt;0,"Loss",IF(T399=0,"Break-even","Profit"))</f>
        <v>Profit</v>
      </c>
      <c r="V399" s="3" t="str">
        <f aca="false">IF(Q399&lt;100,"Low",IF(Q399&lt;=500,"Medium","High"))</f>
        <v>Medium</v>
      </c>
      <c r="W399" s="3" t="n">
        <f aca="false">D399-C399</f>
        <v>5</v>
      </c>
      <c r="X399" s="3" t="str">
        <f aca="false">TEXT(C399,"mmmm")</f>
        <v>October</v>
      </c>
      <c r="Y399" s="3" t="str">
        <f aca="false">LEFT(G399,1)&amp;MID(G399,FIND(" ",G399)+1,1)</f>
        <v>MR</v>
      </c>
    </row>
    <row r="400" customFormat="false" ht="15" hidden="false" customHeight="false" outlineLevel="0" collapsed="false">
      <c r="A400" s="3" t="n">
        <v>399</v>
      </c>
      <c r="B400" s="3" t="s">
        <v>1316</v>
      </c>
      <c r="C400" s="4" t="s">
        <v>1299</v>
      </c>
      <c r="D400" s="4" t="s">
        <v>1317</v>
      </c>
      <c r="E400" s="3" t="s">
        <v>28</v>
      </c>
      <c r="F400" s="3" t="s">
        <v>1318</v>
      </c>
      <c r="G400" s="3" t="s">
        <v>1319</v>
      </c>
      <c r="H400" s="3" t="s">
        <v>56</v>
      </c>
      <c r="I400" s="3" t="s">
        <v>32</v>
      </c>
      <c r="J400" s="3" t="s">
        <v>208</v>
      </c>
      <c r="K400" s="3" t="s">
        <v>134</v>
      </c>
      <c r="L400" s="3" t="s">
        <v>69</v>
      </c>
      <c r="M400" s="3" t="s">
        <v>195</v>
      </c>
      <c r="N400" s="3" t="s">
        <v>37</v>
      </c>
      <c r="O400" s="3" t="s">
        <v>196</v>
      </c>
      <c r="P400" s="3" t="s">
        <v>197</v>
      </c>
      <c r="Q400" s="5" t="n">
        <v>7328.52</v>
      </c>
      <c r="R400" s="3" t="n">
        <v>9</v>
      </c>
      <c r="S400" s="6" t="n">
        <v>0</v>
      </c>
      <c r="T400" s="5" t="n">
        <v>-1442.85</v>
      </c>
      <c r="U400" s="3" t="str">
        <f aca="false">IF(T400&lt;0,"Loss",IF(T400=0,"Break-even","Profit"))</f>
        <v>Loss</v>
      </c>
      <c r="V400" s="3" t="str">
        <f aca="false">IF(Q400&lt;100,"Low",IF(Q400&lt;=500,"Medium","High"))</f>
        <v>High</v>
      </c>
      <c r="W400" s="3" t="n">
        <f aca="false">D400-C400</f>
        <v>6</v>
      </c>
      <c r="X400" s="3" t="str">
        <f aca="false">TEXT(C400,"mmmm")</f>
        <v>October</v>
      </c>
      <c r="Y400" s="3" t="str">
        <f aca="false">LEFT(G400,1)&amp;MID(G400,FIND(" ",G400)+1,1)</f>
        <v>WK</v>
      </c>
    </row>
    <row r="401" customFormat="false" ht="15" hidden="false" customHeight="false" outlineLevel="0" collapsed="false">
      <c r="A401" s="3" t="n">
        <v>400</v>
      </c>
      <c r="B401" s="3" t="s">
        <v>1320</v>
      </c>
      <c r="C401" s="4" t="s">
        <v>1299</v>
      </c>
      <c r="D401" s="4" t="s">
        <v>1317</v>
      </c>
      <c r="E401" s="3" t="s">
        <v>28</v>
      </c>
      <c r="F401" s="3" t="s">
        <v>1321</v>
      </c>
      <c r="G401" s="3" t="s">
        <v>1322</v>
      </c>
      <c r="H401" s="3" t="s">
        <v>31</v>
      </c>
      <c r="I401" s="3" t="s">
        <v>32</v>
      </c>
      <c r="J401" s="3" t="s">
        <v>814</v>
      </c>
      <c r="K401" s="3" t="s">
        <v>156</v>
      </c>
      <c r="L401" s="3" t="s">
        <v>157</v>
      </c>
      <c r="M401" s="3" t="s">
        <v>259</v>
      </c>
      <c r="N401" s="3" t="s">
        <v>89</v>
      </c>
      <c r="O401" s="3" t="s">
        <v>174</v>
      </c>
      <c r="P401" s="3" t="s">
        <v>260</v>
      </c>
      <c r="Q401" s="5" t="n">
        <v>8330.72</v>
      </c>
      <c r="R401" s="3" t="n">
        <v>14</v>
      </c>
      <c r="S401" s="6" t="n">
        <v>0.2</v>
      </c>
      <c r="T401" s="5" t="n">
        <v>-981.99</v>
      </c>
      <c r="U401" s="3" t="str">
        <f aca="false">IF(T401&lt;0,"Loss",IF(T401=0,"Break-even","Profit"))</f>
        <v>Loss</v>
      </c>
      <c r="V401" s="3" t="str">
        <f aca="false">IF(Q401&lt;100,"Low",IF(Q401&lt;=500,"Medium","High"))</f>
        <v>High</v>
      </c>
      <c r="W401" s="3" t="n">
        <f aca="false">D401-C401</f>
        <v>6</v>
      </c>
      <c r="X401" s="3" t="str">
        <f aca="false">TEXT(C401,"mmmm")</f>
        <v>October</v>
      </c>
      <c r="Y401" s="3" t="str">
        <f aca="false">LEFT(G401,1)&amp;MID(G401,FIND(" ",G401)+1,1)</f>
        <v>CA</v>
      </c>
    </row>
    <row r="402" customFormat="false" ht="15" hidden="false" customHeight="false" outlineLevel="0" collapsed="false">
      <c r="A402" s="3" t="n">
        <v>401</v>
      </c>
      <c r="B402" s="3" t="s">
        <v>1323</v>
      </c>
      <c r="C402" s="4" t="s">
        <v>1299</v>
      </c>
      <c r="D402" s="4" t="s">
        <v>1324</v>
      </c>
      <c r="E402" s="3" t="s">
        <v>28</v>
      </c>
      <c r="F402" s="3" t="s">
        <v>1325</v>
      </c>
      <c r="G402" s="3" t="s">
        <v>1326</v>
      </c>
      <c r="H402" s="3" t="s">
        <v>45</v>
      </c>
      <c r="I402" s="3" t="s">
        <v>32</v>
      </c>
      <c r="J402" s="3" t="s">
        <v>188</v>
      </c>
      <c r="K402" s="3" t="s">
        <v>189</v>
      </c>
      <c r="L402" s="3" t="s">
        <v>59</v>
      </c>
      <c r="M402" s="3" t="s">
        <v>121</v>
      </c>
      <c r="N402" s="3" t="s">
        <v>49</v>
      </c>
      <c r="O402" s="3" t="s">
        <v>50</v>
      </c>
      <c r="P402" s="3" t="s">
        <v>122</v>
      </c>
      <c r="Q402" s="5" t="n">
        <v>997.53</v>
      </c>
      <c r="R402" s="3" t="n">
        <v>9</v>
      </c>
      <c r="S402" s="6" t="n">
        <v>0</v>
      </c>
      <c r="T402" s="5" t="n">
        <v>256.99</v>
      </c>
      <c r="U402" s="3" t="str">
        <f aca="false">IF(T402&lt;0,"Loss",IF(T402=0,"Break-even","Profit"))</f>
        <v>Profit</v>
      </c>
      <c r="V402" s="3" t="str">
        <f aca="false">IF(Q402&lt;100,"Low",IF(Q402&lt;=500,"Medium","High"))</f>
        <v>High</v>
      </c>
      <c r="W402" s="3" t="n">
        <f aca="false">D402-C402</f>
        <v>5</v>
      </c>
      <c r="X402" s="3" t="str">
        <f aca="false">TEXT(C402,"mmmm")</f>
        <v>October</v>
      </c>
      <c r="Y402" s="3" t="str">
        <f aca="false">LEFT(G402,1)&amp;MID(G402,FIND(" ",G402)+1,1)</f>
        <v>MT</v>
      </c>
    </row>
    <row r="403" customFormat="false" ht="15" hidden="false" customHeight="false" outlineLevel="0" collapsed="false">
      <c r="A403" s="3" t="n">
        <v>402</v>
      </c>
      <c r="B403" s="3" t="s">
        <v>1327</v>
      </c>
      <c r="C403" s="4" t="s">
        <v>1299</v>
      </c>
      <c r="D403" s="4" t="s">
        <v>1317</v>
      </c>
      <c r="E403" s="3" t="s">
        <v>28</v>
      </c>
      <c r="F403" s="3" t="s">
        <v>817</v>
      </c>
      <c r="G403" s="3" t="s">
        <v>818</v>
      </c>
      <c r="H403" s="3" t="s">
        <v>45</v>
      </c>
      <c r="I403" s="3" t="s">
        <v>32</v>
      </c>
      <c r="J403" s="3" t="s">
        <v>814</v>
      </c>
      <c r="K403" s="3" t="s">
        <v>156</v>
      </c>
      <c r="L403" s="3" t="s">
        <v>157</v>
      </c>
      <c r="M403" s="3" t="s">
        <v>79</v>
      </c>
      <c r="N403" s="3" t="s">
        <v>49</v>
      </c>
      <c r="O403" s="3" t="s">
        <v>80</v>
      </c>
      <c r="P403" s="3" t="s">
        <v>81</v>
      </c>
      <c r="Q403" s="5" t="n">
        <v>22.59</v>
      </c>
      <c r="R403" s="3" t="n">
        <v>5</v>
      </c>
      <c r="S403" s="6" t="n">
        <v>0.1</v>
      </c>
      <c r="T403" s="5" t="n">
        <v>-1.29</v>
      </c>
      <c r="U403" s="3" t="str">
        <f aca="false">IF(T403&lt;0,"Loss",IF(T403=0,"Break-even","Profit"))</f>
        <v>Loss</v>
      </c>
      <c r="V403" s="3" t="str">
        <f aca="false">IF(Q403&lt;100,"Low",IF(Q403&lt;=500,"Medium","High"))</f>
        <v>Low</v>
      </c>
      <c r="W403" s="3" t="n">
        <f aca="false">D403-C403</f>
        <v>6</v>
      </c>
      <c r="X403" s="3" t="str">
        <f aca="false">TEXT(C403,"mmmm")</f>
        <v>October</v>
      </c>
      <c r="Y403" s="3" t="str">
        <f aca="false">LEFT(G403,1)&amp;MID(G403,FIND(" ",G403)+1,1)</f>
        <v>ES</v>
      </c>
    </row>
    <row r="404" customFormat="false" ht="15" hidden="false" customHeight="false" outlineLevel="0" collapsed="false">
      <c r="A404" s="3" t="n">
        <v>403</v>
      </c>
      <c r="B404" s="3" t="s">
        <v>1328</v>
      </c>
      <c r="C404" s="4" t="s">
        <v>1295</v>
      </c>
      <c r="D404" s="4" t="s">
        <v>1329</v>
      </c>
      <c r="E404" s="3" t="s">
        <v>28</v>
      </c>
      <c r="F404" s="3" t="s">
        <v>1330</v>
      </c>
      <c r="G404" s="3" t="s">
        <v>1331</v>
      </c>
      <c r="H404" s="3" t="s">
        <v>45</v>
      </c>
      <c r="I404" s="3" t="s">
        <v>32</v>
      </c>
      <c r="J404" s="3" t="s">
        <v>188</v>
      </c>
      <c r="K404" s="3" t="s">
        <v>189</v>
      </c>
      <c r="L404" s="3" t="s">
        <v>59</v>
      </c>
      <c r="M404" s="3" t="s">
        <v>447</v>
      </c>
      <c r="N404" s="3" t="s">
        <v>89</v>
      </c>
      <c r="O404" s="3" t="s">
        <v>323</v>
      </c>
      <c r="P404" s="3" t="s">
        <v>448</v>
      </c>
      <c r="Q404" s="5" t="n">
        <v>1310.14</v>
      </c>
      <c r="R404" s="3" t="n">
        <v>2</v>
      </c>
      <c r="S404" s="6" t="n">
        <v>0.5</v>
      </c>
      <c r="T404" s="5" t="n">
        <v>-392.76</v>
      </c>
      <c r="U404" s="3" t="str">
        <f aca="false">IF(T404&lt;0,"Loss",IF(T404=0,"Break-even","Profit"))</f>
        <v>Loss</v>
      </c>
      <c r="V404" s="3" t="str">
        <f aca="false">IF(Q404&lt;100,"Low",IF(Q404&lt;=500,"Medium","High"))</f>
        <v>High</v>
      </c>
      <c r="W404" s="3" t="n">
        <f aca="false">D404-C404</f>
        <v>7</v>
      </c>
      <c r="X404" s="3" t="str">
        <f aca="false">TEXT(C404,"mmmm")</f>
        <v>October</v>
      </c>
      <c r="Y404" s="3" t="str">
        <f aca="false">LEFT(G404,1)&amp;MID(G404,FIND(" ",G404)+1,1)</f>
        <v>JR</v>
      </c>
    </row>
    <row r="405" customFormat="false" ht="15" hidden="false" customHeight="false" outlineLevel="0" collapsed="false">
      <c r="A405" s="3" t="n">
        <v>404</v>
      </c>
      <c r="B405" s="3" t="s">
        <v>727</v>
      </c>
      <c r="C405" s="4" t="s">
        <v>1303</v>
      </c>
      <c r="D405" s="4" t="s">
        <v>1332</v>
      </c>
      <c r="E405" s="3" t="s">
        <v>28</v>
      </c>
      <c r="F405" s="3" t="s">
        <v>1333</v>
      </c>
      <c r="G405" s="3" t="s">
        <v>1334</v>
      </c>
      <c r="H405" s="3" t="s">
        <v>45</v>
      </c>
      <c r="I405" s="3" t="s">
        <v>32</v>
      </c>
      <c r="J405" s="3" t="s">
        <v>548</v>
      </c>
      <c r="K405" s="3" t="s">
        <v>244</v>
      </c>
      <c r="L405" s="3" t="s">
        <v>157</v>
      </c>
      <c r="M405" s="3" t="s">
        <v>60</v>
      </c>
      <c r="N405" s="3" t="s">
        <v>49</v>
      </c>
      <c r="O405" s="3" t="s">
        <v>61</v>
      </c>
      <c r="P405" s="3" t="s">
        <v>62</v>
      </c>
      <c r="Q405" s="5" t="n">
        <v>987.37</v>
      </c>
      <c r="R405" s="3" t="n">
        <v>11</v>
      </c>
      <c r="S405" s="6" t="n">
        <v>0</v>
      </c>
      <c r="T405" s="5" t="n">
        <v>-73.66</v>
      </c>
      <c r="U405" s="3" t="str">
        <f aca="false">IF(T405&lt;0,"Loss",IF(T405=0,"Break-even","Profit"))</f>
        <v>Loss</v>
      </c>
      <c r="V405" s="3" t="str">
        <f aca="false">IF(Q405&lt;100,"Low",IF(Q405&lt;=500,"Medium","High"))</f>
        <v>High</v>
      </c>
      <c r="W405" s="3" t="n">
        <f aca="false">D405-C405</f>
        <v>4</v>
      </c>
      <c r="X405" s="3" t="str">
        <f aca="false">TEXT(C405,"mmmm")</f>
        <v>October</v>
      </c>
      <c r="Y405" s="3" t="str">
        <f aca="false">LEFT(G405,1)&amp;MID(G405,FIND(" ",G405)+1,1)</f>
        <v>MN</v>
      </c>
    </row>
    <row r="406" customFormat="false" ht="15" hidden="false" customHeight="false" outlineLevel="0" collapsed="false">
      <c r="A406" s="3" t="n">
        <v>405</v>
      </c>
      <c r="B406" s="3" t="s">
        <v>594</v>
      </c>
      <c r="C406" s="4" t="s">
        <v>1303</v>
      </c>
      <c r="D406" s="4" t="s">
        <v>1317</v>
      </c>
      <c r="E406" s="3" t="s">
        <v>28</v>
      </c>
      <c r="F406" s="3" t="s">
        <v>1335</v>
      </c>
      <c r="G406" s="3" t="s">
        <v>1336</v>
      </c>
      <c r="H406" s="3" t="s">
        <v>45</v>
      </c>
      <c r="I406" s="3" t="s">
        <v>32</v>
      </c>
      <c r="J406" s="3" t="s">
        <v>148</v>
      </c>
      <c r="K406" s="3" t="s">
        <v>78</v>
      </c>
      <c r="L406" s="3" t="s">
        <v>59</v>
      </c>
      <c r="M406" s="3" t="s">
        <v>60</v>
      </c>
      <c r="N406" s="3" t="s">
        <v>49</v>
      </c>
      <c r="O406" s="3" t="s">
        <v>61</v>
      </c>
      <c r="P406" s="3" t="s">
        <v>62</v>
      </c>
      <c r="Q406" s="5" t="n">
        <v>201.21</v>
      </c>
      <c r="R406" s="3" t="n">
        <v>5</v>
      </c>
      <c r="S406" s="6" t="n">
        <v>0</v>
      </c>
      <c r="T406" s="5" t="n">
        <v>24.24</v>
      </c>
      <c r="U406" s="3" t="str">
        <f aca="false">IF(T406&lt;0,"Loss",IF(T406=0,"Break-even","Profit"))</f>
        <v>Profit</v>
      </c>
      <c r="V406" s="3" t="str">
        <f aca="false">IF(Q406&lt;100,"Low",IF(Q406&lt;=500,"Medium","High"))</f>
        <v>Medium</v>
      </c>
      <c r="W406" s="3" t="n">
        <f aca="false">D406-C406</f>
        <v>3</v>
      </c>
      <c r="X406" s="3" t="str">
        <f aca="false">TEXT(C406,"mmmm")</f>
        <v>October</v>
      </c>
      <c r="Y406" s="3" t="str">
        <f aca="false">LEFT(G406,1)&amp;MID(G406,FIND(" ",G406)+1,1)</f>
        <v>AK</v>
      </c>
    </row>
    <row r="407" customFormat="false" ht="15" hidden="false" customHeight="false" outlineLevel="0" collapsed="false">
      <c r="A407" s="3" t="n">
        <v>406</v>
      </c>
      <c r="B407" s="3" t="s">
        <v>1337</v>
      </c>
      <c r="C407" s="4" t="s">
        <v>1313</v>
      </c>
      <c r="D407" s="4" t="s">
        <v>1317</v>
      </c>
      <c r="E407" s="3" t="s">
        <v>84</v>
      </c>
      <c r="F407" s="3" t="s">
        <v>1002</v>
      </c>
      <c r="G407" s="3" t="s">
        <v>1003</v>
      </c>
      <c r="H407" s="3" t="s">
        <v>56</v>
      </c>
      <c r="I407" s="3" t="s">
        <v>32</v>
      </c>
      <c r="J407" s="3" t="s">
        <v>252</v>
      </c>
      <c r="K407" s="3" t="s">
        <v>172</v>
      </c>
      <c r="L407" s="3" t="s">
        <v>157</v>
      </c>
      <c r="M407" s="3" t="s">
        <v>404</v>
      </c>
      <c r="N407" s="3" t="s">
        <v>89</v>
      </c>
      <c r="O407" s="3" t="s">
        <v>166</v>
      </c>
      <c r="P407" s="3" t="s">
        <v>405</v>
      </c>
      <c r="Q407" s="5" t="n">
        <v>9050.29</v>
      </c>
      <c r="R407" s="3" t="n">
        <v>13</v>
      </c>
      <c r="S407" s="6" t="n">
        <v>0</v>
      </c>
      <c r="T407" s="5" t="n">
        <v>-795.48</v>
      </c>
      <c r="U407" s="3" t="str">
        <f aca="false">IF(T407&lt;0,"Loss",IF(T407=0,"Break-even","Profit"))</f>
        <v>Loss</v>
      </c>
      <c r="V407" s="3" t="str">
        <f aca="false">IF(Q407&lt;100,"Low",IF(Q407&lt;=500,"Medium","High"))</f>
        <v>High</v>
      </c>
      <c r="W407" s="3" t="n">
        <f aca="false">D407-C407</f>
        <v>2</v>
      </c>
      <c r="X407" s="3" t="str">
        <f aca="false">TEXT(C407,"mmmm")</f>
        <v>October</v>
      </c>
      <c r="Y407" s="3" t="str">
        <f aca="false">LEFT(G407,1)&amp;MID(G407,FIND(" ",G407)+1,1)</f>
        <v>JN</v>
      </c>
    </row>
    <row r="408" customFormat="false" ht="15" hidden="false" customHeight="false" outlineLevel="0" collapsed="false">
      <c r="A408" s="3" t="n">
        <v>407</v>
      </c>
      <c r="B408" s="3" t="s">
        <v>1338</v>
      </c>
      <c r="C408" s="4" t="s">
        <v>1324</v>
      </c>
      <c r="D408" s="4" t="s">
        <v>1339</v>
      </c>
      <c r="E408" s="3" t="s">
        <v>28</v>
      </c>
      <c r="F408" s="3" t="s">
        <v>1340</v>
      </c>
      <c r="G408" s="3" t="s">
        <v>1341</v>
      </c>
      <c r="H408" s="3" t="s">
        <v>56</v>
      </c>
      <c r="I408" s="3" t="s">
        <v>32</v>
      </c>
      <c r="J408" s="3" t="s">
        <v>315</v>
      </c>
      <c r="K408" s="3" t="s">
        <v>58</v>
      </c>
      <c r="L408" s="3" t="s">
        <v>59</v>
      </c>
      <c r="M408" s="3" t="s">
        <v>105</v>
      </c>
      <c r="N408" s="3" t="s">
        <v>49</v>
      </c>
      <c r="O408" s="3" t="s">
        <v>106</v>
      </c>
      <c r="P408" s="3" t="s">
        <v>107</v>
      </c>
      <c r="Q408" s="5" t="n">
        <v>91.55</v>
      </c>
      <c r="R408" s="3" t="n">
        <v>2</v>
      </c>
      <c r="S408" s="6" t="n">
        <v>0</v>
      </c>
      <c r="T408" s="5" t="n">
        <v>2.03</v>
      </c>
      <c r="U408" s="3" t="str">
        <f aca="false">IF(T408&lt;0,"Loss",IF(T408=0,"Break-even","Profit"))</f>
        <v>Profit</v>
      </c>
      <c r="V408" s="3" t="str">
        <f aca="false">IF(Q408&lt;100,"Low",IF(Q408&lt;=500,"Medium","High"))</f>
        <v>Low</v>
      </c>
      <c r="W408" s="3" t="n">
        <f aca="false">D408-C408</f>
        <v>6</v>
      </c>
      <c r="X408" s="3" t="str">
        <f aca="false">TEXT(C408,"mmmm")</f>
        <v>October</v>
      </c>
      <c r="Y408" s="3" t="str">
        <f aca="false">LEFT(G408,1)&amp;MID(G408,FIND(" ",G408)+1,1)</f>
        <v>MB</v>
      </c>
    </row>
    <row r="409" customFormat="false" ht="15" hidden="false" customHeight="false" outlineLevel="0" collapsed="false">
      <c r="A409" s="3" t="n">
        <v>408</v>
      </c>
      <c r="B409" s="3" t="s">
        <v>1342</v>
      </c>
      <c r="C409" s="4" t="s">
        <v>1317</v>
      </c>
      <c r="D409" s="4" t="s">
        <v>1343</v>
      </c>
      <c r="E409" s="3" t="s">
        <v>28</v>
      </c>
      <c r="F409" s="3" t="s">
        <v>896</v>
      </c>
      <c r="G409" s="3" t="s">
        <v>897</v>
      </c>
      <c r="H409" s="3" t="s">
        <v>56</v>
      </c>
      <c r="I409" s="3" t="s">
        <v>32</v>
      </c>
      <c r="J409" s="3" t="s">
        <v>188</v>
      </c>
      <c r="K409" s="3" t="s">
        <v>189</v>
      </c>
      <c r="L409" s="3" t="s">
        <v>59</v>
      </c>
      <c r="M409" s="3" t="s">
        <v>195</v>
      </c>
      <c r="N409" s="3" t="s">
        <v>37</v>
      </c>
      <c r="O409" s="3" t="s">
        <v>196</v>
      </c>
      <c r="P409" s="3" t="s">
        <v>197</v>
      </c>
      <c r="Q409" s="5" t="n">
        <v>17153.94</v>
      </c>
      <c r="R409" s="3" t="n">
        <v>12</v>
      </c>
      <c r="S409" s="6" t="n">
        <v>0.4</v>
      </c>
      <c r="T409" s="5" t="n">
        <v>2012.85</v>
      </c>
      <c r="U409" s="3" t="str">
        <f aca="false">IF(T409&lt;0,"Loss",IF(T409=0,"Break-even","Profit"))</f>
        <v>Profit</v>
      </c>
      <c r="V409" s="3" t="str">
        <f aca="false">IF(Q409&lt;100,"Low",IF(Q409&lt;=500,"Medium","High"))</f>
        <v>High</v>
      </c>
      <c r="W409" s="3" t="n">
        <f aca="false">D409-C409</f>
        <v>6</v>
      </c>
      <c r="X409" s="3" t="str">
        <f aca="false">TEXT(C409,"mmmm")</f>
        <v>October</v>
      </c>
      <c r="Y409" s="3" t="str">
        <f aca="false">LEFT(G409,1)&amp;MID(G409,FIND(" ",G409)+1,1)</f>
        <v>AR</v>
      </c>
    </row>
    <row r="410" customFormat="false" ht="15" hidden="false" customHeight="false" outlineLevel="0" collapsed="false">
      <c r="A410" s="3" t="n">
        <v>409</v>
      </c>
      <c r="B410" s="3" t="s">
        <v>1344</v>
      </c>
      <c r="C410" s="4" t="s">
        <v>1317</v>
      </c>
      <c r="D410" s="4" t="s">
        <v>1345</v>
      </c>
      <c r="E410" s="3" t="s">
        <v>28</v>
      </c>
      <c r="F410" s="3" t="s">
        <v>1002</v>
      </c>
      <c r="G410" s="3" t="s">
        <v>1003</v>
      </c>
      <c r="H410" s="3" t="s">
        <v>45</v>
      </c>
      <c r="I410" s="3" t="s">
        <v>32</v>
      </c>
      <c r="J410" s="3" t="s">
        <v>179</v>
      </c>
      <c r="K410" s="3" t="s">
        <v>47</v>
      </c>
      <c r="L410" s="3" t="s">
        <v>35</v>
      </c>
      <c r="M410" s="3" t="s">
        <v>36</v>
      </c>
      <c r="N410" s="3" t="s">
        <v>37</v>
      </c>
      <c r="O410" s="3" t="s">
        <v>38</v>
      </c>
      <c r="P410" s="3" t="s">
        <v>39</v>
      </c>
      <c r="Q410" s="5" t="n">
        <v>595.81</v>
      </c>
      <c r="R410" s="3" t="n">
        <v>2</v>
      </c>
      <c r="S410" s="6" t="n">
        <v>0.2</v>
      </c>
      <c r="T410" s="5" t="n">
        <v>24.09</v>
      </c>
      <c r="U410" s="3" t="str">
        <f aca="false">IF(T410&lt;0,"Loss",IF(T410=0,"Break-even","Profit"))</f>
        <v>Profit</v>
      </c>
      <c r="V410" s="3" t="str">
        <f aca="false">IF(Q410&lt;100,"Low",IF(Q410&lt;=500,"Medium","High"))</f>
        <v>High</v>
      </c>
      <c r="W410" s="3" t="n">
        <f aca="false">D410-C410</f>
        <v>4</v>
      </c>
      <c r="X410" s="3" t="str">
        <f aca="false">TEXT(C410,"mmmm")</f>
        <v>October</v>
      </c>
      <c r="Y410" s="3" t="str">
        <f aca="false">LEFT(G410,1)&amp;MID(G410,FIND(" ",G410)+1,1)</f>
        <v>JN</v>
      </c>
    </row>
    <row r="411" customFormat="false" ht="15" hidden="false" customHeight="false" outlineLevel="0" collapsed="false">
      <c r="A411" s="3" t="n">
        <v>410</v>
      </c>
      <c r="B411" s="3" t="s">
        <v>1346</v>
      </c>
      <c r="C411" s="4" t="s">
        <v>1332</v>
      </c>
      <c r="D411" s="4" t="s">
        <v>1345</v>
      </c>
      <c r="E411" s="3" t="s">
        <v>28</v>
      </c>
      <c r="F411" s="3" t="s">
        <v>871</v>
      </c>
      <c r="G411" s="3" t="s">
        <v>872</v>
      </c>
      <c r="H411" s="3" t="s">
        <v>31</v>
      </c>
      <c r="I411" s="3" t="s">
        <v>32</v>
      </c>
      <c r="J411" s="3" t="s">
        <v>104</v>
      </c>
      <c r="K411" s="3" t="s">
        <v>96</v>
      </c>
      <c r="L411" s="3" t="s">
        <v>59</v>
      </c>
      <c r="M411" s="3" t="s">
        <v>190</v>
      </c>
      <c r="N411" s="3" t="s">
        <v>49</v>
      </c>
      <c r="O411" s="3" t="s">
        <v>150</v>
      </c>
      <c r="P411" s="3" t="s">
        <v>191</v>
      </c>
      <c r="Q411" s="5" t="n">
        <v>657.89</v>
      </c>
      <c r="R411" s="3" t="n">
        <v>6</v>
      </c>
      <c r="S411" s="6" t="n">
        <v>0.1</v>
      </c>
      <c r="T411" s="5" t="n">
        <v>-75.78</v>
      </c>
      <c r="U411" s="3" t="str">
        <f aca="false">IF(T411&lt;0,"Loss",IF(T411=0,"Break-even","Profit"))</f>
        <v>Loss</v>
      </c>
      <c r="V411" s="3" t="str">
        <f aca="false">IF(Q411&lt;100,"Low",IF(Q411&lt;=500,"Medium","High"))</f>
        <v>High</v>
      </c>
      <c r="W411" s="3" t="n">
        <f aca="false">D411-C411</f>
        <v>3</v>
      </c>
      <c r="X411" s="3" t="str">
        <f aca="false">TEXT(C411,"mmmm")</f>
        <v>October</v>
      </c>
      <c r="Y411" s="3" t="str">
        <f aca="false">LEFT(G411,1)&amp;MID(G411,FIND(" ",G411)+1,1)</f>
        <v>MM</v>
      </c>
    </row>
    <row r="412" customFormat="false" ht="15" hidden="false" customHeight="false" outlineLevel="0" collapsed="false">
      <c r="A412" s="3" t="n">
        <v>411</v>
      </c>
      <c r="B412" s="3" t="s">
        <v>1347</v>
      </c>
      <c r="C412" s="4" t="s">
        <v>1332</v>
      </c>
      <c r="D412" s="4" t="s">
        <v>1345</v>
      </c>
      <c r="E412" s="3" t="s">
        <v>84</v>
      </c>
      <c r="F412" s="3" t="s">
        <v>1348</v>
      </c>
      <c r="G412" s="3" t="s">
        <v>1349</v>
      </c>
      <c r="H412" s="3" t="s">
        <v>56</v>
      </c>
      <c r="I412" s="3" t="s">
        <v>32</v>
      </c>
      <c r="J412" s="3" t="s">
        <v>133</v>
      </c>
      <c r="K412" s="3" t="s">
        <v>134</v>
      </c>
      <c r="L412" s="3" t="s">
        <v>69</v>
      </c>
      <c r="M412" s="3" t="s">
        <v>334</v>
      </c>
      <c r="N412" s="3" t="s">
        <v>37</v>
      </c>
      <c r="O412" s="3" t="s">
        <v>136</v>
      </c>
      <c r="P412" s="3" t="s">
        <v>335</v>
      </c>
      <c r="Q412" s="5" t="n">
        <v>593.63</v>
      </c>
      <c r="R412" s="3" t="n">
        <v>3</v>
      </c>
      <c r="S412" s="6" t="n">
        <v>0</v>
      </c>
      <c r="T412" s="5" t="n">
        <v>-95.02</v>
      </c>
      <c r="U412" s="3" t="str">
        <f aca="false">IF(T412&lt;0,"Loss",IF(T412=0,"Break-even","Profit"))</f>
        <v>Loss</v>
      </c>
      <c r="V412" s="3" t="str">
        <f aca="false">IF(Q412&lt;100,"Low",IF(Q412&lt;=500,"Medium","High"))</f>
        <v>High</v>
      </c>
      <c r="W412" s="3" t="n">
        <f aca="false">D412-C412</f>
        <v>3</v>
      </c>
      <c r="X412" s="3" t="str">
        <f aca="false">TEXT(C412,"mmmm")</f>
        <v>October</v>
      </c>
      <c r="Y412" s="3" t="str">
        <f aca="false">LEFT(G412,1)&amp;MID(G412,FIND(" ",G412)+1,1)</f>
        <v>AG</v>
      </c>
    </row>
    <row r="413" customFormat="false" ht="15" hidden="false" customHeight="false" outlineLevel="0" collapsed="false">
      <c r="A413" s="3" t="n">
        <v>412</v>
      </c>
      <c r="B413" s="3" t="s">
        <v>786</v>
      </c>
      <c r="C413" s="4" t="s">
        <v>1332</v>
      </c>
      <c r="D413" s="4" t="s">
        <v>1343</v>
      </c>
      <c r="E413" s="3" t="s">
        <v>28</v>
      </c>
      <c r="F413" s="3" t="s">
        <v>1350</v>
      </c>
      <c r="G413" s="3" t="s">
        <v>1351</v>
      </c>
      <c r="H413" s="3" t="s">
        <v>56</v>
      </c>
      <c r="I413" s="3" t="s">
        <v>32</v>
      </c>
      <c r="J413" s="3" t="s">
        <v>243</v>
      </c>
      <c r="K413" s="3" t="s">
        <v>244</v>
      </c>
      <c r="L413" s="3" t="s">
        <v>157</v>
      </c>
      <c r="M413" s="3" t="s">
        <v>158</v>
      </c>
      <c r="N413" s="3" t="s">
        <v>49</v>
      </c>
      <c r="O413" s="3" t="s">
        <v>159</v>
      </c>
      <c r="P413" s="3" t="s">
        <v>160</v>
      </c>
      <c r="Q413" s="5" t="n">
        <v>84.76</v>
      </c>
      <c r="R413" s="3" t="n">
        <v>6</v>
      </c>
      <c r="S413" s="6" t="n">
        <v>0.1</v>
      </c>
      <c r="T413" s="5" t="n">
        <v>20.45</v>
      </c>
      <c r="U413" s="3" t="str">
        <f aca="false">IF(T413&lt;0,"Loss",IF(T413=0,"Break-even","Profit"))</f>
        <v>Profit</v>
      </c>
      <c r="V413" s="3" t="str">
        <f aca="false">IF(Q413&lt;100,"Low",IF(Q413&lt;=500,"Medium","High"))</f>
        <v>Low</v>
      </c>
      <c r="W413" s="3" t="n">
        <f aca="false">D413-C413</f>
        <v>5</v>
      </c>
      <c r="X413" s="3" t="str">
        <f aca="false">TEXT(C413,"mmmm")</f>
        <v>October</v>
      </c>
      <c r="Y413" s="3" t="str">
        <f aca="false">LEFT(G413,1)&amp;MID(G413,FIND(" ",G413)+1,1)</f>
        <v>JB</v>
      </c>
    </row>
    <row r="414" customFormat="false" ht="15" hidden="false" customHeight="false" outlineLevel="0" collapsed="false">
      <c r="A414" s="3" t="n">
        <v>413</v>
      </c>
      <c r="B414" s="3" t="s">
        <v>1352</v>
      </c>
      <c r="C414" s="4" t="s">
        <v>1353</v>
      </c>
      <c r="D414" s="4" t="s">
        <v>1354</v>
      </c>
      <c r="E414" s="3" t="s">
        <v>28</v>
      </c>
      <c r="F414" s="3" t="s">
        <v>1355</v>
      </c>
      <c r="G414" s="3" t="s">
        <v>1356</v>
      </c>
      <c r="H414" s="3" t="s">
        <v>56</v>
      </c>
      <c r="I414" s="3" t="s">
        <v>32</v>
      </c>
      <c r="J414" s="3" t="s">
        <v>77</v>
      </c>
      <c r="K414" s="3" t="s">
        <v>78</v>
      </c>
      <c r="L414" s="3" t="s">
        <v>59</v>
      </c>
      <c r="M414" s="3" t="s">
        <v>683</v>
      </c>
      <c r="N414" s="3" t="s">
        <v>37</v>
      </c>
      <c r="O414" s="3" t="s">
        <v>136</v>
      </c>
      <c r="P414" s="3" t="s">
        <v>684</v>
      </c>
      <c r="Q414" s="5" t="n">
        <v>4223.24</v>
      </c>
      <c r="R414" s="3" t="n">
        <v>3</v>
      </c>
      <c r="S414" s="6" t="n">
        <v>0.4</v>
      </c>
      <c r="T414" s="5" t="n">
        <v>674.05</v>
      </c>
      <c r="U414" s="3" t="str">
        <f aca="false">IF(T414&lt;0,"Loss",IF(T414=0,"Break-even","Profit"))</f>
        <v>Profit</v>
      </c>
      <c r="V414" s="3" t="str">
        <f aca="false">IF(Q414&lt;100,"Low",IF(Q414&lt;=500,"Medium","High"))</f>
        <v>High</v>
      </c>
      <c r="W414" s="3" t="n">
        <f aca="false">D414-C414</f>
        <v>6</v>
      </c>
      <c r="X414" s="3" t="str">
        <f aca="false">TEXT(C414,"mmmm")</f>
        <v>October</v>
      </c>
      <c r="Y414" s="3" t="str">
        <f aca="false">LEFT(G414,1)&amp;MID(G414,FIND(" ",G414)+1,1)</f>
        <v>FB</v>
      </c>
    </row>
    <row r="415" customFormat="false" ht="15" hidden="false" customHeight="false" outlineLevel="0" collapsed="false">
      <c r="A415" s="3" t="n">
        <v>414</v>
      </c>
      <c r="B415" s="3" t="s">
        <v>1357</v>
      </c>
      <c r="C415" s="4" t="s">
        <v>1353</v>
      </c>
      <c r="D415" s="4" t="s">
        <v>1345</v>
      </c>
      <c r="E415" s="3" t="s">
        <v>84</v>
      </c>
      <c r="F415" s="3" t="s">
        <v>434</v>
      </c>
      <c r="G415" s="3" t="s">
        <v>435</v>
      </c>
      <c r="H415" s="3" t="s">
        <v>56</v>
      </c>
      <c r="I415" s="3" t="s">
        <v>32</v>
      </c>
      <c r="J415" s="3" t="s">
        <v>95</v>
      </c>
      <c r="K415" s="3" t="s">
        <v>96</v>
      </c>
      <c r="L415" s="3" t="s">
        <v>59</v>
      </c>
      <c r="M415" s="3" t="s">
        <v>36</v>
      </c>
      <c r="N415" s="3" t="s">
        <v>37</v>
      </c>
      <c r="O415" s="3" t="s">
        <v>38</v>
      </c>
      <c r="P415" s="3" t="s">
        <v>39</v>
      </c>
      <c r="Q415" s="5" t="n">
        <v>2405.05</v>
      </c>
      <c r="R415" s="3" t="n">
        <v>2</v>
      </c>
      <c r="S415" s="6" t="n">
        <v>0</v>
      </c>
      <c r="T415" s="5" t="n">
        <v>-180.37</v>
      </c>
      <c r="U415" s="3" t="str">
        <f aca="false">IF(T415&lt;0,"Loss",IF(T415=0,"Break-even","Profit"))</f>
        <v>Loss</v>
      </c>
      <c r="V415" s="3" t="str">
        <f aca="false">IF(Q415&lt;100,"Low",IF(Q415&lt;=500,"Medium","High"))</f>
        <v>High</v>
      </c>
      <c r="W415" s="3" t="n">
        <f aca="false">D415-C415</f>
        <v>2</v>
      </c>
      <c r="X415" s="3" t="str">
        <f aca="false">TEXT(C415,"mmmm")</f>
        <v>October</v>
      </c>
      <c r="Y415" s="3" t="str">
        <f aca="false">LEFT(G415,1)&amp;MID(G415,FIND(" ",G415)+1,1)</f>
        <v>JC</v>
      </c>
    </row>
    <row r="416" customFormat="false" ht="15" hidden="false" customHeight="false" outlineLevel="0" collapsed="false">
      <c r="A416" s="3" t="n">
        <v>415</v>
      </c>
      <c r="B416" s="3" t="s">
        <v>1358</v>
      </c>
      <c r="C416" s="4" t="s">
        <v>1329</v>
      </c>
      <c r="D416" s="4" t="s">
        <v>1343</v>
      </c>
      <c r="E416" s="3" t="s">
        <v>28</v>
      </c>
      <c r="F416" s="3" t="s">
        <v>263</v>
      </c>
      <c r="G416" s="3" t="s">
        <v>264</v>
      </c>
      <c r="H416" s="3" t="s">
        <v>31</v>
      </c>
      <c r="I416" s="3" t="s">
        <v>32</v>
      </c>
      <c r="J416" s="3" t="s">
        <v>215</v>
      </c>
      <c r="K416" s="3" t="s">
        <v>34</v>
      </c>
      <c r="L416" s="3" t="s">
        <v>35</v>
      </c>
      <c r="M416" s="3" t="s">
        <v>470</v>
      </c>
      <c r="N416" s="3" t="s">
        <v>49</v>
      </c>
      <c r="O416" s="3" t="s">
        <v>159</v>
      </c>
      <c r="P416" s="3" t="s">
        <v>471</v>
      </c>
      <c r="Q416" s="5" t="n">
        <v>632.17</v>
      </c>
      <c r="R416" s="3" t="n">
        <v>6</v>
      </c>
      <c r="S416" s="6" t="n">
        <v>0.3</v>
      </c>
      <c r="T416" s="5" t="n">
        <v>-119.57</v>
      </c>
      <c r="U416" s="3" t="str">
        <f aca="false">IF(T416&lt;0,"Loss",IF(T416=0,"Break-even","Profit"))</f>
        <v>Loss</v>
      </c>
      <c r="V416" s="3" t="str">
        <f aca="false">IF(Q416&lt;100,"Low",IF(Q416&lt;=500,"Medium","High"))</f>
        <v>High</v>
      </c>
      <c r="W416" s="3" t="n">
        <f aca="false">D416-C416</f>
        <v>3</v>
      </c>
      <c r="X416" s="3" t="str">
        <f aca="false">TEXT(C416,"mmmm")</f>
        <v>October</v>
      </c>
      <c r="Y416" s="3" t="str">
        <f aca="false">LEFT(G416,1)&amp;MID(G416,FIND(" ",G416)+1,1)</f>
        <v>MB</v>
      </c>
    </row>
    <row r="417" customFormat="false" ht="15" hidden="false" customHeight="false" outlineLevel="0" collapsed="false">
      <c r="A417" s="3" t="n">
        <v>416</v>
      </c>
      <c r="B417" s="3" t="s">
        <v>1359</v>
      </c>
      <c r="C417" s="4" t="s">
        <v>1345</v>
      </c>
      <c r="D417" s="4" t="s">
        <v>1354</v>
      </c>
      <c r="E417" s="3" t="s">
        <v>28</v>
      </c>
      <c r="F417" s="3" t="s">
        <v>989</v>
      </c>
      <c r="G417" s="3" t="s">
        <v>990</v>
      </c>
      <c r="H417" s="3" t="s">
        <v>56</v>
      </c>
      <c r="I417" s="3" t="s">
        <v>32</v>
      </c>
      <c r="J417" s="3" t="s">
        <v>201</v>
      </c>
      <c r="K417" s="3" t="s">
        <v>202</v>
      </c>
      <c r="L417" s="3" t="s">
        <v>35</v>
      </c>
      <c r="M417" s="3" t="s">
        <v>79</v>
      </c>
      <c r="N417" s="3" t="s">
        <v>49</v>
      </c>
      <c r="O417" s="3" t="s">
        <v>80</v>
      </c>
      <c r="P417" s="3" t="s">
        <v>81</v>
      </c>
      <c r="Q417" s="5" t="n">
        <v>940.61</v>
      </c>
      <c r="R417" s="3" t="n">
        <v>13</v>
      </c>
      <c r="S417" s="6" t="n">
        <v>0</v>
      </c>
      <c r="T417" s="5" t="n">
        <v>190.63</v>
      </c>
      <c r="U417" s="3" t="str">
        <f aca="false">IF(T417&lt;0,"Loss",IF(T417=0,"Break-even","Profit"))</f>
        <v>Profit</v>
      </c>
      <c r="V417" s="3" t="str">
        <f aca="false">IF(Q417&lt;100,"Low",IF(Q417&lt;=500,"Medium","High"))</f>
        <v>High</v>
      </c>
      <c r="W417" s="3" t="n">
        <f aca="false">D417-C417</f>
        <v>4</v>
      </c>
      <c r="X417" s="3" t="str">
        <f aca="false">TEXT(C417,"mmmm")</f>
        <v>October</v>
      </c>
      <c r="Y417" s="3" t="str">
        <f aca="false">LEFT(G417,1)&amp;MID(G417,FIND(" ",G417)+1,1)</f>
        <v>EK</v>
      </c>
    </row>
    <row r="418" customFormat="false" ht="15" hidden="false" customHeight="false" outlineLevel="0" collapsed="false">
      <c r="A418" s="3" t="n">
        <v>417</v>
      </c>
      <c r="B418" s="3" t="s">
        <v>1360</v>
      </c>
      <c r="C418" s="4" t="s">
        <v>1339</v>
      </c>
      <c r="D418" s="4" t="s">
        <v>1361</v>
      </c>
      <c r="E418" s="3" t="s">
        <v>28</v>
      </c>
      <c r="F418" s="3" t="s">
        <v>1310</v>
      </c>
      <c r="G418" s="3" t="s">
        <v>1311</v>
      </c>
      <c r="H418" s="3" t="s">
        <v>56</v>
      </c>
      <c r="I418" s="3" t="s">
        <v>32</v>
      </c>
      <c r="J418" s="3" t="s">
        <v>46</v>
      </c>
      <c r="K418" s="3" t="s">
        <v>47</v>
      </c>
      <c r="L418" s="3" t="s">
        <v>35</v>
      </c>
      <c r="M418" s="3" t="s">
        <v>269</v>
      </c>
      <c r="N418" s="3" t="s">
        <v>89</v>
      </c>
      <c r="O418" s="3" t="s">
        <v>174</v>
      </c>
      <c r="P418" s="3" t="s">
        <v>270</v>
      </c>
      <c r="Q418" s="5" t="n">
        <v>4975.85</v>
      </c>
      <c r="R418" s="3" t="n">
        <v>8</v>
      </c>
      <c r="S418" s="6" t="n">
        <v>0.2</v>
      </c>
      <c r="T418" s="5" t="n">
        <v>-255.45</v>
      </c>
      <c r="U418" s="3" t="str">
        <f aca="false">IF(T418&lt;0,"Loss",IF(T418=0,"Break-even","Profit"))</f>
        <v>Loss</v>
      </c>
      <c r="V418" s="3" t="str">
        <f aca="false">IF(Q418&lt;100,"Low",IF(Q418&lt;=500,"Medium","High"))</f>
        <v>High</v>
      </c>
      <c r="W418" s="3" t="n">
        <f aca="false">D418-C418</f>
        <v>6</v>
      </c>
      <c r="X418" s="3" t="str">
        <f aca="false">TEXT(C418,"mmmm")</f>
        <v>October</v>
      </c>
      <c r="Y418" s="3" t="str">
        <f aca="false">LEFT(G418,1)&amp;MID(G418,FIND(" ",G418)+1,1)</f>
        <v>DM</v>
      </c>
    </row>
    <row r="419" customFormat="false" ht="15" hidden="false" customHeight="false" outlineLevel="0" collapsed="false">
      <c r="A419" s="3" t="n">
        <v>418</v>
      </c>
      <c r="B419" s="3" t="s">
        <v>1362</v>
      </c>
      <c r="C419" s="4" t="s">
        <v>1339</v>
      </c>
      <c r="D419" s="4" t="s">
        <v>1363</v>
      </c>
      <c r="E419" s="3" t="s">
        <v>28</v>
      </c>
      <c r="F419" s="3" t="s">
        <v>423</v>
      </c>
      <c r="G419" s="3" t="s">
        <v>424</v>
      </c>
      <c r="H419" s="3" t="s">
        <v>45</v>
      </c>
      <c r="I419" s="3" t="s">
        <v>32</v>
      </c>
      <c r="J419" s="3" t="s">
        <v>112</v>
      </c>
      <c r="K419" s="3" t="s">
        <v>113</v>
      </c>
      <c r="L419" s="3" t="s">
        <v>69</v>
      </c>
      <c r="M419" s="3" t="s">
        <v>135</v>
      </c>
      <c r="N419" s="3" t="s">
        <v>37</v>
      </c>
      <c r="O419" s="3" t="s">
        <v>136</v>
      </c>
      <c r="P419" s="3" t="s">
        <v>137</v>
      </c>
      <c r="Q419" s="5" t="n">
        <v>9720.69</v>
      </c>
      <c r="R419" s="3" t="n">
        <v>14</v>
      </c>
      <c r="S419" s="6" t="n">
        <v>0.1</v>
      </c>
      <c r="T419" s="5" t="n">
        <v>2730.28</v>
      </c>
      <c r="U419" s="3" t="str">
        <f aca="false">IF(T419&lt;0,"Loss",IF(T419=0,"Break-even","Profit"))</f>
        <v>Profit</v>
      </c>
      <c r="V419" s="3" t="str">
        <f aca="false">IF(Q419&lt;100,"Low",IF(Q419&lt;=500,"Medium","High"))</f>
        <v>High</v>
      </c>
      <c r="W419" s="3" t="n">
        <f aca="false">D419-C419</f>
        <v>4</v>
      </c>
      <c r="X419" s="3" t="str">
        <f aca="false">TEXT(C419,"mmmm")</f>
        <v>October</v>
      </c>
      <c r="Y419" s="3" t="str">
        <f aca="false">LEFT(G419,1)&amp;MID(G419,FIND(" ",G419)+1,1)</f>
        <v>MC</v>
      </c>
    </row>
    <row r="420" customFormat="false" ht="15" hidden="false" customHeight="false" outlineLevel="0" collapsed="false">
      <c r="A420" s="3" t="n">
        <v>419</v>
      </c>
      <c r="B420" s="3" t="s">
        <v>1364</v>
      </c>
      <c r="C420" s="4" t="s">
        <v>1339</v>
      </c>
      <c r="D420" s="4" t="s">
        <v>1361</v>
      </c>
      <c r="E420" s="3" t="s">
        <v>28</v>
      </c>
      <c r="F420" s="3" t="s">
        <v>206</v>
      </c>
      <c r="G420" s="3" t="s">
        <v>207</v>
      </c>
      <c r="H420" s="3" t="s">
        <v>56</v>
      </c>
      <c r="I420" s="3" t="s">
        <v>32</v>
      </c>
      <c r="J420" s="3" t="s">
        <v>67</v>
      </c>
      <c r="K420" s="3" t="s">
        <v>68</v>
      </c>
      <c r="L420" s="3" t="s">
        <v>69</v>
      </c>
      <c r="M420" s="3" t="s">
        <v>142</v>
      </c>
      <c r="N420" s="3" t="s">
        <v>49</v>
      </c>
      <c r="O420" s="3" t="s">
        <v>143</v>
      </c>
      <c r="P420" s="3" t="s">
        <v>144</v>
      </c>
      <c r="Q420" s="5" t="n">
        <v>624.96</v>
      </c>
      <c r="R420" s="3" t="n">
        <v>7</v>
      </c>
      <c r="S420" s="6" t="n">
        <v>0</v>
      </c>
      <c r="T420" s="5" t="n">
        <v>10.02</v>
      </c>
      <c r="U420" s="3" t="str">
        <f aca="false">IF(T420&lt;0,"Loss",IF(T420=0,"Break-even","Profit"))</f>
        <v>Profit</v>
      </c>
      <c r="V420" s="3" t="str">
        <f aca="false">IF(Q420&lt;100,"Low",IF(Q420&lt;=500,"Medium","High"))</f>
        <v>High</v>
      </c>
      <c r="W420" s="3" t="n">
        <f aca="false">D420-C420</f>
        <v>6</v>
      </c>
      <c r="X420" s="3" t="str">
        <f aca="false">TEXT(C420,"mmmm")</f>
        <v>October</v>
      </c>
      <c r="Y420" s="3" t="str">
        <f aca="false">LEFT(G420,1)&amp;MID(G420,FIND(" ",G420)+1,1)</f>
        <v>DJ</v>
      </c>
    </row>
    <row r="421" customFormat="false" ht="15" hidden="false" customHeight="false" outlineLevel="0" collapsed="false">
      <c r="A421" s="3" t="n">
        <v>420</v>
      </c>
      <c r="B421" s="3" t="s">
        <v>1365</v>
      </c>
      <c r="C421" s="4" t="s">
        <v>1343</v>
      </c>
      <c r="D421" s="4" t="s">
        <v>1361</v>
      </c>
      <c r="E421" s="3" t="s">
        <v>28</v>
      </c>
      <c r="F421" s="3" t="s">
        <v>694</v>
      </c>
      <c r="G421" s="3" t="s">
        <v>695</v>
      </c>
      <c r="H421" s="3" t="s">
        <v>56</v>
      </c>
      <c r="I421" s="3" t="s">
        <v>32</v>
      </c>
      <c r="J421" s="3" t="s">
        <v>208</v>
      </c>
      <c r="K421" s="3" t="s">
        <v>134</v>
      </c>
      <c r="L421" s="3" t="s">
        <v>69</v>
      </c>
      <c r="M421" s="3" t="s">
        <v>48</v>
      </c>
      <c r="N421" s="3" t="s">
        <v>49</v>
      </c>
      <c r="O421" s="3" t="s">
        <v>50</v>
      </c>
      <c r="P421" s="3" t="s">
        <v>51</v>
      </c>
      <c r="Q421" s="5" t="n">
        <v>692.49</v>
      </c>
      <c r="R421" s="3" t="n">
        <v>14</v>
      </c>
      <c r="S421" s="6" t="n">
        <v>0</v>
      </c>
      <c r="T421" s="5" t="n">
        <v>218.22</v>
      </c>
      <c r="U421" s="3" t="str">
        <f aca="false">IF(T421&lt;0,"Loss",IF(T421=0,"Break-even","Profit"))</f>
        <v>Profit</v>
      </c>
      <c r="V421" s="3" t="str">
        <f aca="false">IF(Q421&lt;100,"Low",IF(Q421&lt;=500,"Medium","High"))</f>
        <v>High</v>
      </c>
      <c r="W421" s="3" t="n">
        <f aca="false">D421-C421</f>
        <v>5</v>
      </c>
      <c r="X421" s="3" t="str">
        <f aca="false">TEXT(C421,"mmmm")</f>
        <v>October</v>
      </c>
      <c r="Y421" s="3" t="str">
        <f aca="false">LEFT(G421,1)&amp;MID(G421,FIND(" ",G421)+1,1)</f>
        <v>AA</v>
      </c>
    </row>
    <row r="422" customFormat="false" ht="15" hidden="false" customHeight="false" outlineLevel="0" collapsed="false">
      <c r="A422" s="3" t="n">
        <v>421</v>
      </c>
      <c r="B422" s="3" t="s">
        <v>1366</v>
      </c>
      <c r="C422" s="4" t="s">
        <v>1367</v>
      </c>
      <c r="D422" s="4" t="s">
        <v>1363</v>
      </c>
      <c r="E422" s="3" t="s">
        <v>42</v>
      </c>
      <c r="F422" s="3" t="s">
        <v>1063</v>
      </c>
      <c r="G422" s="3" t="s">
        <v>1064</v>
      </c>
      <c r="H422" s="3" t="s">
        <v>56</v>
      </c>
      <c r="I422" s="3" t="s">
        <v>32</v>
      </c>
      <c r="J422" s="3" t="s">
        <v>299</v>
      </c>
      <c r="K422" s="3" t="s">
        <v>189</v>
      </c>
      <c r="L422" s="3" t="s">
        <v>59</v>
      </c>
      <c r="M422" s="3" t="s">
        <v>322</v>
      </c>
      <c r="N422" s="3" t="s">
        <v>89</v>
      </c>
      <c r="O422" s="3" t="s">
        <v>323</v>
      </c>
      <c r="P422" s="3" t="s">
        <v>324</v>
      </c>
      <c r="Q422" s="5" t="n">
        <v>4082.67</v>
      </c>
      <c r="R422" s="3" t="n">
        <v>5</v>
      </c>
      <c r="S422" s="6" t="n">
        <v>0.3</v>
      </c>
      <c r="T422" s="5" t="n">
        <v>-53.01</v>
      </c>
      <c r="U422" s="3" t="str">
        <f aca="false">IF(T422&lt;0,"Loss",IF(T422=0,"Break-even","Profit"))</f>
        <v>Loss</v>
      </c>
      <c r="V422" s="3" t="str">
        <f aca="false">IF(Q422&lt;100,"Low",IF(Q422&lt;=500,"Medium","High"))</f>
        <v>High</v>
      </c>
      <c r="W422" s="3" t="n">
        <f aca="false">D422-C422</f>
        <v>2</v>
      </c>
      <c r="X422" s="3" t="str">
        <f aca="false">TEXT(C422,"mmmm")</f>
        <v>October</v>
      </c>
      <c r="Y422" s="3" t="str">
        <f aca="false">LEFT(G422,1)&amp;MID(G422,FIND(" ",G422)+1,1)</f>
        <v>AB</v>
      </c>
    </row>
    <row r="423" customFormat="false" ht="15" hidden="false" customHeight="false" outlineLevel="0" collapsed="false">
      <c r="A423" s="3" t="n">
        <v>422</v>
      </c>
      <c r="B423" s="3" t="s">
        <v>1090</v>
      </c>
      <c r="C423" s="4" t="s">
        <v>1367</v>
      </c>
      <c r="D423" s="4" t="s">
        <v>1361</v>
      </c>
      <c r="E423" s="3" t="s">
        <v>28</v>
      </c>
      <c r="F423" s="3" t="s">
        <v>486</v>
      </c>
      <c r="G423" s="3" t="s">
        <v>487</v>
      </c>
      <c r="H423" s="3" t="s">
        <v>56</v>
      </c>
      <c r="I423" s="3" t="s">
        <v>32</v>
      </c>
      <c r="J423" s="3" t="s">
        <v>252</v>
      </c>
      <c r="K423" s="3" t="s">
        <v>172</v>
      </c>
      <c r="L423" s="3" t="s">
        <v>157</v>
      </c>
      <c r="M423" s="3" t="s">
        <v>470</v>
      </c>
      <c r="N423" s="3" t="s">
        <v>49</v>
      </c>
      <c r="O423" s="3" t="s">
        <v>159</v>
      </c>
      <c r="P423" s="3" t="s">
        <v>471</v>
      </c>
      <c r="Q423" s="5" t="n">
        <v>867.64</v>
      </c>
      <c r="R423" s="3" t="n">
        <v>10</v>
      </c>
      <c r="S423" s="6" t="n">
        <v>0</v>
      </c>
      <c r="T423" s="5" t="n">
        <v>-68.42</v>
      </c>
      <c r="U423" s="3" t="str">
        <f aca="false">IF(T423&lt;0,"Loss",IF(T423=0,"Break-even","Profit"))</f>
        <v>Loss</v>
      </c>
      <c r="V423" s="3" t="str">
        <f aca="false">IF(Q423&lt;100,"Low",IF(Q423&lt;=500,"Medium","High"))</f>
        <v>High</v>
      </c>
      <c r="W423" s="3" t="n">
        <f aca="false">D423-C423</f>
        <v>4</v>
      </c>
      <c r="X423" s="3" t="str">
        <f aca="false">TEXT(C423,"mmmm")</f>
        <v>October</v>
      </c>
      <c r="Y423" s="3" t="str">
        <f aca="false">LEFT(G423,1)&amp;MID(G423,FIND(" ",G423)+1,1)</f>
        <v>JB</v>
      </c>
    </row>
    <row r="424" customFormat="false" ht="15" hidden="false" customHeight="false" outlineLevel="0" collapsed="false">
      <c r="A424" s="3" t="n">
        <v>423</v>
      </c>
      <c r="B424" s="3" t="s">
        <v>1368</v>
      </c>
      <c r="C424" s="4" t="s">
        <v>1367</v>
      </c>
      <c r="D424" s="4" t="s">
        <v>1361</v>
      </c>
      <c r="E424" s="3" t="s">
        <v>28</v>
      </c>
      <c r="F424" s="3" t="s">
        <v>1369</v>
      </c>
      <c r="G424" s="3" t="s">
        <v>1370</v>
      </c>
      <c r="H424" s="3" t="s">
        <v>56</v>
      </c>
      <c r="I424" s="3" t="s">
        <v>32</v>
      </c>
      <c r="J424" s="3" t="s">
        <v>329</v>
      </c>
      <c r="K424" s="3" t="s">
        <v>156</v>
      </c>
      <c r="L424" s="3" t="s">
        <v>157</v>
      </c>
      <c r="M424" s="3" t="s">
        <v>36</v>
      </c>
      <c r="N424" s="3" t="s">
        <v>37</v>
      </c>
      <c r="O424" s="3" t="s">
        <v>38</v>
      </c>
      <c r="P424" s="3" t="s">
        <v>39</v>
      </c>
      <c r="Q424" s="5" t="n">
        <v>1152.52</v>
      </c>
      <c r="R424" s="3" t="n">
        <v>8</v>
      </c>
      <c r="S424" s="6" t="n">
        <v>0.1</v>
      </c>
      <c r="T424" s="5" t="n">
        <v>372.65</v>
      </c>
      <c r="U424" s="3" t="str">
        <f aca="false">IF(T424&lt;0,"Loss",IF(T424=0,"Break-even","Profit"))</f>
        <v>Profit</v>
      </c>
      <c r="V424" s="3" t="str">
        <f aca="false">IF(Q424&lt;100,"Low",IF(Q424&lt;=500,"Medium","High"))</f>
        <v>High</v>
      </c>
      <c r="W424" s="3" t="n">
        <f aca="false">D424-C424</f>
        <v>4</v>
      </c>
      <c r="X424" s="3" t="str">
        <f aca="false">TEXT(C424,"mmmm")</f>
        <v>October</v>
      </c>
      <c r="Y424" s="3" t="str">
        <f aca="false">LEFT(G424,1)&amp;MID(G424,FIND(" ",G424)+1,1)</f>
        <v>WN</v>
      </c>
    </row>
    <row r="425" customFormat="false" ht="15" hidden="false" customHeight="false" outlineLevel="0" collapsed="false">
      <c r="A425" s="3" t="n">
        <v>424</v>
      </c>
      <c r="B425" s="3" t="s">
        <v>1080</v>
      </c>
      <c r="C425" s="4" t="s">
        <v>1363</v>
      </c>
      <c r="D425" s="4" t="s">
        <v>1371</v>
      </c>
      <c r="E425" s="3" t="s">
        <v>28</v>
      </c>
      <c r="F425" s="3" t="s">
        <v>257</v>
      </c>
      <c r="G425" s="3" t="s">
        <v>258</v>
      </c>
      <c r="H425" s="3" t="s">
        <v>56</v>
      </c>
      <c r="I425" s="3" t="s">
        <v>32</v>
      </c>
      <c r="J425" s="3" t="s">
        <v>67</v>
      </c>
      <c r="K425" s="3" t="s">
        <v>68</v>
      </c>
      <c r="L425" s="3" t="s">
        <v>69</v>
      </c>
      <c r="M425" s="3" t="s">
        <v>36</v>
      </c>
      <c r="N425" s="3" t="s">
        <v>37</v>
      </c>
      <c r="O425" s="3" t="s">
        <v>38</v>
      </c>
      <c r="P425" s="3" t="s">
        <v>39</v>
      </c>
      <c r="Q425" s="5" t="n">
        <v>115.26</v>
      </c>
      <c r="R425" s="3" t="n">
        <v>3</v>
      </c>
      <c r="S425" s="6" t="n">
        <v>0.4</v>
      </c>
      <c r="T425" s="5" t="n">
        <v>-13.4</v>
      </c>
      <c r="U425" s="3" t="str">
        <f aca="false">IF(T425&lt;0,"Loss",IF(T425=0,"Break-even","Profit"))</f>
        <v>Loss</v>
      </c>
      <c r="V425" s="3" t="str">
        <f aca="false">IF(Q425&lt;100,"Low",IF(Q425&lt;=500,"Medium","High"))</f>
        <v>Medium</v>
      </c>
      <c r="W425" s="3" t="n">
        <f aca="false">D425-C425</f>
        <v>5</v>
      </c>
      <c r="X425" s="3" t="str">
        <f aca="false">TEXT(C425,"mmmm")</f>
        <v>October</v>
      </c>
      <c r="Y425" s="3" t="str">
        <f aca="false">LEFT(G425,1)&amp;MID(G425,FIND(" ",G425)+1,1)</f>
        <v>MJ</v>
      </c>
    </row>
    <row r="426" customFormat="false" ht="15" hidden="false" customHeight="false" outlineLevel="0" collapsed="false">
      <c r="A426" s="3" t="n">
        <v>425</v>
      </c>
      <c r="B426" s="3" t="s">
        <v>1372</v>
      </c>
      <c r="C426" s="4" t="s">
        <v>1363</v>
      </c>
      <c r="D426" s="4" t="s">
        <v>1373</v>
      </c>
      <c r="E426" s="3" t="s">
        <v>28</v>
      </c>
      <c r="F426" s="3" t="s">
        <v>507</v>
      </c>
      <c r="G426" s="3" t="s">
        <v>508</v>
      </c>
      <c r="H426" s="3" t="s">
        <v>45</v>
      </c>
      <c r="I426" s="3" t="s">
        <v>32</v>
      </c>
      <c r="J426" s="3" t="s">
        <v>252</v>
      </c>
      <c r="K426" s="3" t="s">
        <v>172</v>
      </c>
      <c r="L426" s="3" t="s">
        <v>157</v>
      </c>
      <c r="M426" s="3" t="s">
        <v>316</v>
      </c>
      <c r="N426" s="3" t="s">
        <v>49</v>
      </c>
      <c r="O426" s="3" t="s">
        <v>143</v>
      </c>
      <c r="P426" s="3" t="s">
        <v>317</v>
      </c>
      <c r="Q426" s="5" t="n">
        <v>310.11</v>
      </c>
      <c r="R426" s="3" t="n">
        <v>11</v>
      </c>
      <c r="S426" s="6" t="n">
        <v>0.2</v>
      </c>
      <c r="T426" s="5" t="n">
        <v>92.45</v>
      </c>
      <c r="U426" s="3" t="str">
        <f aca="false">IF(T426&lt;0,"Loss",IF(T426=0,"Break-even","Profit"))</f>
        <v>Profit</v>
      </c>
      <c r="V426" s="3" t="str">
        <f aca="false">IF(Q426&lt;100,"Low",IF(Q426&lt;=500,"Medium","High"))</f>
        <v>Medium</v>
      </c>
      <c r="W426" s="3" t="n">
        <f aca="false">D426-C426</f>
        <v>3</v>
      </c>
      <c r="X426" s="3" t="str">
        <f aca="false">TEXT(C426,"mmmm")</f>
        <v>October</v>
      </c>
      <c r="Y426" s="3" t="str">
        <f aca="false">LEFT(G426,1)&amp;MID(G426,FIND(" ",G426)+1,1)</f>
        <v>LS</v>
      </c>
    </row>
    <row r="427" customFormat="false" ht="15" hidden="false" customHeight="false" outlineLevel="0" collapsed="false">
      <c r="A427" s="3" t="n">
        <v>426</v>
      </c>
      <c r="B427" s="3" t="s">
        <v>858</v>
      </c>
      <c r="C427" s="4" t="s">
        <v>1363</v>
      </c>
      <c r="D427" s="4" t="s">
        <v>1374</v>
      </c>
      <c r="E427" s="3" t="s">
        <v>28</v>
      </c>
      <c r="F427" s="3" t="s">
        <v>1375</v>
      </c>
      <c r="G427" s="3" t="s">
        <v>1376</v>
      </c>
      <c r="H427" s="3" t="s">
        <v>56</v>
      </c>
      <c r="I427" s="3" t="s">
        <v>32</v>
      </c>
      <c r="J427" s="3" t="s">
        <v>299</v>
      </c>
      <c r="K427" s="3" t="s">
        <v>189</v>
      </c>
      <c r="L427" s="3" t="s">
        <v>59</v>
      </c>
      <c r="M427" s="3" t="s">
        <v>420</v>
      </c>
      <c r="N427" s="3" t="s">
        <v>49</v>
      </c>
      <c r="O427" s="3" t="s">
        <v>80</v>
      </c>
      <c r="P427" s="3" t="s">
        <v>421</v>
      </c>
      <c r="Q427" s="5" t="n">
        <v>314.77</v>
      </c>
      <c r="R427" s="3" t="n">
        <v>12</v>
      </c>
      <c r="S427" s="6" t="n">
        <v>0.1</v>
      </c>
      <c r="T427" s="5" t="n">
        <v>27.8</v>
      </c>
      <c r="U427" s="3" t="str">
        <f aca="false">IF(T427&lt;0,"Loss",IF(T427=0,"Break-even","Profit"))</f>
        <v>Profit</v>
      </c>
      <c r="V427" s="3" t="str">
        <f aca="false">IF(Q427&lt;100,"Low",IF(Q427&lt;=500,"Medium","High"))</f>
        <v>Medium</v>
      </c>
      <c r="W427" s="3" t="n">
        <f aca="false">D427-C427</f>
        <v>7</v>
      </c>
      <c r="X427" s="3" t="str">
        <f aca="false">TEXT(C427,"mmmm")</f>
        <v>October</v>
      </c>
      <c r="Y427" s="3" t="str">
        <f aca="false">LEFT(G427,1)&amp;MID(G427,FIND(" ",G427)+1,1)</f>
        <v>JK</v>
      </c>
    </row>
    <row r="428" customFormat="false" ht="15" hidden="false" customHeight="false" outlineLevel="0" collapsed="false">
      <c r="A428" s="3" t="n">
        <v>427</v>
      </c>
      <c r="B428" s="3" t="s">
        <v>1377</v>
      </c>
      <c r="C428" s="4" t="s">
        <v>1363</v>
      </c>
      <c r="D428" s="4" t="s">
        <v>1373</v>
      </c>
      <c r="E428" s="3" t="s">
        <v>84</v>
      </c>
      <c r="F428" s="3" t="s">
        <v>1378</v>
      </c>
      <c r="G428" s="3" t="s">
        <v>1379</v>
      </c>
      <c r="H428" s="3" t="s">
        <v>56</v>
      </c>
      <c r="I428" s="3" t="s">
        <v>32</v>
      </c>
      <c r="J428" s="3" t="s">
        <v>476</v>
      </c>
      <c r="K428" s="3" t="s">
        <v>366</v>
      </c>
      <c r="L428" s="3" t="s">
        <v>157</v>
      </c>
      <c r="M428" s="3" t="s">
        <v>173</v>
      </c>
      <c r="N428" s="3" t="s">
        <v>89</v>
      </c>
      <c r="O428" s="3" t="s">
        <v>174</v>
      </c>
      <c r="P428" s="3" t="s">
        <v>175</v>
      </c>
      <c r="Q428" s="5" t="n">
        <v>2695.02</v>
      </c>
      <c r="R428" s="3" t="n">
        <v>10</v>
      </c>
      <c r="S428" s="6" t="n">
        <v>0</v>
      </c>
      <c r="T428" s="5" t="n">
        <v>437.74</v>
      </c>
      <c r="U428" s="3" t="str">
        <f aca="false">IF(T428&lt;0,"Loss",IF(T428=0,"Break-even","Profit"))</f>
        <v>Profit</v>
      </c>
      <c r="V428" s="3" t="str">
        <f aca="false">IF(Q428&lt;100,"Low",IF(Q428&lt;=500,"Medium","High"))</f>
        <v>High</v>
      </c>
      <c r="W428" s="3" t="n">
        <f aca="false">D428-C428</f>
        <v>3</v>
      </c>
      <c r="X428" s="3" t="str">
        <f aca="false">TEXT(C428,"mmmm")</f>
        <v>October</v>
      </c>
      <c r="Y428" s="3" t="str">
        <f aca="false">LEFT(G428,1)&amp;MID(G428,FIND(" ",G428)+1,1)</f>
        <v>JB</v>
      </c>
    </row>
    <row r="429" customFormat="false" ht="15" hidden="false" customHeight="false" outlineLevel="0" collapsed="false">
      <c r="A429" s="3" t="n">
        <v>428</v>
      </c>
      <c r="B429" s="3" t="s">
        <v>1380</v>
      </c>
      <c r="C429" s="4" t="s">
        <v>1363</v>
      </c>
      <c r="D429" s="4" t="s">
        <v>1381</v>
      </c>
      <c r="E429" s="3" t="s">
        <v>28</v>
      </c>
      <c r="F429" s="3" t="s">
        <v>579</v>
      </c>
      <c r="G429" s="3" t="s">
        <v>580</v>
      </c>
      <c r="H429" s="3" t="s">
        <v>45</v>
      </c>
      <c r="I429" s="3" t="s">
        <v>32</v>
      </c>
      <c r="J429" s="3" t="s">
        <v>365</v>
      </c>
      <c r="K429" s="3" t="s">
        <v>366</v>
      </c>
      <c r="L429" s="3" t="s">
        <v>157</v>
      </c>
      <c r="M429" s="3" t="s">
        <v>300</v>
      </c>
      <c r="N429" s="3" t="s">
        <v>49</v>
      </c>
      <c r="O429" s="3" t="s">
        <v>143</v>
      </c>
      <c r="P429" s="3" t="s">
        <v>301</v>
      </c>
      <c r="Q429" s="5" t="n">
        <v>71.95</v>
      </c>
      <c r="R429" s="3" t="n">
        <v>4</v>
      </c>
      <c r="S429" s="6" t="n">
        <v>0</v>
      </c>
      <c r="T429" s="5" t="n">
        <v>18.34</v>
      </c>
      <c r="U429" s="3" t="str">
        <f aca="false">IF(T429&lt;0,"Loss",IF(T429=0,"Break-even","Profit"))</f>
        <v>Profit</v>
      </c>
      <c r="V429" s="3" t="str">
        <f aca="false">IF(Q429&lt;100,"Low",IF(Q429&lt;=500,"Medium","High"))</f>
        <v>Low</v>
      </c>
      <c r="W429" s="3" t="n">
        <f aca="false">D429-C429</f>
        <v>6</v>
      </c>
      <c r="X429" s="3" t="str">
        <f aca="false">TEXT(C429,"mmmm")</f>
        <v>October</v>
      </c>
      <c r="Y429" s="3" t="str">
        <f aca="false">LEFT(G429,1)&amp;MID(G429,FIND(" ",G429)+1,1)</f>
        <v>OB</v>
      </c>
    </row>
    <row r="430" customFormat="false" ht="15" hidden="false" customHeight="false" outlineLevel="0" collapsed="false">
      <c r="A430" s="3" t="n">
        <v>429</v>
      </c>
      <c r="B430" s="3" t="s">
        <v>1382</v>
      </c>
      <c r="C430" s="4" t="s">
        <v>1363</v>
      </c>
      <c r="D430" s="4" t="s">
        <v>1371</v>
      </c>
      <c r="E430" s="3" t="s">
        <v>28</v>
      </c>
      <c r="F430" s="3" t="s">
        <v>817</v>
      </c>
      <c r="G430" s="3" t="s">
        <v>818</v>
      </c>
      <c r="H430" s="3" t="s">
        <v>31</v>
      </c>
      <c r="I430" s="3" t="s">
        <v>32</v>
      </c>
      <c r="J430" s="3" t="s">
        <v>306</v>
      </c>
      <c r="K430" s="3" t="s">
        <v>307</v>
      </c>
      <c r="L430" s="3" t="s">
        <v>69</v>
      </c>
      <c r="M430" s="3" t="s">
        <v>300</v>
      </c>
      <c r="N430" s="3" t="s">
        <v>49</v>
      </c>
      <c r="O430" s="3" t="s">
        <v>143</v>
      </c>
      <c r="P430" s="3" t="s">
        <v>301</v>
      </c>
      <c r="Q430" s="5" t="n">
        <v>90.78</v>
      </c>
      <c r="R430" s="3" t="n">
        <v>6</v>
      </c>
      <c r="S430" s="6" t="n">
        <v>0</v>
      </c>
      <c r="T430" s="5" t="n">
        <v>-11.31</v>
      </c>
      <c r="U430" s="3" t="str">
        <f aca="false">IF(T430&lt;0,"Loss",IF(T430=0,"Break-even","Profit"))</f>
        <v>Loss</v>
      </c>
      <c r="V430" s="3" t="str">
        <f aca="false">IF(Q430&lt;100,"Low",IF(Q430&lt;=500,"Medium","High"))</f>
        <v>Low</v>
      </c>
      <c r="W430" s="3" t="n">
        <f aca="false">D430-C430</f>
        <v>5</v>
      </c>
      <c r="X430" s="3" t="str">
        <f aca="false">TEXT(C430,"mmmm")</f>
        <v>October</v>
      </c>
      <c r="Y430" s="3" t="str">
        <f aca="false">LEFT(G430,1)&amp;MID(G430,FIND(" ",G430)+1,1)</f>
        <v>ES</v>
      </c>
    </row>
    <row r="431" customFormat="false" ht="15" hidden="false" customHeight="false" outlineLevel="0" collapsed="false">
      <c r="A431" s="3" t="n">
        <v>430</v>
      </c>
      <c r="B431" s="3" t="s">
        <v>1383</v>
      </c>
      <c r="C431" s="4" t="s">
        <v>1384</v>
      </c>
      <c r="D431" s="4" t="s">
        <v>1381</v>
      </c>
      <c r="E431" s="3" t="s">
        <v>28</v>
      </c>
      <c r="F431" s="3" t="s">
        <v>1385</v>
      </c>
      <c r="G431" s="3" t="s">
        <v>1386</v>
      </c>
      <c r="H431" s="3" t="s">
        <v>56</v>
      </c>
      <c r="I431" s="3" t="s">
        <v>32</v>
      </c>
      <c r="J431" s="3" t="s">
        <v>315</v>
      </c>
      <c r="K431" s="3" t="s">
        <v>58</v>
      </c>
      <c r="L431" s="3" t="s">
        <v>59</v>
      </c>
      <c r="M431" s="3" t="s">
        <v>253</v>
      </c>
      <c r="N431" s="3" t="s">
        <v>89</v>
      </c>
      <c r="O431" s="3" t="s">
        <v>90</v>
      </c>
      <c r="P431" s="3" t="s">
        <v>254</v>
      </c>
      <c r="Q431" s="5" t="n">
        <v>1956.11</v>
      </c>
      <c r="R431" s="3" t="n">
        <v>3</v>
      </c>
      <c r="S431" s="6" t="n">
        <v>0.2</v>
      </c>
      <c r="T431" s="5" t="n">
        <v>-381.95</v>
      </c>
      <c r="U431" s="3" t="str">
        <f aca="false">IF(T431&lt;0,"Loss",IF(T431=0,"Break-even","Profit"))</f>
        <v>Loss</v>
      </c>
      <c r="V431" s="3" t="str">
        <f aca="false">IF(Q431&lt;100,"Low",IF(Q431&lt;=500,"Medium","High"))</f>
        <v>High</v>
      </c>
      <c r="W431" s="3" t="n">
        <f aca="false">D431-C431</f>
        <v>5</v>
      </c>
      <c r="X431" s="3" t="str">
        <f aca="false">TEXT(C431,"mmmm")</f>
        <v>October</v>
      </c>
      <c r="Y431" s="3" t="str">
        <f aca="false">LEFT(G431,1)&amp;MID(G431,FIND(" ",G431)+1,1)</f>
        <v>PS</v>
      </c>
    </row>
    <row r="432" customFormat="false" ht="15" hidden="false" customHeight="false" outlineLevel="0" collapsed="false">
      <c r="A432" s="3" t="n">
        <v>431</v>
      </c>
      <c r="B432" s="3" t="s">
        <v>816</v>
      </c>
      <c r="C432" s="4" t="s">
        <v>1361</v>
      </c>
      <c r="D432" s="4" t="s">
        <v>1387</v>
      </c>
      <c r="E432" s="3" t="s">
        <v>28</v>
      </c>
      <c r="F432" s="3" t="s">
        <v>1388</v>
      </c>
      <c r="G432" s="3" t="s">
        <v>1389</v>
      </c>
      <c r="H432" s="3" t="s">
        <v>45</v>
      </c>
      <c r="I432" s="3" t="s">
        <v>32</v>
      </c>
      <c r="J432" s="3" t="s">
        <v>133</v>
      </c>
      <c r="K432" s="3" t="s">
        <v>134</v>
      </c>
      <c r="L432" s="3" t="s">
        <v>69</v>
      </c>
      <c r="M432" s="3" t="s">
        <v>300</v>
      </c>
      <c r="N432" s="3" t="s">
        <v>49</v>
      </c>
      <c r="O432" s="3" t="s">
        <v>143</v>
      </c>
      <c r="P432" s="3" t="s">
        <v>301</v>
      </c>
      <c r="Q432" s="5" t="n">
        <v>1172.22</v>
      </c>
      <c r="R432" s="3" t="n">
        <v>13</v>
      </c>
      <c r="S432" s="6" t="n">
        <v>0</v>
      </c>
      <c r="T432" s="5" t="n">
        <v>84.79</v>
      </c>
      <c r="U432" s="3" t="str">
        <f aca="false">IF(T432&lt;0,"Loss",IF(T432=0,"Break-even","Profit"))</f>
        <v>Profit</v>
      </c>
      <c r="V432" s="3" t="str">
        <f aca="false">IF(Q432&lt;100,"Low",IF(Q432&lt;=500,"Medium","High"))</f>
        <v>High</v>
      </c>
      <c r="W432" s="3" t="n">
        <f aca="false">D432-C432</f>
        <v>6</v>
      </c>
      <c r="X432" s="3" t="str">
        <f aca="false">TEXT(C432,"mmmm")</f>
        <v>October</v>
      </c>
      <c r="Y432" s="3" t="str">
        <f aca="false">LEFT(G432,1)&amp;MID(G432,FIND(" ",G432)+1,1)</f>
        <v>WK</v>
      </c>
    </row>
    <row r="433" customFormat="false" ht="15" hidden="false" customHeight="false" outlineLevel="0" collapsed="false">
      <c r="A433" s="3" t="n">
        <v>432</v>
      </c>
      <c r="B433" s="3" t="s">
        <v>1390</v>
      </c>
      <c r="C433" s="4" t="s">
        <v>1361</v>
      </c>
      <c r="D433" s="4" t="s">
        <v>1387</v>
      </c>
      <c r="E433" s="3" t="s">
        <v>28</v>
      </c>
      <c r="F433" s="3" t="s">
        <v>1335</v>
      </c>
      <c r="G433" s="3" t="s">
        <v>1336</v>
      </c>
      <c r="H433" s="3" t="s">
        <v>45</v>
      </c>
      <c r="I433" s="3" t="s">
        <v>32</v>
      </c>
      <c r="J433" s="3" t="s">
        <v>208</v>
      </c>
      <c r="K433" s="3" t="s">
        <v>134</v>
      </c>
      <c r="L433" s="3" t="s">
        <v>69</v>
      </c>
      <c r="M433" s="3" t="s">
        <v>48</v>
      </c>
      <c r="N433" s="3" t="s">
        <v>49</v>
      </c>
      <c r="O433" s="3" t="s">
        <v>50</v>
      </c>
      <c r="P433" s="3" t="s">
        <v>51</v>
      </c>
      <c r="Q433" s="5" t="n">
        <v>249.94</v>
      </c>
      <c r="R433" s="3" t="n">
        <v>5</v>
      </c>
      <c r="S433" s="6" t="n">
        <v>0.1</v>
      </c>
      <c r="T433" s="5" t="n">
        <v>-28.54</v>
      </c>
      <c r="U433" s="3" t="str">
        <f aca="false">IF(T433&lt;0,"Loss",IF(T433=0,"Break-even","Profit"))</f>
        <v>Loss</v>
      </c>
      <c r="V433" s="3" t="str">
        <f aca="false">IF(Q433&lt;100,"Low",IF(Q433&lt;=500,"Medium","High"))</f>
        <v>Medium</v>
      </c>
      <c r="W433" s="3" t="n">
        <f aca="false">D433-C433</f>
        <v>6</v>
      </c>
      <c r="X433" s="3" t="str">
        <f aca="false">TEXT(C433,"mmmm")</f>
        <v>October</v>
      </c>
      <c r="Y433" s="3" t="str">
        <f aca="false">LEFT(G433,1)&amp;MID(G433,FIND(" ",G433)+1,1)</f>
        <v>AK</v>
      </c>
    </row>
    <row r="434" customFormat="false" ht="15" hidden="false" customHeight="false" outlineLevel="0" collapsed="false">
      <c r="A434" s="3" t="n">
        <v>433</v>
      </c>
      <c r="B434" s="3" t="s">
        <v>1391</v>
      </c>
      <c r="C434" s="4" t="s">
        <v>1392</v>
      </c>
      <c r="D434" s="4" t="s">
        <v>1393</v>
      </c>
      <c r="E434" s="3" t="s">
        <v>28</v>
      </c>
      <c r="F434" s="3" t="s">
        <v>438</v>
      </c>
      <c r="G434" s="3" t="s">
        <v>439</v>
      </c>
      <c r="H434" s="3" t="s">
        <v>56</v>
      </c>
      <c r="I434" s="3" t="s">
        <v>32</v>
      </c>
      <c r="J434" s="3" t="s">
        <v>67</v>
      </c>
      <c r="K434" s="3" t="s">
        <v>68</v>
      </c>
      <c r="L434" s="3" t="s">
        <v>69</v>
      </c>
      <c r="M434" s="3" t="s">
        <v>105</v>
      </c>
      <c r="N434" s="3" t="s">
        <v>49</v>
      </c>
      <c r="O434" s="3" t="s">
        <v>106</v>
      </c>
      <c r="P434" s="3" t="s">
        <v>107</v>
      </c>
      <c r="Q434" s="5" t="n">
        <v>355.78</v>
      </c>
      <c r="R434" s="3" t="n">
        <v>5</v>
      </c>
      <c r="S434" s="6" t="n">
        <v>0.3</v>
      </c>
      <c r="T434" s="5" t="n">
        <v>39.19</v>
      </c>
      <c r="U434" s="3" t="str">
        <f aca="false">IF(T434&lt;0,"Loss",IF(T434=0,"Break-even","Profit"))</f>
        <v>Profit</v>
      </c>
      <c r="V434" s="3" t="str">
        <f aca="false">IF(Q434&lt;100,"Low",IF(Q434&lt;=500,"Medium","High"))</f>
        <v>Medium</v>
      </c>
      <c r="W434" s="3" t="n">
        <f aca="false">D434-C434</f>
        <v>6</v>
      </c>
      <c r="X434" s="3" t="str">
        <f aca="false">TEXT(C434,"mmmm")</f>
        <v>October</v>
      </c>
      <c r="Y434" s="3" t="str">
        <f aca="false">LEFT(G434,1)&amp;MID(G434,FIND(" ",G434)+1,1)</f>
        <v>JB</v>
      </c>
    </row>
    <row r="435" customFormat="false" ht="15" hidden="false" customHeight="false" outlineLevel="0" collapsed="false">
      <c r="A435" s="3" t="n">
        <v>434</v>
      </c>
      <c r="B435" s="3" t="s">
        <v>1394</v>
      </c>
      <c r="C435" s="4" t="s">
        <v>1392</v>
      </c>
      <c r="D435" s="4" t="s">
        <v>1374</v>
      </c>
      <c r="E435" s="3" t="s">
        <v>84</v>
      </c>
      <c r="F435" s="3" t="s">
        <v>1395</v>
      </c>
      <c r="G435" s="3" t="s">
        <v>1396</v>
      </c>
      <c r="H435" s="3" t="s">
        <v>56</v>
      </c>
      <c r="I435" s="3" t="s">
        <v>32</v>
      </c>
      <c r="J435" s="3" t="s">
        <v>208</v>
      </c>
      <c r="K435" s="3" t="s">
        <v>134</v>
      </c>
      <c r="L435" s="3" t="s">
        <v>69</v>
      </c>
      <c r="M435" s="3" t="s">
        <v>447</v>
      </c>
      <c r="N435" s="3" t="s">
        <v>89</v>
      </c>
      <c r="O435" s="3" t="s">
        <v>323</v>
      </c>
      <c r="P435" s="3" t="s">
        <v>448</v>
      </c>
      <c r="Q435" s="5" t="n">
        <v>311.79</v>
      </c>
      <c r="R435" s="3" t="n">
        <v>6</v>
      </c>
      <c r="S435" s="6" t="n">
        <v>0.1</v>
      </c>
      <c r="T435" s="5" t="n">
        <v>-62.92</v>
      </c>
      <c r="U435" s="3" t="str">
        <f aca="false">IF(T435&lt;0,"Loss",IF(T435=0,"Break-even","Profit"))</f>
        <v>Loss</v>
      </c>
      <c r="V435" s="3" t="str">
        <f aca="false">IF(Q435&lt;100,"Low",IF(Q435&lt;=500,"Medium","High"))</f>
        <v>Medium</v>
      </c>
      <c r="W435" s="3" t="n">
        <f aca="false">D435-C435</f>
        <v>3</v>
      </c>
      <c r="X435" s="3" t="str">
        <f aca="false">TEXT(C435,"mmmm")</f>
        <v>October</v>
      </c>
      <c r="Y435" s="3" t="str">
        <f aca="false">LEFT(G435,1)&amp;MID(G435,FIND(" ",G435)+1,1)</f>
        <v>LM</v>
      </c>
    </row>
    <row r="436" customFormat="false" ht="15" hidden="false" customHeight="false" outlineLevel="0" collapsed="false">
      <c r="A436" s="3" t="n">
        <v>435</v>
      </c>
      <c r="B436" s="3" t="s">
        <v>1397</v>
      </c>
      <c r="C436" s="4" t="s">
        <v>1392</v>
      </c>
      <c r="D436" s="4" t="s">
        <v>1387</v>
      </c>
      <c r="E436" s="3" t="s">
        <v>28</v>
      </c>
      <c r="F436" s="3" t="s">
        <v>153</v>
      </c>
      <c r="G436" s="3" t="s">
        <v>154</v>
      </c>
      <c r="H436" s="3" t="s">
        <v>56</v>
      </c>
      <c r="I436" s="3" t="s">
        <v>32</v>
      </c>
      <c r="J436" s="3" t="s">
        <v>252</v>
      </c>
      <c r="K436" s="3" t="s">
        <v>172</v>
      </c>
      <c r="L436" s="3" t="s">
        <v>157</v>
      </c>
      <c r="M436" s="3" t="s">
        <v>225</v>
      </c>
      <c r="N436" s="3" t="s">
        <v>37</v>
      </c>
      <c r="O436" s="3" t="s">
        <v>196</v>
      </c>
      <c r="P436" s="3" t="s">
        <v>226</v>
      </c>
      <c r="Q436" s="5" t="n">
        <v>21525.24</v>
      </c>
      <c r="R436" s="3" t="n">
        <v>14</v>
      </c>
      <c r="S436" s="6" t="n">
        <v>0.1</v>
      </c>
      <c r="T436" s="5" t="n">
        <v>-4416.97</v>
      </c>
      <c r="U436" s="3" t="str">
        <f aca="false">IF(T436&lt;0,"Loss",IF(T436=0,"Break-even","Profit"))</f>
        <v>Loss</v>
      </c>
      <c r="V436" s="3" t="str">
        <f aca="false">IF(Q436&lt;100,"Low",IF(Q436&lt;=500,"Medium","High"))</f>
        <v>High</v>
      </c>
      <c r="W436" s="3" t="n">
        <f aca="false">D436-C436</f>
        <v>4</v>
      </c>
      <c r="X436" s="3" t="str">
        <f aca="false">TEXT(C436,"mmmm")</f>
        <v>October</v>
      </c>
      <c r="Y436" s="3" t="str">
        <f aca="false">LEFT(G436,1)&amp;MID(G436,FIND(" ",G436)+1,1)</f>
        <v>SK</v>
      </c>
    </row>
    <row r="437" customFormat="false" ht="15" hidden="false" customHeight="false" outlineLevel="0" collapsed="false">
      <c r="A437" s="3" t="n">
        <v>436</v>
      </c>
      <c r="B437" s="3" t="s">
        <v>1398</v>
      </c>
      <c r="C437" s="4" t="s">
        <v>1371</v>
      </c>
      <c r="D437" s="4" t="s">
        <v>1399</v>
      </c>
      <c r="E437" s="3" t="s">
        <v>28</v>
      </c>
      <c r="F437" s="3" t="s">
        <v>553</v>
      </c>
      <c r="G437" s="3" t="s">
        <v>554</v>
      </c>
      <c r="H437" s="3" t="s">
        <v>56</v>
      </c>
      <c r="I437" s="3" t="s">
        <v>32</v>
      </c>
      <c r="J437" s="3" t="s">
        <v>67</v>
      </c>
      <c r="K437" s="3" t="s">
        <v>68</v>
      </c>
      <c r="L437" s="3" t="s">
        <v>69</v>
      </c>
      <c r="M437" s="3" t="s">
        <v>420</v>
      </c>
      <c r="N437" s="3" t="s">
        <v>49</v>
      </c>
      <c r="O437" s="3" t="s">
        <v>80</v>
      </c>
      <c r="P437" s="3" t="s">
        <v>421</v>
      </c>
      <c r="Q437" s="5" t="n">
        <v>13.69</v>
      </c>
      <c r="R437" s="3" t="n">
        <v>1</v>
      </c>
      <c r="S437" s="6" t="n">
        <v>0.1</v>
      </c>
      <c r="T437" s="5" t="n">
        <v>-0.28</v>
      </c>
      <c r="U437" s="3" t="str">
        <f aca="false">IF(T437&lt;0,"Loss",IF(T437=0,"Break-even","Profit"))</f>
        <v>Loss</v>
      </c>
      <c r="V437" s="3" t="str">
        <f aca="false">IF(Q437&lt;100,"Low",IF(Q437&lt;=500,"Medium","High"))</f>
        <v>Low</v>
      </c>
      <c r="W437" s="3" t="n">
        <f aca="false">D437-C437</f>
        <v>4</v>
      </c>
      <c r="X437" s="3" t="str">
        <f aca="false">TEXT(C437,"mmmm")</f>
        <v>October</v>
      </c>
      <c r="Y437" s="3" t="str">
        <f aca="false">LEFT(G437,1)&amp;MID(G437,FIND(" ",G437)+1,1)</f>
        <v>LC</v>
      </c>
    </row>
    <row r="438" customFormat="false" ht="15" hidden="false" customHeight="false" outlineLevel="0" collapsed="false">
      <c r="A438" s="3" t="n">
        <v>437</v>
      </c>
      <c r="B438" s="3" t="s">
        <v>1400</v>
      </c>
      <c r="C438" s="4" t="s">
        <v>1371</v>
      </c>
      <c r="D438" s="4" t="s">
        <v>1374</v>
      </c>
      <c r="E438" s="3" t="s">
        <v>84</v>
      </c>
      <c r="F438" s="3" t="s">
        <v>1401</v>
      </c>
      <c r="G438" s="3" t="s">
        <v>1402</v>
      </c>
      <c r="H438" s="3" t="s">
        <v>56</v>
      </c>
      <c r="I438" s="3" t="s">
        <v>32</v>
      </c>
      <c r="J438" s="3" t="s">
        <v>112</v>
      </c>
      <c r="K438" s="3" t="s">
        <v>113</v>
      </c>
      <c r="L438" s="3" t="s">
        <v>69</v>
      </c>
      <c r="M438" s="3" t="s">
        <v>114</v>
      </c>
      <c r="N438" s="3" t="s">
        <v>49</v>
      </c>
      <c r="O438" s="3" t="s">
        <v>61</v>
      </c>
      <c r="P438" s="3" t="s">
        <v>115</v>
      </c>
      <c r="Q438" s="5" t="n">
        <v>8.67</v>
      </c>
      <c r="R438" s="3" t="n">
        <v>4</v>
      </c>
      <c r="S438" s="6" t="n">
        <v>0.1</v>
      </c>
      <c r="T438" s="5" t="n">
        <v>-0.38</v>
      </c>
      <c r="U438" s="3" t="str">
        <f aca="false">IF(T438&lt;0,"Loss",IF(T438=0,"Break-even","Profit"))</f>
        <v>Loss</v>
      </c>
      <c r="V438" s="3" t="str">
        <f aca="false">IF(Q438&lt;100,"Low",IF(Q438&lt;=500,"Medium","High"))</f>
        <v>Low</v>
      </c>
      <c r="W438" s="3" t="n">
        <f aca="false">D438-C438</f>
        <v>2</v>
      </c>
      <c r="X438" s="3" t="str">
        <f aca="false">TEXT(C438,"mmmm")</f>
        <v>October</v>
      </c>
      <c r="Y438" s="3" t="str">
        <f aca="false">LEFT(G438,1)&amp;MID(G438,FIND(" ",G438)+1,1)</f>
        <v>SS</v>
      </c>
    </row>
    <row r="439" customFormat="false" ht="15" hidden="false" customHeight="false" outlineLevel="0" collapsed="false">
      <c r="A439" s="3" t="n">
        <v>438</v>
      </c>
      <c r="B439" s="3" t="s">
        <v>1366</v>
      </c>
      <c r="C439" s="4" t="s">
        <v>1381</v>
      </c>
      <c r="D439" s="4" t="s">
        <v>1387</v>
      </c>
      <c r="E439" s="3" t="s">
        <v>84</v>
      </c>
      <c r="F439" s="3" t="s">
        <v>54</v>
      </c>
      <c r="G439" s="3" t="s">
        <v>55</v>
      </c>
      <c r="H439" s="3" t="s">
        <v>45</v>
      </c>
      <c r="I439" s="3" t="s">
        <v>32</v>
      </c>
      <c r="J439" s="3" t="s">
        <v>873</v>
      </c>
      <c r="K439" s="3" t="s">
        <v>387</v>
      </c>
      <c r="L439" s="3" t="s">
        <v>35</v>
      </c>
      <c r="M439" s="3" t="s">
        <v>60</v>
      </c>
      <c r="N439" s="3" t="s">
        <v>49</v>
      </c>
      <c r="O439" s="3" t="s">
        <v>61</v>
      </c>
      <c r="P439" s="3" t="s">
        <v>62</v>
      </c>
      <c r="Q439" s="5" t="n">
        <v>639.45</v>
      </c>
      <c r="R439" s="3" t="n">
        <v>14</v>
      </c>
      <c r="S439" s="6" t="n">
        <v>0.1</v>
      </c>
      <c r="T439" s="5" t="n">
        <v>-168.2</v>
      </c>
      <c r="U439" s="3" t="str">
        <f aca="false">IF(T439&lt;0,"Loss",IF(T439=0,"Break-even","Profit"))</f>
        <v>Loss</v>
      </c>
      <c r="V439" s="3" t="str">
        <f aca="false">IF(Q439&lt;100,"Low",IF(Q439&lt;=500,"Medium","High"))</f>
        <v>High</v>
      </c>
      <c r="W439" s="3" t="n">
        <f aca="false">D439-C439</f>
        <v>2</v>
      </c>
      <c r="X439" s="3" t="str">
        <f aca="false">TEXT(C439,"mmmm")</f>
        <v>November</v>
      </c>
      <c r="Y439" s="3" t="str">
        <f aca="false">LEFT(G439,1)&amp;MID(G439,FIND(" ",G439)+1,1)</f>
        <v>RN</v>
      </c>
    </row>
    <row r="440" customFormat="false" ht="15" hidden="false" customHeight="false" outlineLevel="0" collapsed="false">
      <c r="A440" s="3" t="n">
        <v>439</v>
      </c>
      <c r="B440" s="3" t="s">
        <v>1403</v>
      </c>
      <c r="C440" s="4" t="s">
        <v>1381</v>
      </c>
      <c r="D440" s="4" t="s">
        <v>1374</v>
      </c>
      <c r="E440" s="3" t="s">
        <v>42</v>
      </c>
      <c r="F440" s="3" t="s">
        <v>983</v>
      </c>
      <c r="G440" s="3" t="s">
        <v>984</v>
      </c>
      <c r="H440" s="3" t="s">
        <v>45</v>
      </c>
      <c r="I440" s="3" t="s">
        <v>32</v>
      </c>
      <c r="J440" s="3" t="s">
        <v>476</v>
      </c>
      <c r="K440" s="3" t="s">
        <v>366</v>
      </c>
      <c r="L440" s="3" t="s">
        <v>157</v>
      </c>
      <c r="M440" s="3" t="s">
        <v>209</v>
      </c>
      <c r="N440" s="3" t="s">
        <v>49</v>
      </c>
      <c r="O440" s="3" t="s">
        <v>106</v>
      </c>
      <c r="P440" s="3" t="s">
        <v>210</v>
      </c>
      <c r="Q440" s="5" t="n">
        <v>1053.43</v>
      </c>
      <c r="R440" s="3" t="n">
        <v>13</v>
      </c>
      <c r="S440" s="6" t="n">
        <v>0.2</v>
      </c>
      <c r="T440" s="5" t="n">
        <v>-178.01</v>
      </c>
      <c r="U440" s="3" t="str">
        <f aca="false">IF(T440&lt;0,"Loss",IF(T440=0,"Break-even","Profit"))</f>
        <v>Loss</v>
      </c>
      <c r="V440" s="3" t="str">
        <f aca="false">IF(Q440&lt;100,"Low",IF(Q440&lt;=500,"Medium","High"))</f>
        <v>High</v>
      </c>
      <c r="W440" s="3" t="n">
        <f aca="false">D440-C440</f>
        <v>1</v>
      </c>
      <c r="X440" s="3" t="str">
        <f aca="false">TEXT(C440,"mmmm")</f>
        <v>November</v>
      </c>
      <c r="Y440" s="3" t="str">
        <f aca="false">LEFT(G440,1)&amp;MID(G440,FIND(" ",G440)+1,1)</f>
        <v>JS</v>
      </c>
    </row>
    <row r="441" customFormat="false" ht="15" hidden="false" customHeight="false" outlineLevel="0" collapsed="false">
      <c r="A441" s="3" t="n">
        <v>440</v>
      </c>
      <c r="B441" s="3" t="s">
        <v>1404</v>
      </c>
      <c r="C441" s="4" t="s">
        <v>1374</v>
      </c>
      <c r="D441" s="4" t="s">
        <v>1393</v>
      </c>
      <c r="E441" s="3" t="s">
        <v>84</v>
      </c>
      <c r="F441" s="3" t="s">
        <v>1405</v>
      </c>
      <c r="G441" s="3" t="s">
        <v>1406</v>
      </c>
      <c r="H441" s="3" t="s">
        <v>45</v>
      </c>
      <c r="I441" s="3" t="s">
        <v>32</v>
      </c>
      <c r="J441" s="3" t="s">
        <v>252</v>
      </c>
      <c r="K441" s="3" t="s">
        <v>172</v>
      </c>
      <c r="L441" s="3" t="s">
        <v>157</v>
      </c>
      <c r="M441" s="3" t="s">
        <v>70</v>
      </c>
      <c r="N441" s="3" t="s">
        <v>37</v>
      </c>
      <c r="O441" s="3" t="s">
        <v>71</v>
      </c>
      <c r="P441" s="3" t="s">
        <v>72</v>
      </c>
      <c r="Q441" s="5" t="n">
        <v>11791</v>
      </c>
      <c r="R441" s="3" t="n">
        <v>8</v>
      </c>
      <c r="S441" s="6" t="n">
        <v>0</v>
      </c>
      <c r="T441" s="5" t="n">
        <v>1819.16</v>
      </c>
      <c r="U441" s="3" t="str">
        <f aca="false">IF(T441&lt;0,"Loss",IF(T441=0,"Break-even","Profit"))</f>
        <v>Profit</v>
      </c>
      <c r="V441" s="3" t="str">
        <f aca="false">IF(Q441&lt;100,"Low",IF(Q441&lt;=500,"Medium","High"))</f>
        <v>High</v>
      </c>
      <c r="W441" s="3" t="n">
        <f aca="false">D441-C441</f>
        <v>3</v>
      </c>
      <c r="X441" s="3" t="str">
        <f aca="false">TEXT(C441,"mmmm")</f>
        <v>November</v>
      </c>
      <c r="Y441" s="3" t="str">
        <f aca="false">LEFT(G441,1)&amp;MID(G441,FIND(" ",G441)+1,1)</f>
        <v>AA</v>
      </c>
    </row>
    <row r="442" customFormat="false" ht="15" hidden="false" customHeight="false" outlineLevel="0" collapsed="false">
      <c r="A442" s="3" t="n">
        <v>441</v>
      </c>
      <c r="B442" s="3" t="s">
        <v>1080</v>
      </c>
      <c r="C442" s="4" t="s">
        <v>1374</v>
      </c>
      <c r="D442" s="4" t="s">
        <v>1407</v>
      </c>
      <c r="E442" s="3" t="s">
        <v>28</v>
      </c>
      <c r="F442" s="3" t="s">
        <v>556</v>
      </c>
      <c r="G442" s="3" t="s">
        <v>557</v>
      </c>
      <c r="H442" s="3" t="s">
        <v>56</v>
      </c>
      <c r="I442" s="3" t="s">
        <v>32</v>
      </c>
      <c r="J442" s="3" t="s">
        <v>299</v>
      </c>
      <c r="K442" s="3" t="s">
        <v>189</v>
      </c>
      <c r="L442" s="3" t="s">
        <v>59</v>
      </c>
      <c r="M442" s="3" t="s">
        <v>334</v>
      </c>
      <c r="N442" s="3" t="s">
        <v>37</v>
      </c>
      <c r="O442" s="3" t="s">
        <v>136</v>
      </c>
      <c r="P442" s="3" t="s">
        <v>335</v>
      </c>
      <c r="Q442" s="5" t="n">
        <v>2982.29</v>
      </c>
      <c r="R442" s="3" t="n">
        <v>2</v>
      </c>
      <c r="S442" s="6" t="n">
        <v>0.2</v>
      </c>
      <c r="T442" s="5" t="n">
        <v>-120.37</v>
      </c>
      <c r="U442" s="3" t="str">
        <f aca="false">IF(T442&lt;0,"Loss",IF(T442=0,"Break-even","Profit"))</f>
        <v>Loss</v>
      </c>
      <c r="V442" s="3" t="str">
        <f aca="false">IF(Q442&lt;100,"Low",IF(Q442&lt;=500,"Medium","High"))</f>
        <v>High</v>
      </c>
      <c r="W442" s="3" t="n">
        <f aca="false">D442-C442</f>
        <v>5</v>
      </c>
      <c r="X442" s="3" t="str">
        <f aca="false">TEXT(C442,"mmmm")</f>
        <v>November</v>
      </c>
      <c r="Y442" s="3" t="str">
        <f aca="false">LEFT(G442,1)&amp;MID(G442,FIND(" ",G442)+1,1)</f>
        <v>MN</v>
      </c>
    </row>
    <row r="443" customFormat="false" ht="15" hidden="false" customHeight="false" outlineLevel="0" collapsed="false">
      <c r="A443" s="3" t="n">
        <v>442</v>
      </c>
      <c r="B443" s="3" t="s">
        <v>1408</v>
      </c>
      <c r="C443" s="4" t="s">
        <v>1387</v>
      </c>
      <c r="D443" s="4" t="s">
        <v>1409</v>
      </c>
      <c r="E443" s="3" t="s">
        <v>28</v>
      </c>
      <c r="F443" s="3" t="s">
        <v>310</v>
      </c>
      <c r="G443" s="3" t="s">
        <v>311</v>
      </c>
      <c r="H443" s="3" t="s">
        <v>56</v>
      </c>
      <c r="I443" s="3" t="s">
        <v>32</v>
      </c>
      <c r="J443" s="3" t="s">
        <v>133</v>
      </c>
      <c r="K443" s="3" t="s">
        <v>134</v>
      </c>
      <c r="L443" s="3" t="s">
        <v>69</v>
      </c>
      <c r="M443" s="3" t="s">
        <v>290</v>
      </c>
      <c r="N443" s="3" t="s">
        <v>37</v>
      </c>
      <c r="O443" s="3" t="s">
        <v>38</v>
      </c>
      <c r="P443" s="3" t="s">
        <v>291</v>
      </c>
      <c r="Q443" s="5" t="n">
        <v>7935.52</v>
      </c>
      <c r="R443" s="3" t="n">
        <v>14</v>
      </c>
      <c r="S443" s="6" t="n">
        <v>0.4</v>
      </c>
      <c r="T443" s="5" t="n">
        <v>984.38</v>
      </c>
      <c r="U443" s="3" t="str">
        <f aca="false">IF(T443&lt;0,"Loss",IF(T443=0,"Break-even","Profit"))</f>
        <v>Profit</v>
      </c>
      <c r="V443" s="3" t="str">
        <f aca="false">IF(Q443&lt;100,"Low",IF(Q443&lt;=500,"Medium","High"))</f>
        <v>High</v>
      </c>
      <c r="W443" s="3" t="n">
        <f aca="false">D443-C443</f>
        <v>7</v>
      </c>
      <c r="X443" s="3" t="str">
        <f aca="false">TEXT(C443,"mmmm")</f>
        <v>November</v>
      </c>
      <c r="Y443" s="3" t="str">
        <f aca="false">LEFT(G443,1)&amp;MID(G443,FIND(" ",G443)+1,1)</f>
        <v>FD</v>
      </c>
    </row>
    <row r="444" customFormat="false" ht="15" hidden="false" customHeight="false" outlineLevel="0" collapsed="false">
      <c r="A444" s="3" t="n">
        <v>443</v>
      </c>
      <c r="B444" s="3" t="s">
        <v>1410</v>
      </c>
      <c r="C444" s="4" t="s">
        <v>1387</v>
      </c>
      <c r="D444" s="4" t="s">
        <v>1407</v>
      </c>
      <c r="E444" s="3" t="s">
        <v>84</v>
      </c>
      <c r="F444" s="3" t="s">
        <v>1355</v>
      </c>
      <c r="G444" s="3" t="s">
        <v>1356</v>
      </c>
      <c r="H444" s="3" t="s">
        <v>45</v>
      </c>
      <c r="I444" s="3" t="s">
        <v>32</v>
      </c>
      <c r="J444" s="3" t="s">
        <v>299</v>
      </c>
      <c r="K444" s="3" t="s">
        <v>189</v>
      </c>
      <c r="L444" s="3" t="s">
        <v>59</v>
      </c>
      <c r="M444" s="3" t="s">
        <v>209</v>
      </c>
      <c r="N444" s="3" t="s">
        <v>49</v>
      </c>
      <c r="O444" s="3" t="s">
        <v>106</v>
      </c>
      <c r="P444" s="3" t="s">
        <v>210</v>
      </c>
      <c r="Q444" s="5" t="n">
        <v>1213.96</v>
      </c>
      <c r="R444" s="3" t="n">
        <v>11</v>
      </c>
      <c r="S444" s="6" t="n">
        <v>0</v>
      </c>
      <c r="T444" s="5" t="n">
        <v>-103.97</v>
      </c>
      <c r="U444" s="3" t="str">
        <f aca="false">IF(T444&lt;0,"Loss",IF(T444=0,"Break-even","Profit"))</f>
        <v>Loss</v>
      </c>
      <c r="V444" s="3" t="str">
        <f aca="false">IF(Q444&lt;100,"Low",IF(Q444&lt;=500,"Medium","High"))</f>
        <v>High</v>
      </c>
      <c r="W444" s="3" t="n">
        <f aca="false">D444-C444</f>
        <v>4</v>
      </c>
      <c r="X444" s="3" t="str">
        <f aca="false">TEXT(C444,"mmmm")</f>
        <v>November</v>
      </c>
      <c r="Y444" s="3" t="str">
        <f aca="false">LEFT(G444,1)&amp;MID(G444,FIND(" ",G444)+1,1)</f>
        <v>FB</v>
      </c>
    </row>
    <row r="445" customFormat="false" ht="15" hidden="false" customHeight="false" outlineLevel="0" collapsed="false">
      <c r="A445" s="3" t="n">
        <v>444</v>
      </c>
      <c r="B445" s="3" t="s">
        <v>1411</v>
      </c>
      <c r="C445" s="4" t="s">
        <v>1387</v>
      </c>
      <c r="D445" s="4" t="s">
        <v>1409</v>
      </c>
      <c r="E445" s="3" t="s">
        <v>28</v>
      </c>
      <c r="F445" s="3" t="s">
        <v>992</v>
      </c>
      <c r="G445" s="3" t="s">
        <v>993</v>
      </c>
      <c r="H445" s="3" t="s">
        <v>45</v>
      </c>
      <c r="I445" s="3" t="s">
        <v>32</v>
      </c>
      <c r="J445" s="3" t="s">
        <v>179</v>
      </c>
      <c r="K445" s="3" t="s">
        <v>47</v>
      </c>
      <c r="L445" s="3" t="s">
        <v>35</v>
      </c>
      <c r="M445" s="3" t="s">
        <v>70</v>
      </c>
      <c r="N445" s="3" t="s">
        <v>37</v>
      </c>
      <c r="O445" s="3" t="s">
        <v>71</v>
      </c>
      <c r="P445" s="3" t="s">
        <v>72</v>
      </c>
      <c r="Q445" s="5" t="n">
        <v>2140.34</v>
      </c>
      <c r="R445" s="3" t="n">
        <v>8</v>
      </c>
      <c r="S445" s="6" t="n">
        <v>0.2</v>
      </c>
      <c r="T445" s="5" t="n">
        <v>270.1</v>
      </c>
      <c r="U445" s="3" t="str">
        <f aca="false">IF(T445&lt;0,"Loss",IF(T445=0,"Break-even","Profit"))</f>
        <v>Profit</v>
      </c>
      <c r="V445" s="3" t="str">
        <f aca="false">IF(Q445&lt;100,"Low",IF(Q445&lt;=500,"Medium","High"))</f>
        <v>High</v>
      </c>
      <c r="W445" s="3" t="n">
        <f aca="false">D445-C445</f>
        <v>7</v>
      </c>
      <c r="X445" s="3" t="str">
        <f aca="false">TEXT(C445,"mmmm")</f>
        <v>November</v>
      </c>
      <c r="Y445" s="3" t="str">
        <f aca="false">LEFT(G445,1)&amp;MID(G445,FIND(" ",G445)+1,1)</f>
        <v>LB</v>
      </c>
    </row>
    <row r="446" customFormat="false" ht="15" hidden="false" customHeight="false" outlineLevel="0" collapsed="false">
      <c r="A446" s="3" t="n">
        <v>445</v>
      </c>
      <c r="B446" s="3" t="s">
        <v>1412</v>
      </c>
      <c r="C446" s="4" t="s">
        <v>1399</v>
      </c>
      <c r="D446" s="4" t="s">
        <v>1413</v>
      </c>
      <c r="E446" s="3" t="s">
        <v>84</v>
      </c>
      <c r="F446" s="3" t="s">
        <v>496</v>
      </c>
      <c r="G446" s="3" t="s">
        <v>497</v>
      </c>
      <c r="H446" s="3" t="s">
        <v>45</v>
      </c>
      <c r="I446" s="3" t="s">
        <v>32</v>
      </c>
      <c r="J446" s="3" t="s">
        <v>133</v>
      </c>
      <c r="K446" s="3" t="s">
        <v>134</v>
      </c>
      <c r="L446" s="3" t="s">
        <v>69</v>
      </c>
      <c r="M446" s="3" t="s">
        <v>36</v>
      </c>
      <c r="N446" s="3" t="s">
        <v>37</v>
      </c>
      <c r="O446" s="3" t="s">
        <v>38</v>
      </c>
      <c r="P446" s="3" t="s">
        <v>39</v>
      </c>
      <c r="Q446" s="5" t="n">
        <v>8725.81</v>
      </c>
      <c r="R446" s="3" t="n">
        <v>7</v>
      </c>
      <c r="S446" s="6" t="n">
        <v>0.4</v>
      </c>
      <c r="T446" s="5" t="n">
        <v>2110.36</v>
      </c>
      <c r="U446" s="3" t="str">
        <f aca="false">IF(T446&lt;0,"Loss",IF(T446=0,"Break-even","Profit"))</f>
        <v>Profit</v>
      </c>
      <c r="V446" s="3" t="str">
        <f aca="false">IF(Q446&lt;100,"Low",IF(Q446&lt;=500,"Medium","High"))</f>
        <v>High</v>
      </c>
      <c r="W446" s="3" t="n">
        <f aca="false">D446-C446</f>
        <v>2</v>
      </c>
      <c r="X446" s="3" t="str">
        <f aca="false">TEXT(C446,"mmmm")</f>
        <v>November</v>
      </c>
      <c r="Y446" s="3" t="str">
        <f aca="false">LEFT(G446,1)&amp;MID(G446,FIND(" ",G446)+1,1)</f>
        <v>DD</v>
      </c>
    </row>
    <row r="447" customFormat="false" ht="15" hidden="false" customHeight="false" outlineLevel="0" collapsed="false">
      <c r="A447" s="3" t="n">
        <v>446</v>
      </c>
      <c r="B447" s="3" t="s">
        <v>1414</v>
      </c>
      <c r="C447" s="4" t="s">
        <v>1399</v>
      </c>
      <c r="D447" s="4" t="s">
        <v>1407</v>
      </c>
      <c r="E447" s="3" t="s">
        <v>28</v>
      </c>
      <c r="F447" s="3" t="s">
        <v>465</v>
      </c>
      <c r="G447" s="3" t="s">
        <v>466</v>
      </c>
      <c r="H447" s="3" t="s">
        <v>45</v>
      </c>
      <c r="I447" s="3" t="s">
        <v>32</v>
      </c>
      <c r="J447" s="3" t="s">
        <v>95</v>
      </c>
      <c r="K447" s="3" t="s">
        <v>96</v>
      </c>
      <c r="L447" s="3" t="s">
        <v>59</v>
      </c>
      <c r="M447" s="3" t="s">
        <v>79</v>
      </c>
      <c r="N447" s="3" t="s">
        <v>49</v>
      </c>
      <c r="O447" s="3" t="s">
        <v>80</v>
      </c>
      <c r="P447" s="3" t="s">
        <v>81</v>
      </c>
      <c r="Q447" s="5" t="n">
        <v>358.19</v>
      </c>
      <c r="R447" s="3" t="n">
        <v>4</v>
      </c>
      <c r="S447" s="6" t="n">
        <v>0.1</v>
      </c>
      <c r="T447" s="5" t="n">
        <v>10.45</v>
      </c>
      <c r="U447" s="3" t="str">
        <f aca="false">IF(T447&lt;0,"Loss",IF(T447=0,"Break-even","Profit"))</f>
        <v>Profit</v>
      </c>
      <c r="V447" s="3" t="str">
        <f aca="false">IF(Q447&lt;100,"Low",IF(Q447&lt;=500,"Medium","High"))</f>
        <v>Medium</v>
      </c>
      <c r="W447" s="3" t="n">
        <f aca="false">D447-C447</f>
        <v>3</v>
      </c>
      <c r="X447" s="3" t="str">
        <f aca="false">TEXT(C447,"mmmm")</f>
        <v>November</v>
      </c>
      <c r="Y447" s="3" t="str">
        <f aca="false">LEFT(G447,1)&amp;MID(G447,FIND(" ",G447)+1,1)</f>
        <v>PJ</v>
      </c>
    </row>
    <row r="448" customFormat="false" ht="15" hidden="false" customHeight="false" outlineLevel="0" collapsed="false">
      <c r="A448" s="3" t="n">
        <v>447</v>
      </c>
      <c r="B448" s="3" t="s">
        <v>1415</v>
      </c>
      <c r="C448" s="4" t="s">
        <v>1399</v>
      </c>
      <c r="D448" s="4" t="s">
        <v>1409</v>
      </c>
      <c r="E448" s="3" t="s">
        <v>28</v>
      </c>
      <c r="F448" s="3" t="s">
        <v>522</v>
      </c>
      <c r="G448" s="3" t="s">
        <v>523</v>
      </c>
      <c r="H448" s="3" t="s">
        <v>56</v>
      </c>
      <c r="I448" s="3" t="s">
        <v>32</v>
      </c>
      <c r="J448" s="3" t="s">
        <v>148</v>
      </c>
      <c r="K448" s="3" t="s">
        <v>78</v>
      </c>
      <c r="L448" s="3" t="s">
        <v>59</v>
      </c>
      <c r="M448" s="3" t="s">
        <v>149</v>
      </c>
      <c r="N448" s="3" t="s">
        <v>49</v>
      </c>
      <c r="O448" s="3" t="s">
        <v>150</v>
      </c>
      <c r="P448" s="3" t="s">
        <v>151</v>
      </c>
      <c r="Q448" s="5" t="n">
        <v>163.45</v>
      </c>
      <c r="R448" s="3" t="n">
        <v>5</v>
      </c>
      <c r="S448" s="6" t="n">
        <v>0.2</v>
      </c>
      <c r="T448" s="5" t="n">
        <v>-43.26</v>
      </c>
      <c r="U448" s="3" t="str">
        <f aca="false">IF(T448&lt;0,"Loss",IF(T448=0,"Break-even","Profit"))</f>
        <v>Loss</v>
      </c>
      <c r="V448" s="3" t="str">
        <f aca="false">IF(Q448&lt;100,"Low",IF(Q448&lt;=500,"Medium","High"))</f>
        <v>Medium</v>
      </c>
      <c r="W448" s="3" t="n">
        <f aca="false">D448-C448</f>
        <v>6</v>
      </c>
      <c r="X448" s="3" t="str">
        <f aca="false">TEXT(C448,"mmmm")</f>
        <v>November</v>
      </c>
      <c r="Y448" s="3" t="str">
        <f aca="false">LEFT(G448,1)&amp;MID(G448,FIND(" ",G448)+1,1)</f>
        <v>JS</v>
      </c>
    </row>
    <row r="449" customFormat="false" ht="15" hidden="false" customHeight="false" outlineLevel="0" collapsed="false">
      <c r="A449" s="3" t="n">
        <v>448</v>
      </c>
      <c r="B449" s="3" t="s">
        <v>1416</v>
      </c>
      <c r="C449" s="4" t="s">
        <v>1393</v>
      </c>
      <c r="D449" s="4" t="s">
        <v>1417</v>
      </c>
      <c r="E449" s="3" t="s">
        <v>28</v>
      </c>
      <c r="F449" s="3" t="s">
        <v>1165</v>
      </c>
      <c r="G449" s="3" t="s">
        <v>1166</v>
      </c>
      <c r="H449" s="3" t="s">
        <v>31</v>
      </c>
      <c r="I449" s="3" t="s">
        <v>32</v>
      </c>
      <c r="J449" s="3" t="s">
        <v>215</v>
      </c>
      <c r="K449" s="3" t="s">
        <v>34</v>
      </c>
      <c r="L449" s="3" t="s">
        <v>35</v>
      </c>
      <c r="M449" s="3" t="s">
        <v>316</v>
      </c>
      <c r="N449" s="3" t="s">
        <v>49</v>
      </c>
      <c r="O449" s="3" t="s">
        <v>143</v>
      </c>
      <c r="P449" s="3" t="s">
        <v>317</v>
      </c>
      <c r="Q449" s="5" t="n">
        <v>743.05</v>
      </c>
      <c r="R449" s="3" t="n">
        <v>14</v>
      </c>
      <c r="S449" s="6" t="n">
        <v>0.2</v>
      </c>
      <c r="T449" s="5" t="n">
        <v>181.39</v>
      </c>
      <c r="U449" s="3" t="str">
        <f aca="false">IF(T449&lt;0,"Loss",IF(T449=0,"Break-even","Profit"))</f>
        <v>Profit</v>
      </c>
      <c r="V449" s="3" t="str">
        <f aca="false">IF(Q449&lt;100,"Low",IF(Q449&lt;=500,"Medium","High"))</f>
        <v>High</v>
      </c>
      <c r="W449" s="3" t="n">
        <f aca="false">D449-C449</f>
        <v>6</v>
      </c>
      <c r="X449" s="3" t="str">
        <f aca="false">TEXT(C449,"mmmm")</f>
        <v>November</v>
      </c>
      <c r="Y449" s="3" t="str">
        <f aca="false">LEFT(G449,1)&amp;MID(G449,FIND(" ",G449)+1,1)</f>
        <v>ER</v>
      </c>
    </row>
    <row r="450" customFormat="false" ht="15" hidden="false" customHeight="false" outlineLevel="0" collapsed="false">
      <c r="A450" s="3" t="n">
        <v>449</v>
      </c>
      <c r="B450" s="3" t="s">
        <v>1418</v>
      </c>
      <c r="C450" s="4" t="s">
        <v>1413</v>
      </c>
      <c r="D450" s="4" t="s">
        <v>1409</v>
      </c>
      <c r="E450" s="3" t="s">
        <v>84</v>
      </c>
      <c r="F450" s="3" t="s">
        <v>957</v>
      </c>
      <c r="G450" s="3" t="s">
        <v>958</v>
      </c>
      <c r="H450" s="3" t="s">
        <v>45</v>
      </c>
      <c r="I450" s="3" t="s">
        <v>32</v>
      </c>
      <c r="J450" s="3" t="s">
        <v>120</v>
      </c>
      <c r="K450" s="3" t="s">
        <v>113</v>
      </c>
      <c r="L450" s="3" t="s">
        <v>69</v>
      </c>
      <c r="M450" s="3" t="s">
        <v>79</v>
      </c>
      <c r="N450" s="3" t="s">
        <v>49</v>
      </c>
      <c r="O450" s="3" t="s">
        <v>80</v>
      </c>
      <c r="P450" s="3" t="s">
        <v>81</v>
      </c>
      <c r="Q450" s="5" t="n">
        <v>107.03</v>
      </c>
      <c r="R450" s="3" t="n">
        <v>1</v>
      </c>
      <c r="S450" s="6" t="n">
        <v>0</v>
      </c>
      <c r="T450" s="5" t="n">
        <v>0.16</v>
      </c>
      <c r="U450" s="3" t="str">
        <f aca="false">IF(T450&lt;0,"Loss",IF(T450=0,"Break-even","Profit"))</f>
        <v>Profit</v>
      </c>
      <c r="V450" s="3" t="str">
        <f aca="false">IF(Q450&lt;100,"Low",IF(Q450&lt;=500,"Medium","High"))</f>
        <v>Medium</v>
      </c>
      <c r="W450" s="3" t="n">
        <f aca="false">D450-C450</f>
        <v>4</v>
      </c>
      <c r="X450" s="3" t="str">
        <f aca="false">TEXT(C450,"mmmm")</f>
        <v>November</v>
      </c>
      <c r="Y450" s="3" t="str">
        <f aca="false">LEFT(G450,1)&amp;MID(G450,FIND(" ",G450)+1,1)</f>
        <v>JM</v>
      </c>
    </row>
    <row r="451" customFormat="false" ht="15" hidden="false" customHeight="false" outlineLevel="0" collapsed="false">
      <c r="A451" s="3" t="n">
        <v>450</v>
      </c>
      <c r="B451" s="3" t="s">
        <v>1419</v>
      </c>
      <c r="C451" s="4" t="s">
        <v>1420</v>
      </c>
      <c r="D451" s="4" t="s">
        <v>1421</v>
      </c>
      <c r="E451" s="3" t="s">
        <v>42</v>
      </c>
      <c r="F451" s="3" t="s">
        <v>217</v>
      </c>
      <c r="G451" s="3" t="s">
        <v>218</v>
      </c>
      <c r="H451" s="3" t="s">
        <v>56</v>
      </c>
      <c r="I451" s="3" t="s">
        <v>32</v>
      </c>
      <c r="J451" s="3" t="s">
        <v>67</v>
      </c>
      <c r="K451" s="3" t="s">
        <v>68</v>
      </c>
      <c r="L451" s="3" t="s">
        <v>69</v>
      </c>
      <c r="M451" s="3" t="s">
        <v>190</v>
      </c>
      <c r="N451" s="3" t="s">
        <v>49</v>
      </c>
      <c r="O451" s="3" t="s">
        <v>150</v>
      </c>
      <c r="P451" s="3" t="s">
        <v>191</v>
      </c>
      <c r="Q451" s="5" t="n">
        <v>904.56</v>
      </c>
      <c r="R451" s="3" t="n">
        <v>9</v>
      </c>
      <c r="S451" s="6" t="n">
        <v>0.4</v>
      </c>
      <c r="T451" s="5" t="n">
        <v>-1.3</v>
      </c>
      <c r="U451" s="3" t="str">
        <f aca="false">IF(T451&lt;0,"Loss",IF(T451=0,"Break-even","Profit"))</f>
        <v>Loss</v>
      </c>
      <c r="V451" s="3" t="str">
        <f aca="false">IF(Q451&lt;100,"Low",IF(Q451&lt;=500,"Medium","High"))</f>
        <v>High</v>
      </c>
      <c r="W451" s="3" t="n">
        <f aca="false">D451-C451</f>
        <v>1</v>
      </c>
      <c r="X451" s="3" t="str">
        <f aca="false">TEXT(C451,"mmmm")</f>
        <v>November</v>
      </c>
      <c r="Y451" s="3" t="str">
        <f aca="false">LEFT(G451,1)&amp;MID(G451,FIND(" ",G451)+1,1)</f>
        <v>SM</v>
      </c>
    </row>
    <row r="452" customFormat="false" ht="15" hidden="false" customHeight="false" outlineLevel="0" collapsed="false">
      <c r="A452" s="3" t="n">
        <v>451</v>
      </c>
      <c r="B452" s="3" t="s">
        <v>1422</v>
      </c>
      <c r="C452" s="4" t="s">
        <v>1420</v>
      </c>
      <c r="D452" s="4" t="s">
        <v>1420</v>
      </c>
      <c r="E452" s="3" t="s">
        <v>53</v>
      </c>
      <c r="F452" s="3" t="s">
        <v>1423</v>
      </c>
      <c r="G452" s="3" t="s">
        <v>1424</v>
      </c>
      <c r="H452" s="3" t="s">
        <v>45</v>
      </c>
      <c r="I452" s="3" t="s">
        <v>32</v>
      </c>
      <c r="J452" s="3" t="s">
        <v>873</v>
      </c>
      <c r="K452" s="3" t="s">
        <v>387</v>
      </c>
      <c r="L452" s="3" t="s">
        <v>35</v>
      </c>
      <c r="M452" s="3" t="s">
        <v>70</v>
      </c>
      <c r="N452" s="3" t="s">
        <v>37</v>
      </c>
      <c r="O452" s="3" t="s">
        <v>71</v>
      </c>
      <c r="P452" s="3" t="s">
        <v>72</v>
      </c>
      <c r="Q452" s="5" t="n">
        <v>287.88</v>
      </c>
      <c r="R452" s="3" t="n">
        <v>3</v>
      </c>
      <c r="S452" s="6" t="n">
        <v>0.1</v>
      </c>
      <c r="T452" s="5" t="n">
        <v>92.96</v>
      </c>
      <c r="U452" s="3" t="str">
        <f aca="false">IF(T452&lt;0,"Loss",IF(T452=0,"Break-even","Profit"))</f>
        <v>Profit</v>
      </c>
      <c r="V452" s="3" t="str">
        <f aca="false">IF(Q452&lt;100,"Low",IF(Q452&lt;=500,"Medium","High"))</f>
        <v>Medium</v>
      </c>
      <c r="W452" s="3" t="n">
        <f aca="false">D452-C452</f>
        <v>0</v>
      </c>
      <c r="X452" s="3" t="str">
        <f aca="false">TEXT(C452,"mmmm")</f>
        <v>November</v>
      </c>
      <c r="Y452" s="3" t="str">
        <f aca="false">LEFT(G452,1)&amp;MID(G452,FIND(" ",G452)+1,1)</f>
        <v>RJ</v>
      </c>
    </row>
    <row r="453" customFormat="false" ht="15" hidden="false" customHeight="false" outlineLevel="0" collapsed="false">
      <c r="A453" s="3" t="n">
        <v>452</v>
      </c>
      <c r="B453" s="3" t="s">
        <v>1425</v>
      </c>
      <c r="C453" s="4" t="s">
        <v>1421</v>
      </c>
      <c r="D453" s="4" t="s">
        <v>1409</v>
      </c>
      <c r="E453" s="3" t="s">
        <v>42</v>
      </c>
      <c r="F453" s="3" t="s">
        <v>634</v>
      </c>
      <c r="G453" s="3" t="s">
        <v>635</v>
      </c>
      <c r="H453" s="3" t="s">
        <v>31</v>
      </c>
      <c r="I453" s="3" t="s">
        <v>32</v>
      </c>
      <c r="J453" s="3" t="s">
        <v>329</v>
      </c>
      <c r="K453" s="3" t="s">
        <v>156</v>
      </c>
      <c r="L453" s="3" t="s">
        <v>157</v>
      </c>
      <c r="M453" s="3" t="s">
        <v>259</v>
      </c>
      <c r="N453" s="3" t="s">
        <v>89</v>
      </c>
      <c r="O453" s="3" t="s">
        <v>174</v>
      </c>
      <c r="P453" s="3" t="s">
        <v>260</v>
      </c>
      <c r="Q453" s="5" t="n">
        <v>538.39</v>
      </c>
      <c r="R453" s="3" t="n">
        <v>2</v>
      </c>
      <c r="S453" s="6" t="n">
        <v>0.4</v>
      </c>
      <c r="T453" s="5" t="n">
        <v>-138.93</v>
      </c>
      <c r="U453" s="3" t="str">
        <f aca="false">IF(T453&lt;0,"Loss",IF(T453=0,"Break-even","Profit"))</f>
        <v>Loss</v>
      </c>
      <c r="V453" s="3" t="str">
        <f aca="false">IF(Q453&lt;100,"Low",IF(Q453&lt;=500,"Medium","High"))</f>
        <v>High</v>
      </c>
      <c r="W453" s="3" t="n">
        <f aca="false">D453-C453</f>
        <v>1</v>
      </c>
      <c r="X453" s="3" t="str">
        <f aca="false">TEXT(C453,"mmmm")</f>
        <v>November</v>
      </c>
      <c r="Y453" s="3" t="str">
        <f aca="false">LEFT(G453,1)&amp;MID(G453,FIND(" ",G453)+1,1)</f>
        <v>JJ</v>
      </c>
    </row>
    <row r="454" customFormat="false" ht="15" hidden="false" customHeight="false" outlineLevel="0" collapsed="false">
      <c r="A454" s="3" t="n">
        <v>453</v>
      </c>
      <c r="B454" s="3" t="s">
        <v>1426</v>
      </c>
      <c r="C454" s="4" t="s">
        <v>1421</v>
      </c>
      <c r="D454" s="4" t="s">
        <v>1427</v>
      </c>
      <c r="E454" s="3" t="s">
        <v>28</v>
      </c>
      <c r="F454" s="3" t="s">
        <v>1428</v>
      </c>
      <c r="G454" s="3" t="s">
        <v>1429</v>
      </c>
      <c r="H454" s="3" t="s">
        <v>45</v>
      </c>
      <c r="I454" s="3" t="s">
        <v>32</v>
      </c>
      <c r="J454" s="3" t="s">
        <v>285</v>
      </c>
      <c r="K454" s="3" t="s">
        <v>202</v>
      </c>
      <c r="L454" s="3" t="s">
        <v>35</v>
      </c>
      <c r="M454" s="3" t="s">
        <v>195</v>
      </c>
      <c r="N454" s="3" t="s">
        <v>37</v>
      </c>
      <c r="O454" s="3" t="s">
        <v>196</v>
      </c>
      <c r="P454" s="3" t="s">
        <v>197</v>
      </c>
      <c r="Q454" s="5" t="n">
        <v>1442.13</v>
      </c>
      <c r="R454" s="3" t="n">
        <v>1</v>
      </c>
      <c r="S454" s="6" t="n">
        <v>0.2</v>
      </c>
      <c r="T454" s="5" t="n">
        <v>132.49</v>
      </c>
      <c r="U454" s="3" t="str">
        <f aca="false">IF(T454&lt;0,"Loss",IF(T454=0,"Break-even","Profit"))</f>
        <v>Profit</v>
      </c>
      <c r="V454" s="3" t="str">
        <f aca="false">IF(Q454&lt;100,"Low",IF(Q454&lt;=500,"Medium","High"))</f>
        <v>High</v>
      </c>
      <c r="W454" s="3" t="n">
        <f aca="false">D454-C454</f>
        <v>3</v>
      </c>
      <c r="X454" s="3" t="str">
        <f aca="false">TEXT(C454,"mmmm")</f>
        <v>November</v>
      </c>
      <c r="Y454" s="3" t="str">
        <f aca="false">LEFT(G454,1)&amp;MID(G454,FIND(" ",G454)+1,1)</f>
        <v>RS</v>
      </c>
    </row>
    <row r="455" customFormat="false" ht="15" hidden="false" customHeight="false" outlineLevel="0" collapsed="false">
      <c r="A455" s="3" t="n">
        <v>454</v>
      </c>
      <c r="B455" s="3" t="s">
        <v>1430</v>
      </c>
      <c r="C455" s="4" t="s">
        <v>1421</v>
      </c>
      <c r="D455" s="4" t="s">
        <v>1431</v>
      </c>
      <c r="E455" s="3" t="s">
        <v>28</v>
      </c>
      <c r="F455" s="3" t="s">
        <v>644</v>
      </c>
      <c r="G455" s="3" t="s">
        <v>645</v>
      </c>
      <c r="H455" s="3" t="s">
        <v>45</v>
      </c>
      <c r="I455" s="3" t="s">
        <v>32</v>
      </c>
      <c r="J455" s="3" t="s">
        <v>679</v>
      </c>
      <c r="K455" s="3" t="s">
        <v>202</v>
      </c>
      <c r="L455" s="3" t="s">
        <v>35</v>
      </c>
      <c r="M455" s="3" t="s">
        <v>127</v>
      </c>
      <c r="N455" s="3" t="s">
        <v>49</v>
      </c>
      <c r="O455" s="3" t="s">
        <v>61</v>
      </c>
      <c r="P455" s="3" t="s">
        <v>128</v>
      </c>
      <c r="Q455" s="5" t="n">
        <v>1426.99</v>
      </c>
      <c r="R455" s="3" t="n">
        <v>12</v>
      </c>
      <c r="S455" s="6" t="n">
        <v>0</v>
      </c>
      <c r="T455" s="5" t="n">
        <v>271.92</v>
      </c>
      <c r="U455" s="3" t="str">
        <f aca="false">IF(T455&lt;0,"Loss",IF(T455=0,"Break-even","Profit"))</f>
        <v>Profit</v>
      </c>
      <c r="V455" s="3" t="str">
        <f aca="false">IF(Q455&lt;100,"Low",IF(Q455&lt;=500,"Medium","High"))</f>
        <v>High</v>
      </c>
      <c r="W455" s="3" t="n">
        <f aca="false">D455-C455</f>
        <v>7</v>
      </c>
      <c r="X455" s="3" t="str">
        <f aca="false">TEXT(C455,"mmmm")</f>
        <v>November</v>
      </c>
      <c r="Y455" s="3" t="str">
        <f aca="false">LEFT(G455,1)&amp;MID(G455,FIND(" ",G455)+1,1)</f>
        <v>LJ</v>
      </c>
    </row>
    <row r="456" customFormat="false" ht="15" hidden="false" customHeight="false" outlineLevel="0" collapsed="false">
      <c r="A456" s="3" t="n">
        <v>455</v>
      </c>
      <c r="B456" s="3" t="s">
        <v>1432</v>
      </c>
      <c r="C456" s="4" t="s">
        <v>1409</v>
      </c>
      <c r="D456" s="4" t="s">
        <v>1433</v>
      </c>
      <c r="E456" s="3" t="s">
        <v>84</v>
      </c>
      <c r="F456" s="3" t="s">
        <v>677</v>
      </c>
      <c r="G456" s="3" t="s">
        <v>678</v>
      </c>
      <c r="H456" s="3" t="s">
        <v>45</v>
      </c>
      <c r="I456" s="3" t="s">
        <v>32</v>
      </c>
      <c r="J456" s="3" t="s">
        <v>148</v>
      </c>
      <c r="K456" s="3" t="s">
        <v>78</v>
      </c>
      <c r="L456" s="3" t="s">
        <v>59</v>
      </c>
      <c r="M456" s="3" t="s">
        <v>149</v>
      </c>
      <c r="N456" s="3" t="s">
        <v>49</v>
      </c>
      <c r="O456" s="3" t="s">
        <v>150</v>
      </c>
      <c r="P456" s="3" t="s">
        <v>151</v>
      </c>
      <c r="Q456" s="5" t="n">
        <v>191.21</v>
      </c>
      <c r="R456" s="3" t="n">
        <v>13</v>
      </c>
      <c r="S456" s="6" t="n">
        <v>0.1</v>
      </c>
      <c r="T456" s="5" t="n">
        <v>57.8</v>
      </c>
      <c r="U456" s="3" t="str">
        <f aca="false">IF(T456&lt;0,"Loss",IF(T456=0,"Break-even","Profit"))</f>
        <v>Profit</v>
      </c>
      <c r="V456" s="3" t="str">
        <f aca="false">IF(Q456&lt;100,"Low",IF(Q456&lt;=500,"Medium","High"))</f>
        <v>Medium</v>
      </c>
      <c r="W456" s="3" t="n">
        <f aca="false">D456-C456</f>
        <v>4</v>
      </c>
      <c r="X456" s="3" t="str">
        <f aca="false">TEXT(C456,"mmmm")</f>
        <v>November</v>
      </c>
      <c r="Y456" s="3" t="str">
        <f aca="false">LEFT(G456,1)&amp;MID(G456,FIND(" ",G456)+1,1)</f>
        <v>FR</v>
      </c>
    </row>
    <row r="457" customFormat="false" ht="15" hidden="false" customHeight="false" outlineLevel="0" collapsed="false">
      <c r="A457" s="3" t="n">
        <v>456</v>
      </c>
      <c r="B457" s="3" t="s">
        <v>955</v>
      </c>
      <c r="C457" s="4" t="s">
        <v>1417</v>
      </c>
      <c r="D457" s="4" t="s">
        <v>1433</v>
      </c>
      <c r="E457" s="3" t="s">
        <v>28</v>
      </c>
      <c r="F457" s="3" t="s">
        <v>1434</v>
      </c>
      <c r="G457" s="3" t="s">
        <v>1435</v>
      </c>
      <c r="H457" s="3" t="s">
        <v>45</v>
      </c>
      <c r="I457" s="3" t="s">
        <v>32</v>
      </c>
      <c r="J457" s="3" t="s">
        <v>87</v>
      </c>
      <c r="K457" s="3" t="s">
        <v>68</v>
      </c>
      <c r="L457" s="3" t="s">
        <v>69</v>
      </c>
      <c r="M457" s="3" t="s">
        <v>290</v>
      </c>
      <c r="N457" s="3" t="s">
        <v>37</v>
      </c>
      <c r="O457" s="3" t="s">
        <v>38</v>
      </c>
      <c r="P457" s="3" t="s">
        <v>291</v>
      </c>
      <c r="Q457" s="5" t="n">
        <v>12212.57</v>
      </c>
      <c r="R457" s="3" t="n">
        <v>10</v>
      </c>
      <c r="S457" s="6" t="n">
        <v>0.4</v>
      </c>
      <c r="T457" s="5" t="n">
        <v>-1284.92</v>
      </c>
      <c r="U457" s="3" t="str">
        <f aca="false">IF(T457&lt;0,"Loss",IF(T457=0,"Break-even","Profit"))</f>
        <v>Loss</v>
      </c>
      <c r="V457" s="3" t="str">
        <f aca="false">IF(Q457&lt;100,"Low",IF(Q457&lt;=500,"Medium","High"))</f>
        <v>High</v>
      </c>
      <c r="W457" s="3" t="n">
        <f aca="false">D457-C457</f>
        <v>3</v>
      </c>
      <c r="X457" s="3" t="str">
        <f aca="false">TEXT(C457,"mmmm")</f>
        <v>November</v>
      </c>
      <c r="Y457" s="3" t="str">
        <f aca="false">LEFT(G457,1)&amp;MID(G457,FIND(" ",G457)+1,1)</f>
        <v>CJ</v>
      </c>
    </row>
    <row r="458" customFormat="false" ht="15" hidden="false" customHeight="false" outlineLevel="0" collapsed="false">
      <c r="A458" s="3" t="n">
        <v>457</v>
      </c>
      <c r="B458" s="3" t="s">
        <v>1436</v>
      </c>
      <c r="C458" s="4" t="s">
        <v>1427</v>
      </c>
      <c r="D458" s="4" t="s">
        <v>1431</v>
      </c>
      <c r="E458" s="3" t="s">
        <v>84</v>
      </c>
      <c r="F458" s="3" t="s">
        <v>1301</v>
      </c>
      <c r="G458" s="3" t="s">
        <v>1302</v>
      </c>
      <c r="H458" s="3" t="s">
        <v>45</v>
      </c>
      <c r="I458" s="3" t="s">
        <v>32</v>
      </c>
      <c r="J458" s="3" t="s">
        <v>663</v>
      </c>
      <c r="K458" s="3" t="s">
        <v>307</v>
      </c>
      <c r="L458" s="3" t="s">
        <v>69</v>
      </c>
      <c r="M458" s="3" t="s">
        <v>470</v>
      </c>
      <c r="N458" s="3" t="s">
        <v>49</v>
      </c>
      <c r="O458" s="3" t="s">
        <v>159</v>
      </c>
      <c r="P458" s="3" t="s">
        <v>471</v>
      </c>
      <c r="Q458" s="5" t="n">
        <v>147.55</v>
      </c>
      <c r="R458" s="3" t="n">
        <v>6</v>
      </c>
      <c r="S458" s="6" t="n">
        <v>0.2</v>
      </c>
      <c r="T458" s="5" t="n">
        <v>24.52</v>
      </c>
      <c r="U458" s="3" t="str">
        <f aca="false">IF(T458&lt;0,"Loss",IF(T458=0,"Break-even","Profit"))</f>
        <v>Profit</v>
      </c>
      <c r="V458" s="3" t="str">
        <f aca="false">IF(Q458&lt;100,"Low",IF(Q458&lt;=500,"Medium","High"))</f>
        <v>Medium</v>
      </c>
      <c r="W458" s="3" t="n">
        <f aca="false">D458-C458</f>
        <v>4</v>
      </c>
      <c r="X458" s="3" t="str">
        <f aca="false">TEXT(C458,"mmmm")</f>
        <v>November</v>
      </c>
      <c r="Y458" s="3" t="str">
        <f aca="false">LEFT(G458,1)&amp;MID(G458,FIND(" ",G458)+1,1)</f>
        <v>JA</v>
      </c>
    </row>
    <row r="459" customFormat="false" ht="15" hidden="false" customHeight="false" outlineLevel="0" collapsed="false">
      <c r="A459" s="3" t="n">
        <v>458</v>
      </c>
      <c r="B459" s="3" t="s">
        <v>1437</v>
      </c>
      <c r="C459" s="4" t="s">
        <v>1438</v>
      </c>
      <c r="D459" s="4" t="s">
        <v>1433</v>
      </c>
      <c r="E459" s="3" t="s">
        <v>42</v>
      </c>
      <c r="F459" s="3" t="s">
        <v>493</v>
      </c>
      <c r="G459" s="3" t="s">
        <v>494</v>
      </c>
      <c r="H459" s="3" t="s">
        <v>45</v>
      </c>
      <c r="I459" s="3" t="s">
        <v>32</v>
      </c>
      <c r="J459" s="3" t="s">
        <v>87</v>
      </c>
      <c r="K459" s="3" t="s">
        <v>68</v>
      </c>
      <c r="L459" s="3" t="s">
        <v>69</v>
      </c>
      <c r="M459" s="3" t="s">
        <v>347</v>
      </c>
      <c r="N459" s="3" t="s">
        <v>49</v>
      </c>
      <c r="O459" s="3" t="s">
        <v>220</v>
      </c>
      <c r="P459" s="3" t="s">
        <v>348</v>
      </c>
      <c r="Q459" s="5" t="n">
        <v>653.74</v>
      </c>
      <c r="R459" s="3" t="n">
        <v>13</v>
      </c>
      <c r="S459" s="6" t="n">
        <v>0.1</v>
      </c>
      <c r="T459" s="5" t="n">
        <v>147.72</v>
      </c>
      <c r="U459" s="3" t="str">
        <f aca="false">IF(T459&lt;0,"Loss",IF(T459=0,"Break-even","Profit"))</f>
        <v>Profit</v>
      </c>
      <c r="V459" s="3" t="str">
        <f aca="false">IF(Q459&lt;100,"Low",IF(Q459&lt;=500,"Medium","High"))</f>
        <v>High</v>
      </c>
      <c r="W459" s="3" t="n">
        <f aca="false">D459-C459</f>
        <v>1</v>
      </c>
      <c r="X459" s="3" t="str">
        <f aca="false">TEXT(C459,"mmmm")</f>
        <v>November</v>
      </c>
      <c r="Y459" s="3" t="str">
        <f aca="false">LEFT(G459,1)&amp;MID(G459,FIND(" ",G459)+1,1)</f>
        <v>WT</v>
      </c>
    </row>
    <row r="460" customFormat="false" ht="15" hidden="false" customHeight="false" outlineLevel="0" collapsed="false">
      <c r="A460" s="3" t="n">
        <v>459</v>
      </c>
      <c r="B460" s="3" t="s">
        <v>1439</v>
      </c>
      <c r="C460" s="4" t="s">
        <v>1438</v>
      </c>
      <c r="D460" s="4" t="s">
        <v>1440</v>
      </c>
      <c r="E460" s="3" t="s">
        <v>28</v>
      </c>
      <c r="F460" s="3" t="s">
        <v>441</v>
      </c>
      <c r="G460" s="3" t="s">
        <v>442</v>
      </c>
      <c r="H460" s="3" t="s">
        <v>31</v>
      </c>
      <c r="I460" s="3" t="s">
        <v>32</v>
      </c>
      <c r="J460" s="3" t="s">
        <v>67</v>
      </c>
      <c r="K460" s="3" t="s">
        <v>68</v>
      </c>
      <c r="L460" s="3" t="s">
        <v>69</v>
      </c>
      <c r="M460" s="3" t="s">
        <v>316</v>
      </c>
      <c r="N460" s="3" t="s">
        <v>49</v>
      </c>
      <c r="O460" s="3" t="s">
        <v>143</v>
      </c>
      <c r="P460" s="3" t="s">
        <v>317</v>
      </c>
      <c r="Q460" s="5" t="n">
        <v>1376.2</v>
      </c>
      <c r="R460" s="3" t="n">
        <v>12</v>
      </c>
      <c r="S460" s="6" t="n">
        <v>0</v>
      </c>
      <c r="T460" s="5" t="n">
        <v>50.76</v>
      </c>
      <c r="U460" s="3" t="str">
        <f aca="false">IF(T460&lt;0,"Loss",IF(T460=0,"Break-even","Profit"))</f>
        <v>Profit</v>
      </c>
      <c r="V460" s="3" t="str">
        <f aca="false">IF(Q460&lt;100,"Low",IF(Q460&lt;=500,"Medium","High"))</f>
        <v>High</v>
      </c>
      <c r="W460" s="3" t="n">
        <f aca="false">D460-C460</f>
        <v>4</v>
      </c>
      <c r="X460" s="3" t="str">
        <f aca="false">TEXT(C460,"mmmm")</f>
        <v>November</v>
      </c>
      <c r="Y460" s="3" t="str">
        <f aca="false">LEFT(G460,1)&amp;MID(G460,FIND(" ",G460)+1,1)</f>
        <v>AK</v>
      </c>
    </row>
    <row r="461" customFormat="false" ht="15" hidden="false" customHeight="false" outlineLevel="0" collapsed="false">
      <c r="A461" s="3" t="n">
        <v>460</v>
      </c>
      <c r="B461" s="3" t="s">
        <v>1441</v>
      </c>
      <c r="C461" s="4" t="s">
        <v>1442</v>
      </c>
      <c r="D461" s="4" t="s">
        <v>1443</v>
      </c>
      <c r="E461" s="3" t="s">
        <v>28</v>
      </c>
      <c r="F461" s="3" t="s">
        <v>626</v>
      </c>
      <c r="G461" s="3" t="s">
        <v>627</v>
      </c>
      <c r="H461" s="3" t="s">
        <v>56</v>
      </c>
      <c r="I461" s="3" t="s">
        <v>32</v>
      </c>
      <c r="J461" s="3" t="s">
        <v>737</v>
      </c>
      <c r="K461" s="3" t="s">
        <v>307</v>
      </c>
      <c r="L461" s="3" t="s">
        <v>69</v>
      </c>
      <c r="M461" s="3" t="s">
        <v>190</v>
      </c>
      <c r="N461" s="3" t="s">
        <v>49</v>
      </c>
      <c r="O461" s="3" t="s">
        <v>150</v>
      </c>
      <c r="P461" s="3" t="s">
        <v>191</v>
      </c>
      <c r="Q461" s="5" t="n">
        <v>379.33</v>
      </c>
      <c r="R461" s="3" t="n">
        <v>4</v>
      </c>
      <c r="S461" s="6" t="n">
        <v>0.2</v>
      </c>
      <c r="T461" s="5" t="n">
        <v>3.87</v>
      </c>
      <c r="U461" s="3" t="str">
        <f aca="false">IF(T461&lt;0,"Loss",IF(T461=0,"Break-even","Profit"))</f>
        <v>Profit</v>
      </c>
      <c r="V461" s="3" t="str">
        <f aca="false">IF(Q461&lt;100,"Low",IF(Q461&lt;=500,"Medium","High"))</f>
        <v>Medium</v>
      </c>
      <c r="W461" s="3" t="n">
        <f aca="false">D461-C461</f>
        <v>3</v>
      </c>
      <c r="X461" s="3" t="str">
        <f aca="false">TEXT(C461,"mmmm")</f>
        <v>November</v>
      </c>
      <c r="Y461" s="3" t="str">
        <f aca="false">LEFT(G461,1)&amp;MID(G461,FIND(" ",G461)+1,1)</f>
        <v>CD</v>
      </c>
    </row>
    <row r="462" customFormat="false" ht="15" hidden="false" customHeight="false" outlineLevel="0" collapsed="false">
      <c r="A462" s="3" t="n">
        <v>461</v>
      </c>
      <c r="B462" s="3" t="s">
        <v>1444</v>
      </c>
      <c r="C462" s="4" t="s">
        <v>1442</v>
      </c>
      <c r="D462" s="4" t="s">
        <v>1445</v>
      </c>
      <c r="E462" s="3" t="s">
        <v>28</v>
      </c>
      <c r="F462" s="3" t="s">
        <v>1446</v>
      </c>
      <c r="G462" s="3" t="s">
        <v>1447</v>
      </c>
      <c r="H462" s="3" t="s">
        <v>31</v>
      </c>
      <c r="I462" s="3" t="s">
        <v>32</v>
      </c>
      <c r="J462" s="3" t="s">
        <v>133</v>
      </c>
      <c r="K462" s="3" t="s">
        <v>134</v>
      </c>
      <c r="L462" s="3" t="s">
        <v>69</v>
      </c>
      <c r="M462" s="3" t="s">
        <v>60</v>
      </c>
      <c r="N462" s="3" t="s">
        <v>49</v>
      </c>
      <c r="O462" s="3" t="s">
        <v>61</v>
      </c>
      <c r="P462" s="3" t="s">
        <v>62</v>
      </c>
      <c r="Q462" s="5" t="n">
        <v>1173.72</v>
      </c>
      <c r="R462" s="3" t="n">
        <v>11</v>
      </c>
      <c r="S462" s="6" t="n">
        <v>0.1</v>
      </c>
      <c r="T462" s="5" t="n">
        <v>296.41</v>
      </c>
      <c r="U462" s="3" t="str">
        <f aca="false">IF(T462&lt;0,"Loss",IF(T462=0,"Break-even","Profit"))</f>
        <v>Profit</v>
      </c>
      <c r="V462" s="3" t="str">
        <f aca="false">IF(Q462&lt;100,"Low",IF(Q462&lt;=500,"Medium","High"))</f>
        <v>High</v>
      </c>
      <c r="W462" s="3" t="n">
        <f aca="false">D462-C462</f>
        <v>4</v>
      </c>
      <c r="X462" s="3" t="str">
        <f aca="false">TEXT(C462,"mmmm")</f>
        <v>November</v>
      </c>
      <c r="Y462" s="3" t="str">
        <f aca="false">LEFT(G462,1)&amp;MID(G462,FIND(" ",G462)+1,1)</f>
        <v>JJ</v>
      </c>
    </row>
    <row r="463" customFormat="false" ht="15" hidden="false" customHeight="false" outlineLevel="0" collapsed="false">
      <c r="A463" s="3" t="n">
        <v>462</v>
      </c>
      <c r="B463" s="3" t="s">
        <v>1448</v>
      </c>
      <c r="C463" s="4" t="s">
        <v>1442</v>
      </c>
      <c r="D463" s="4" t="s">
        <v>1443</v>
      </c>
      <c r="E463" s="3" t="s">
        <v>28</v>
      </c>
      <c r="F463" s="3" t="s">
        <v>579</v>
      </c>
      <c r="G463" s="3" t="s">
        <v>580</v>
      </c>
      <c r="H463" s="3" t="s">
        <v>56</v>
      </c>
      <c r="I463" s="3" t="s">
        <v>32</v>
      </c>
      <c r="J463" s="3" t="s">
        <v>365</v>
      </c>
      <c r="K463" s="3" t="s">
        <v>366</v>
      </c>
      <c r="L463" s="3" t="s">
        <v>157</v>
      </c>
      <c r="M463" s="3" t="s">
        <v>659</v>
      </c>
      <c r="N463" s="3" t="s">
        <v>89</v>
      </c>
      <c r="O463" s="3" t="s">
        <v>323</v>
      </c>
      <c r="P463" s="3" t="s">
        <v>660</v>
      </c>
      <c r="Q463" s="5" t="n">
        <v>305.99</v>
      </c>
      <c r="R463" s="3" t="n">
        <v>1</v>
      </c>
      <c r="S463" s="6" t="n">
        <v>0</v>
      </c>
      <c r="T463" s="5" t="n">
        <v>53.47</v>
      </c>
      <c r="U463" s="3" t="str">
        <f aca="false">IF(T463&lt;0,"Loss",IF(T463=0,"Break-even","Profit"))</f>
        <v>Profit</v>
      </c>
      <c r="V463" s="3" t="str">
        <f aca="false">IF(Q463&lt;100,"Low",IF(Q463&lt;=500,"Medium","High"))</f>
        <v>Medium</v>
      </c>
      <c r="W463" s="3" t="n">
        <f aca="false">D463-C463</f>
        <v>3</v>
      </c>
      <c r="X463" s="3" t="str">
        <f aca="false">TEXT(C463,"mmmm")</f>
        <v>November</v>
      </c>
      <c r="Y463" s="3" t="str">
        <f aca="false">LEFT(G463,1)&amp;MID(G463,FIND(" ",G463)+1,1)</f>
        <v>OB</v>
      </c>
    </row>
    <row r="464" customFormat="false" ht="15" hidden="false" customHeight="false" outlineLevel="0" collapsed="false">
      <c r="A464" s="3" t="n">
        <v>463</v>
      </c>
      <c r="B464" s="3" t="s">
        <v>1390</v>
      </c>
      <c r="C464" s="4" t="s">
        <v>1440</v>
      </c>
      <c r="D464" s="4" t="s">
        <v>1449</v>
      </c>
      <c r="E464" s="3" t="s">
        <v>28</v>
      </c>
      <c r="F464" s="3" t="s">
        <v>908</v>
      </c>
      <c r="G464" s="3" t="s">
        <v>909</v>
      </c>
      <c r="H464" s="3" t="s">
        <v>56</v>
      </c>
      <c r="I464" s="3" t="s">
        <v>32</v>
      </c>
      <c r="J464" s="3" t="s">
        <v>112</v>
      </c>
      <c r="K464" s="3" t="s">
        <v>113</v>
      </c>
      <c r="L464" s="3" t="s">
        <v>69</v>
      </c>
      <c r="M464" s="3" t="s">
        <v>48</v>
      </c>
      <c r="N464" s="3" t="s">
        <v>49</v>
      </c>
      <c r="O464" s="3" t="s">
        <v>50</v>
      </c>
      <c r="P464" s="3" t="s">
        <v>51</v>
      </c>
      <c r="Q464" s="5" t="n">
        <v>132.64</v>
      </c>
      <c r="R464" s="3" t="n">
        <v>2</v>
      </c>
      <c r="S464" s="6" t="n">
        <v>0.3</v>
      </c>
      <c r="T464" s="5" t="n">
        <v>-15.94</v>
      </c>
      <c r="U464" s="3" t="str">
        <f aca="false">IF(T464&lt;0,"Loss",IF(T464=0,"Break-even","Profit"))</f>
        <v>Loss</v>
      </c>
      <c r="V464" s="3" t="str">
        <f aca="false">IF(Q464&lt;100,"Low",IF(Q464&lt;=500,"Medium","High"))</f>
        <v>Medium</v>
      </c>
      <c r="W464" s="3" t="n">
        <f aca="false">D464-C464</f>
        <v>3</v>
      </c>
      <c r="X464" s="3" t="str">
        <f aca="false">TEXT(C464,"mmmm")</f>
        <v>November</v>
      </c>
      <c r="Y464" s="3" t="str">
        <f aca="false">LEFT(G464,1)&amp;MID(G464,FIND(" ",G464)+1,1)</f>
        <v>JM</v>
      </c>
    </row>
    <row r="465" customFormat="false" ht="15" hidden="false" customHeight="false" outlineLevel="0" collapsed="false">
      <c r="A465" s="3" t="n">
        <v>464</v>
      </c>
      <c r="B465" s="3" t="s">
        <v>1450</v>
      </c>
      <c r="C465" s="4" t="s">
        <v>1440</v>
      </c>
      <c r="D465" s="4" t="s">
        <v>1445</v>
      </c>
      <c r="E465" s="3" t="s">
        <v>84</v>
      </c>
      <c r="F465" s="3" t="s">
        <v>644</v>
      </c>
      <c r="G465" s="3" t="s">
        <v>645</v>
      </c>
      <c r="H465" s="3" t="s">
        <v>31</v>
      </c>
      <c r="I465" s="3" t="s">
        <v>32</v>
      </c>
      <c r="J465" s="3" t="s">
        <v>873</v>
      </c>
      <c r="K465" s="3" t="s">
        <v>387</v>
      </c>
      <c r="L465" s="3" t="s">
        <v>35</v>
      </c>
      <c r="M465" s="3" t="s">
        <v>127</v>
      </c>
      <c r="N465" s="3" t="s">
        <v>49</v>
      </c>
      <c r="O465" s="3" t="s">
        <v>61</v>
      </c>
      <c r="P465" s="3" t="s">
        <v>128</v>
      </c>
      <c r="Q465" s="5" t="n">
        <v>1005.75</v>
      </c>
      <c r="R465" s="3" t="n">
        <v>11</v>
      </c>
      <c r="S465" s="6" t="n">
        <v>0.1</v>
      </c>
      <c r="T465" s="5" t="n">
        <v>11.21</v>
      </c>
      <c r="U465" s="3" t="str">
        <f aca="false">IF(T465&lt;0,"Loss",IF(T465=0,"Break-even","Profit"))</f>
        <v>Profit</v>
      </c>
      <c r="V465" s="3" t="str">
        <f aca="false">IF(Q465&lt;100,"Low",IF(Q465&lt;=500,"Medium","High"))</f>
        <v>High</v>
      </c>
      <c r="W465" s="3" t="n">
        <f aca="false">D465-C465</f>
        <v>2</v>
      </c>
      <c r="X465" s="3" t="str">
        <f aca="false">TEXT(C465,"mmmm")</f>
        <v>November</v>
      </c>
      <c r="Y465" s="3" t="str">
        <f aca="false">LEFT(G465,1)&amp;MID(G465,FIND(" ",G465)+1,1)</f>
        <v>LJ</v>
      </c>
    </row>
    <row r="466" customFormat="false" ht="15" hidden="false" customHeight="false" outlineLevel="0" collapsed="false">
      <c r="A466" s="3" t="n">
        <v>465</v>
      </c>
      <c r="B466" s="3" t="s">
        <v>1451</v>
      </c>
      <c r="C466" s="4" t="s">
        <v>1440</v>
      </c>
      <c r="D466" s="4" t="s">
        <v>1440</v>
      </c>
      <c r="E466" s="3" t="s">
        <v>53</v>
      </c>
      <c r="F466" s="3" t="s">
        <v>1452</v>
      </c>
      <c r="G466" s="3" t="s">
        <v>1453</v>
      </c>
      <c r="H466" s="3" t="s">
        <v>56</v>
      </c>
      <c r="I466" s="3" t="s">
        <v>32</v>
      </c>
      <c r="J466" s="3" t="s">
        <v>171</v>
      </c>
      <c r="K466" s="3" t="s">
        <v>172</v>
      </c>
      <c r="L466" s="3" t="s">
        <v>157</v>
      </c>
      <c r="M466" s="3" t="s">
        <v>300</v>
      </c>
      <c r="N466" s="3" t="s">
        <v>49</v>
      </c>
      <c r="O466" s="3" t="s">
        <v>143</v>
      </c>
      <c r="P466" s="3" t="s">
        <v>301</v>
      </c>
      <c r="Q466" s="5" t="n">
        <v>461.2</v>
      </c>
      <c r="R466" s="3" t="n">
        <v>9</v>
      </c>
      <c r="S466" s="6" t="n">
        <v>0.3</v>
      </c>
      <c r="T466" s="5" t="n">
        <v>-96.6</v>
      </c>
      <c r="U466" s="3" t="str">
        <f aca="false">IF(T466&lt;0,"Loss",IF(T466=0,"Break-even","Profit"))</f>
        <v>Loss</v>
      </c>
      <c r="V466" s="3" t="str">
        <f aca="false">IF(Q466&lt;100,"Low",IF(Q466&lt;=500,"Medium","High"))</f>
        <v>Medium</v>
      </c>
      <c r="W466" s="3" t="n">
        <f aca="false">D466-C466</f>
        <v>0</v>
      </c>
      <c r="X466" s="3" t="str">
        <f aca="false">TEXT(C466,"mmmm")</f>
        <v>November</v>
      </c>
      <c r="Y466" s="3" t="str">
        <f aca="false">LEFT(G466,1)&amp;MID(G466,FIND(" ",G466)+1,1)</f>
        <v>OA</v>
      </c>
    </row>
    <row r="467" customFormat="false" ht="15" hidden="false" customHeight="false" outlineLevel="0" collapsed="false">
      <c r="A467" s="3" t="n">
        <v>466</v>
      </c>
      <c r="B467" s="3" t="s">
        <v>1454</v>
      </c>
      <c r="C467" s="4" t="s">
        <v>1443</v>
      </c>
      <c r="D467" s="4" t="s">
        <v>1455</v>
      </c>
      <c r="E467" s="3" t="s">
        <v>28</v>
      </c>
      <c r="F467" s="3" t="s">
        <v>1456</v>
      </c>
      <c r="G467" s="3" t="s">
        <v>1457</v>
      </c>
      <c r="H467" s="3" t="s">
        <v>45</v>
      </c>
      <c r="I467" s="3" t="s">
        <v>32</v>
      </c>
      <c r="J467" s="3" t="s">
        <v>120</v>
      </c>
      <c r="K467" s="3" t="s">
        <v>113</v>
      </c>
      <c r="L467" s="3" t="s">
        <v>69</v>
      </c>
      <c r="M467" s="3" t="s">
        <v>404</v>
      </c>
      <c r="N467" s="3" t="s">
        <v>89</v>
      </c>
      <c r="O467" s="3" t="s">
        <v>166</v>
      </c>
      <c r="P467" s="3" t="s">
        <v>405</v>
      </c>
      <c r="Q467" s="5" t="n">
        <v>201.25</v>
      </c>
      <c r="R467" s="3" t="n">
        <v>3</v>
      </c>
      <c r="S467" s="6" t="n">
        <v>0</v>
      </c>
      <c r="T467" s="5" t="n">
        <v>41.05</v>
      </c>
      <c r="U467" s="3" t="str">
        <f aca="false">IF(T467&lt;0,"Loss",IF(T467=0,"Break-even","Profit"))</f>
        <v>Profit</v>
      </c>
      <c r="V467" s="3" t="str">
        <f aca="false">IF(Q467&lt;100,"Low",IF(Q467&lt;=500,"Medium","High"))</f>
        <v>Medium</v>
      </c>
      <c r="W467" s="3" t="n">
        <f aca="false">D467-C467</f>
        <v>4</v>
      </c>
      <c r="X467" s="3" t="str">
        <f aca="false">TEXT(C467,"mmmm")</f>
        <v>November</v>
      </c>
      <c r="Y467" s="3" t="str">
        <f aca="false">LEFT(G467,1)&amp;MID(G467,FIND(" ",G467)+1,1)</f>
        <v>LB</v>
      </c>
    </row>
    <row r="468" customFormat="false" ht="15" hidden="false" customHeight="false" outlineLevel="0" collapsed="false">
      <c r="A468" s="3" t="n">
        <v>467</v>
      </c>
      <c r="B468" s="3" t="s">
        <v>1458</v>
      </c>
      <c r="C468" s="4" t="s">
        <v>1443</v>
      </c>
      <c r="D468" s="4" t="s">
        <v>1455</v>
      </c>
      <c r="E468" s="3" t="s">
        <v>28</v>
      </c>
      <c r="F468" s="3" t="s">
        <v>1459</v>
      </c>
      <c r="G468" s="3" t="s">
        <v>1460</v>
      </c>
      <c r="H468" s="3" t="s">
        <v>45</v>
      </c>
      <c r="I468" s="3" t="s">
        <v>32</v>
      </c>
      <c r="J468" s="3" t="s">
        <v>67</v>
      </c>
      <c r="K468" s="3" t="s">
        <v>68</v>
      </c>
      <c r="L468" s="3" t="s">
        <v>69</v>
      </c>
      <c r="M468" s="3" t="s">
        <v>190</v>
      </c>
      <c r="N468" s="3" t="s">
        <v>49</v>
      </c>
      <c r="O468" s="3" t="s">
        <v>150</v>
      </c>
      <c r="P468" s="3" t="s">
        <v>191</v>
      </c>
      <c r="Q468" s="5" t="n">
        <v>133.65</v>
      </c>
      <c r="R468" s="3" t="n">
        <v>3</v>
      </c>
      <c r="S468" s="6" t="n">
        <v>0</v>
      </c>
      <c r="T468" s="5" t="n">
        <v>46.2</v>
      </c>
      <c r="U468" s="3" t="str">
        <f aca="false">IF(T468&lt;0,"Loss",IF(T468=0,"Break-even","Profit"))</f>
        <v>Profit</v>
      </c>
      <c r="V468" s="3" t="str">
        <f aca="false">IF(Q468&lt;100,"Low",IF(Q468&lt;=500,"Medium","High"))</f>
        <v>Medium</v>
      </c>
      <c r="W468" s="3" t="n">
        <f aca="false">D468-C468</f>
        <v>4</v>
      </c>
      <c r="X468" s="3" t="str">
        <f aca="false">TEXT(C468,"mmmm")</f>
        <v>November</v>
      </c>
      <c r="Y468" s="3" t="str">
        <f aca="false">LEFT(G468,1)&amp;MID(G468,FIND(" ",G468)+1,1)</f>
        <v>AS</v>
      </c>
    </row>
    <row r="469" customFormat="false" ht="15" hidden="false" customHeight="false" outlineLevel="0" collapsed="false">
      <c r="A469" s="3" t="n">
        <v>468</v>
      </c>
      <c r="B469" s="3" t="s">
        <v>1461</v>
      </c>
      <c r="C469" s="4" t="s">
        <v>1445</v>
      </c>
      <c r="D469" s="4" t="s">
        <v>1455</v>
      </c>
      <c r="E469" s="3" t="s">
        <v>28</v>
      </c>
      <c r="F469" s="3" t="s">
        <v>1462</v>
      </c>
      <c r="G469" s="3" t="s">
        <v>1463</v>
      </c>
      <c r="H469" s="3" t="s">
        <v>56</v>
      </c>
      <c r="I469" s="3" t="s">
        <v>32</v>
      </c>
      <c r="J469" s="3" t="s">
        <v>46</v>
      </c>
      <c r="K469" s="3" t="s">
        <v>47</v>
      </c>
      <c r="L469" s="3" t="s">
        <v>35</v>
      </c>
      <c r="M469" s="3" t="s">
        <v>219</v>
      </c>
      <c r="N469" s="3" t="s">
        <v>49</v>
      </c>
      <c r="O469" s="3" t="s">
        <v>220</v>
      </c>
      <c r="P469" s="3" t="s">
        <v>221</v>
      </c>
      <c r="Q469" s="5" t="n">
        <v>525.26</v>
      </c>
      <c r="R469" s="3" t="n">
        <v>13</v>
      </c>
      <c r="S469" s="6" t="n">
        <v>0.2</v>
      </c>
      <c r="T469" s="5" t="n">
        <v>-145.6</v>
      </c>
      <c r="U469" s="3" t="str">
        <f aca="false">IF(T469&lt;0,"Loss",IF(T469=0,"Break-even","Profit"))</f>
        <v>Loss</v>
      </c>
      <c r="V469" s="3" t="str">
        <f aca="false">IF(Q469&lt;100,"Low",IF(Q469&lt;=500,"Medium","High"))</f>
        <v>High</v>
      </c>
      <c r="W469" s="3" t="n">
        <f aca="false">D469-C469</f>
        <v>3</v>
      </c>
      <c r="X469" s="3" t="str">
        <f aca="false">TEXT(C469,"mmmm")</f>
        <v>November</v>
      </c>
      <c r="Y469" s="3" t="str">
        <f aca="false">LEFT(G469,1)&amp;MID(G469,FIND(" ",G469)+1,1)</f>
        <v>SA</v>
      </c>
    </row>
    <row r="470" customFormat="false" ht="15" hidden="false" customHeight="false" outlineLevel="0" collapsed="false">
      <c r="A470" s="3" t="n">
        <v>469</v>
      </c>
      <c r="B470" s="3" t="s">
        <v>1464</v>
      </c>
      <c r="C470" s="4" t="s">
        <v>1449</v>
      </c>
      <c r="D470" s="4" t="s">
        <v>1465</v>
      </c>
      <c r="E470" s="3" t="s">
        <v>84</v>
      </c>
      <c r="F470" s="3" t="s">
        <v>686</v>
      </c>
      <c r="G470" s="3" t="s">
        <v>687</v>
      </c>
      <c r="H470" s="3" t="s">
        <v>31</v>
      </c>
      <c r="I470" s="3" t="s">
        <v>32</v>
      </c>
      <c r="J470" s="3" t="s">
        <v>148</v>
      </c>
      <c r="K470" s="3" t="s">
        <v>78</v>
      </c>
      <c r="L470" s="3" t="s">
        <v>59</v>
      </c>
      <c r="M470" s="3" t="s">
        <v>121</v>
      </c>
      <c r="N470" s="3" t="s">
        <v>49</v>
      </c>
      <c r="O470" s="3" t="s">
        <v>50</v>
      </c>
      <c r="P470" s="3" t="s">
        <v>122</v>
      </c>
      <c r="Q470" s="5" t="n">
        <v>263.26</v>
      </c>
      <c r="R470" s="3" t="n">
        <v>3</v>
      </c>
      <c r="S470" s="6" t="n">
        <v>0</v>
      </c>
      <c r="T470" s="5" t="n">
        <v>-17.16</v>
      </c>
      <c r="U470" s="3" t="str">
        <f aca="false">IF(T470&lt;0,"Loss",IF(T470=0,"Break-even","Profit"))</f>
        <v>Loss</v>
      </c>
      <c r="V470" s="3" t="str">
        <f aca="false">IF(Q470&lt;100,"Low",IF(Q470&lt;=500,"Medium","High"))</f>
        <v>Medium</v>
      </c>
      <c r="W470" s="3" t="n">
        <f aca="false">D470-C470</f>
        <v>3</v>
      </c>
      <c r="X470" s="3" t="str">
        <f aca="false">TEXT(C470,"mmmm")</f>
        <v>November</v>
      </c>
      <c r="Y470" s="3" t="str">
        <f aca="false">LEFT(G470,1)&amp;MID(G470,FIND(" ",G470)+1,1)</f>
        <v>EN</v>
      </c>
    </row>
    <row r="471" customFormat="false" ht="15" hidden="false" customHeight="false" outlineLevel="0" collapsed="false">
      <c r="A471" s="3" t="n">
        <v>470</v>
      </c>
      <c r="B471" s="3" t="s">
        <v>1466</v>
      </c>
      <c r="C471" s="4" t="s">
        <v>1465</v>
      </c>
      <c r="D471" s="4" t="s">
        <v>1467</v>
      </c>
      <c r="E471" s="3" t="s">
        <v>28</v>
      </c>
      <c r="F471" s="3" t="s">
        <v>1468</v>
      </c>
      <c r="G471" s="3" t="s">
        <v>1469</v>
      </c>
      <c r="H471" s="3" t="s">
        <v>56</v>
      </c>
      <c r="I471" s="3" t="s">
        <v>32</v>
      </c>
      <c r="J471" s="3" t="s">
        <v>95</v>
      </c>
      <c r="K471" s="3" t="s">
        <v>96</v>
      </c>
      <c r="L471" s="3" t="s">
        <v>59</v>
      </c>
      <c r="M471" s="3" t="s">
        <v>219</v>
      </c>
      <c r="N471" s="3" t="s">
        <v>49</v>
      </c>
      <c r="O471" s="3" t="s">
        <v>220</v>
      </c>
      <c r="P471" s="3" t="s">
        <v>221</v>
      </c>
      <c r="Q471" s="5" t="n">
        <v>378.93</v>
      </c>
      <c r="R471" s="3" t="n">
        <v>10</v>
      </c>
      <c r="S471" s="6" t="n">
        <v>0.1</v>
      </c>
      <c r="T471" s="5" t="n">
        <v>3.94</v>
      </c>
      <c r="U471" s="3" t="str">
        <f aca="false">IF(T471&lt;0,"Loss",IF(T471=0,"Break-even","Profit"))</f>
        <v>Profit</v>
      </c>
      <c r="V471" s="3" t="str">
        <f aca="false">IF(Q471&lt;100,"Low",IF(Q471&lt;=500,"Medium","High"))</f>
        <v>Medium</v>
      </c>
      <c r="W471" s="3" t="n">
        <f aca="false">D471-C471</f>
        <v>7</v>
      </c>
      <c r="X471" s="3" t="str">
        <f aca="false">TEXT(C471,"mmmm")</f>
        <v>November</v>
      </c>
      <c r="Y471" s="3" t="str">
        <f aca="false">LEFT(G471,1)&amp;MID(G471,FIND(" ",G471)+1,1)</f>
        <v>EK</v>
      </c>
    </row>
    <row r="472" customFormat="false" ht="15" hidden="false" customHeight="false" outlineLevel="0" collapsed="false">
      <c r="A472" s="3" t="n">
        <v>471</v>
      </c>
      <c r="B472" s="3" t="s">
        <v>1470</v>
      </c>
      <c r="C472" s="4" t="s">
        <v>1465</v>
      </c>
      <c r="D472" s="4" t="s">
        <v>1471</v>
      </c>
      <c r="E472" s="3" t="s">
        <v>42</v>
      </c>
      <c r="F472" s="3" t="s">
        <v>949</v>
      </c>
      <c r="G472" s="3" t="s">
        <v>950</v>
      </c>
      <c r="H472" s="3" t="s">
        <v>56</v>
      </c>
      <c r="I472" s="3" t="s">
        <v>32</v>
      </c>
      <c r="J472" s="3" t="s">
        <v>104</v>
      </c>
      <c r="K472" s="3" t="s">
        <v>96</v>
      </c>
      <c r="L472" s="3" t="s">
        <v>59</v>
      </c>
      <c r="M472" s="3" t="s">
        <v>195</v>
      </c>
      <c r="N472" s="3" t="s">
        <v>37</v>
      </c>
      <c r="O472" s="3" t="s">
        <v>196</v>
      </c>
      <c r="P472" s="3" t="s">
        <v>197</v>
      </c>
      <c r="Q472" s="5" t="n">
        <v>3410.99</v>
      </c>
      <c r="R472" s="3" t="n">
        <v>3</v>
      </c>
      <c r="S472" s="6" t="n">
        <v>0.5</v>
      </c>
      <c r="T472" s="5" t="n">
        <v>284.56</v>
      </c>
      <c r="U472" s="3" t="str">
        <f aca="false">IF(T472&lt;0,"Loss",IF(T472=0,"Break-even","Profit"))</f>
        <v>Profit</v>
      </c>
      <c r="V472" s="3" t="str">
        <f aca="false">IF(Q472&lt;100,"Low",IF(Q472&lt;=500,"Medium","High"))</f>
        <v>High</v>
      </c>
      <c r="W472" s="3" t="n">
        <f aca="false">D472-C472</f>
        <v>1</v>
      </c>
      <c r="X472" s="3" t="str">
        <f aca="false">TEXT(C472,"mmmm")</f>
        <v>November</v>
      </c>
      <c r="Y472" s="3" t="str">
        <f aca="false">LEFT(G472,1)&amp;MID(G472,FIND(" ",G472)+1,1)</f>
        <v>FK</v>
      </c>
    </row>
    <row r="473" customFormat="false" ht="15" hidden="false" customHeight="false" outlineLevel="0" collapsed="false">
      <c r="A473" s="3" t="n">
        <v>472</v>
      </c>
      <c r="B473" s="3" t="s">
        <v>1472</v>
      </c>
      <c r="C473" s="4" t="s">
        <v>1471</v>
      </c>
      <c r="D473" s="4" t="s">
        <v>1473</v>
      </c>
      <c r="E473" s="3" t="s">
        <v>84</v>
      </c>
      <c r="F473" s="3" t="s">
        <v>556</v>
      </c>
      <c r="G473" s="3" t="s">
        <v>557</v>
      </c>
      <c r="H473" s="3" t="s">
        <v>45</v>
      </c>
      <c r="I473" s="3" t="s">
        <v>32</v>
      </c>
      <c r="J473" s="3" t="s">
        <v>299</v>
      </c>
      <c r="K473" s="3" t="s">
        <v>189</v>
      </c>
      <c r="L473" s="3" t="s">
        <v>59</v>
      </c>
      <c r="M473" s="3" t="s">
        <v>135</v>
      </c>
      <c r="N473" s="3" t="s">
        <v>37</v>
      </c>
      <c r="O473" s="3" t="s">
        <v>136</v>
      </c>
      <c r="P473" s="3" t="s">
        <v>137</v>
      </c>
      <c r="Q473" s="5" t="n">
        <v>7283.71</v>
      </c>
      <c r="R473" s="3" t="n">
        <v>11</v>
      </c>
      <c r="S473" s="6" t="n">
        <v>0.2</v>
      </c>
      <c r="T473" s="5" t="n">
        <v>1292.55</v>
      </c>
      <c r="U473" s="3" t="str">
        <f aca="false">IF(T473&lt;0,"Loss",IF(T473=0,"Break-even","Profit"))</f>
        <v>Profit</v>
      </c>
      <c r="V473" s="3" t="str">
        <f aca="false">IF(Q473&lt;100,"Low",IF(Q473&lt;=500,"Medium","High"))</f>
        <v>High</v>
      </c>
      <c r="W473" s="3" t="n">
        <f aca="false">D473-C473</f>
        <v>4</v>
      </c>
      <c r="X473" s="3" t="str">
        <f aca="false">TEXT(C473,"mmmm")</f>
        <v>November</v>
      </c>
      <c r="Y473" s="3" t="str">
        <f aca="false">LEFT(G473,1)&amp;MID(G473,FIND(" ",G473)+1,1)</f>
        <v>MN</v>
      </c>
    </row>
    <row r="474" customFormat="false" ht="15" hidden="false" customHeight="false" outlineLevel="0" collapsed="false">
      <c r="A474" s="3" t="n">
        <v>473</v>
      </c>
      <c r="B474" s="3" t="s">
        <v>1474</v>
      </c>
      <c r="C474" s="4" t="s">
        <v>1471</v>
      </c>
      <c r="D474" s="4" t="s">
        <v>1471</v>
      </c>
      <c r="E474" s="3" t="s">
        <v>53</v>
      </c>
      <c r="F474" s="3" t="s">
        <v>1475</v>
      </c>
      <c r="G474" s="3" t="s">
        <v>1476</v>
      </c>
      <c r="H474" s="3" t="s">
        <v>45</v>
      </c>
      <c r="I474" s="3" t="s">
        <v>32</v>
      </c>
      <c r="J474" s="3" t="s">
        <v>104</v>
      </c>
      <c r="K474" s="3" t="s">
        <v>96</v>
      </c>
      <c r="L474" s="3" t="s">
        <v>59</v>
      </c>
      <c r="M474" s="3" t="s">
        <v>259</v>
      </c>
      <c r="N474" s="3" t="s">
        <v>89</v>
      </c>
      <c r="O474" s="3" t="s">
        <v>174</v>
      </c>
      <c r="P474" s="3" t="s">
        <v>260</v>
      </c>
      <c r="Q474" s="5" t="n">
        <v>2272.44</v>
      </c>
      <c r="R474" s="3" t="n">
        <v>4</v>
      </c>
      <c r="S474" s="6" t="n">
        <v>0</v>
      </c>
      <c r="T474" s="5" t="n">
        <v>85.7</v>
      </c>
      <c r="U474" s="3" t="str">
        <f aca="false">IF(T474&lt;0,"Loss",IF(T474=0,"Break-even","Profit"))</f>
        <v>Profit</v>
      </c>
      <c r="V474" s="3" t="str">
        <f aca="false">IF(Q474&lt;100,"Low",IF(Q474&lt;=500,"Medium","High"))</f>
        <v>High</v>
      </c>
      <c r="W474" s="3" t="n">
        <f aca="false">D474-C474</f>
        <v>0</v>
      </c>
      <c r="X474" s="3" t="str">
        <f aca="false">TEXT(C474,"mmmm")</f>
        <v>November</v>
      </c>
      <c r="Y474" s="3" t="str">
        <f aca="false">LEFT(G474,1)&amp;MID(G474,FIND(" ",G474)+1,1)</f>
        <v>FK</v>
      </c>
    </row>
    <row r="475" customFormat="false" ht="15" hidden="false" customHeight="false" outlineLevel="0" collapsed="false">
      <c r="A475" s="3" t="n">
        <v>474</v>
      </c>
      <c r="B475" s="3" t="s">
        <v>230</v>
      </c>
      <c r="C475" s="4" t="s">
        <v>1477</v>
      </c>
      <c r="D475" s="4" t="s">
        <v>1478</v>
      </c>
      <c r="E475" s="3" t="s">
        <v>28</v>
      </c>
      <c r="F475" s="3" t="s">
        <v>441</v>
      </c>
      <c r="G475" s="3" t="s">
        <v>442</v>
      </c>
      <c r="H475" s="3" t="s">
        <v>45</v>
      </c>
      <c r="I475" s="3" t="s">
        <v>32</v>
      </c>
      <c r="J475" s="3" t="s">
        <v>243</v>
      </c>
      <c r="K475" s="3" t="s">
        <v>244</v>
      </c>
      <c r="L475" s="3" t="s">
        <v>157</v>
      </c>
      <c r="M475" s="3" t="s">
        <v>470</v>
      </c>
      <c r="N475" s="3" t="s">
        <v>49</v>
      </c>
      <c r="O475" s="3" t="s">
        <v>159</v>
      </c>
      <c r="P475" s="3" t="s">
        <v>471</v>
      </c>
      <c r="Q475" s="5" t="n">
        <v>924.32</v>
      </c>
      <c r="R475" s="3" t="n">
        <v>13</v>
      </c>
      <c r="S475" s="6" t="n">
        <v>0.3</v>
      </c>
      <c r="T475" s="5" t="n">
        <v>-162.67</v>
      </c>
      <c r="U475" s="3" t="str">
        <f aca="false">IF(T475&lt;0,"Loss",IF(T475=0,"Break-even","Profit"))</f>
        <v>Loss</v>
      </c>
      <c r="V475" s="3" t="str">
        <f aca="false">IF(Q475&lt;100,"Low",IF(Q475&lt;=500,"Medium","High"))</f>
        <v>High</v>
      </c>
      <c r="W475" s="3" t="n">
        <f aca="false">D475-C475</f>
        <v>3</v>
      </c>
      <c r="X475" s="3" t="str">
        <f aca="false">TEXT(C475,"mmmm")</f>
        <v>November</v>
      </c>
      <c r="Y475" s="3" t="str">
        <f aca="false">LEFT(G475,1)&amp;MID(G475,FIND(" ",G475)+1,1)</f>
        <v>AK</v>
      </c>
    </row>
    <row r="476" customFormat="false" ht="15" hidden="false" customHeight="false" outlineLevel="0" collapsed="false">
      <c r="A476" s="3" t="n">
        <v>475</v>
      </c>
      <c r="B476" s="3" t="s">
        <v>1479</v>
      </c>
      <c r="C476" s="4" t="s">
        <v>1480</v>
      </c>
      <c r="D476" s="4" t="s">
        <v>1473</v>
      </c>
      <c r="E476" s="3" t="s">
        <v>42</v>
      </c>
      <c r="F476" s="3" t="s">
        <v>1481</v>
      </c>
      <c r="G476" s="3" t="s">
        <v>1482</v>
      </c>
      <c r="H476" s="3" t="s">
        <v>31</v>
      </c>
      <c r="I476" s="3" t="s">
        <v>32</v>
      </c>
      <c r="J476" s="3" t="s">
        <v>77</v>
      </c>
      <c r="K476" s="3" t="s">
        <v>78</v>
      </c>
      <c r="L476" s="3" t="s">
        <v>59</v>
      </c>
      <c r="M476" s="3" t="s">
        <v>149</v>
      </c>
      <c r="N476" s="3" t="s">
        <v>49</v>
      </c>
      <c r="O476" s="3" t="s">
        <v>150</v>
      </c>
      <c r="P476" s="3" t="s">
        <v>151</v>
      </c>
      <c r="Q476" s="5" t="n">
        <v>65.58</v>
      </c>
      <c r="R476" s="3" t="n">
        <v>4</v>
      </c>
      <c r="S476" s="6" t="n">
        <v>0</v>
      </c>
      <c r="T476" s="5" t="n">
        <v>3.36</v>
      </c>
      <c r="U476" s="3" t="str">
        <f aca="false">IF(T476&lt;0,"Loss",IF(T476=0,"Break-even","Profit"))</f>
        <v>Profit</v>
      </c>
      <c r="V476" s="3" t="str">
        <f aca="false">IF(Q476&lt;100,"Low",IF(Q476&lt;=500,"Medium","High"))</f>
        <v>Low</v>
      </c>
      <c r="W476" s="3" t="n">
        <f aca="false">D476-C476</f>
        <v>1</v>
      </c>
      <c r="X476" s="3" t="str">
        <f aca="false">TEXT(C476,"mmmm")</f>
        <v>November</v>
      </c>
      <c r="Y476" s="3" t="str">
        <f aca="false">LEFT(G476,1)&amp;MID(G476,FIND(" ",G476)+1,1)</f>
        <v>OJ</v>
      </c>
    </row>
    <row r="477" customFormat="false" ht="15" hidden="false" customHeight="false" outlineLevel="0" collapsed="false">
      <c r="A477" s="3" t="n">
        <v>476</v>
      </c>
      <c r="B477" s="3" t="s">
        <v>1483</v>
      </c>
      <c r="C477" s="4" t="s">
        <v>1478</v>
      </c>
      <c r="D477" s="4" t="s">
        <v>1484</v>
      </c>
      <c r="E477" s="3" t="s">
        <v>28</v>
      </c>
      <c r="F477" s="3" t="s">
        <v>1485</v>
      </c>
      <c r="G477" s="3" t="s">
        <v>1486</v>
      </c>
      <c r="H477" s="3" t="s">
        <v>56</v>
      </c>
      <c r="I477" s="3" t="s">
        <v>32</v>
      </c>
      <c r="J477" s="3" t="s">
        <v>386</v>
      </c>
      <c r="K477" s="3" t="s">
        <v>387</v>
      </c>
      <c r="L477" s="3" t="s">
        <v>35</v>
      </c>
      <c r="M477" s="3" t="s">
        <v>316</v>
      </c>
      <c r="N477" s="3" t="s">
        <v>49</v>
      </c>
      <c r="O477" s="3" t="s">
        <v>143</v>
      </c>
      <c r="P477" s="3" t="s">
        <v>317</v>
      </c>
      <c r="Q477" s="5" t="n">
        <v>397.91</v>
      </c>
      <c r="R477" s="3" t="n">
        <v>4</v>
      </c>
      <c r="S477" s="6" t="n">
        <v>0</v>
      </c>
      <c r="T477" s="5" t="n">
        <v>-14.03</v>
      </c>
      <c r="U477" s="3" t="str">
        <f aca="false">IF(T477&lt;0,"Loss",IF(T477=0,"Break-even","Profit"))</f>
        <v>Loss</v>
      </c>
      <c r="V477" s="3" t="str">
        <f aca="false">IF(Q477&lt;100,"Low",IF(Q477&lt;=500,"Medium","High"))</f>
        <v>Medium</v>
      </c>
      <c r="W477" s="3" t="n">
        <f aca="false">D477-C477</f>
        <v>4</v>
      </c>
      <c r="X477" s="3" t="str">
        <f aca="false">TEXT(C477,"mmmm")</f>
        <v>November</v>
      </c>
      <c r="Y477" s="3" t="str">
        <f aca="false">LEFT(G477,1)&amp;MID(G477,FIND(" ",G477)+1,1)</f>
        <v>SC</v>
      </c>
    </row>
    <row r="478" customFormat="false" ht="15" hidden="false" customHeight="false" outlineLevel="0" collapsed="false">
      <c r="A478" s="3" t="n">
        <v>477</v>
      </c>
      <c r="B478" s="3" t="s">
        <v>1487</v>
      </c>
      <c r="C478" s="4" t="s">
        <v>1478</v>
      </c>
      <c r="D478" s="4" t="s">
        <v>1488</v>
      </c>
      <c r="E478" s="3" t="s">
        <v>28</v>
      </c>
      <c r="F478" s="3" t="s">
        <v>1434</v>
      </c>
      <c r="G478" s="3" t="s">
        <v>1435</v>
      </c>
      <c r="H478" s="3" t="s">
        <v>56</v>
      </c>
      <c r="I478" s="3" t="s">
        <v>32</v>
      </c>
      <c r="J478" s="3" t="s">
        <v>306</v>
      </c>
      <c r="K478" s="3" t="s">
        <v>307</v>
      </c>
      <c r="L478" s="3" t="s">
        <v>69</v>
      </c>
      <c r="M478" s="3" t="s">
        <v>209</v>
      </c>
      <c r="N478" s="3" t="s">
        <v>49</v>
      </c>
      <c r="O478" s="3" t="s">
        <v>106</v>
      </c>
      <c r="P478" s="3" t="s">
        <v>210</v>
      </c>
      <c r="Q478" s="5" t="n">
        <v>5.36</v>
      </c>
      <c r="R478" s="3" t="n">
        <v>3</v>
      </c>
      <c r="S478" s="6" t="n">
        <v>0.4</v>
      </c>
      <c r="T478" s="5" t="n">
        <v>0.89</v>
      </c>
      <c r="U478" s="3" t="str">
        <f aca="false">IF(T478&lt;0,"Loss",IF(T478=0,"Break-even","Profit"))</f>
        <v>Profit</v>
      </c>
      <c r="V478" s="3" t="str">
        <f aca="false">IF(Q478&lt;100,"Low",IF(Q478&lt;=500,"Medium","High"))</f>
        <v>Low</v>
      </c>
      <c r="W478" s="3" t="n">
        <f aca="false">D478-C478</f>
        <v>5</v>
      </c>
      <c r="X478" s="3" t="str">
        <f aca="false">TEXT(C478,"mmmm")</f>
        <v>November</v>
      </c>
      <c r="Y478" s="3" t="str">
        <f aca="false">LEFT(G478,1)&amp;MID(G478,FIND(" ",G478)+1,1)</f>
        <v>CJ</v>
      </c>
    </row>
    <row r="479" customFormat="false" ht="15" hidden="false" customHeight="false" outlineLevel="0" collapsed="false">
      <c r="A479" s="3" t="n">
        <v>478</v>
      </c>
      <c r="B479" s="3" t="s">
        <v>1489</v>
      </c>
      <c r="C479" s="4" t="s">
        <v>1478</v>
      </c>
      <c r="D479" s="4" t="s">
        <v>1488</v>
      </c>
      <c r="E479" s="3" t="s">
        <v>28</v>
      </c>
      <c r="F479" s="3" t="s">
        <v>1002</v>
      </c>
      <c r="G479" s="3" t="s">
        <v>1003</v>
      </c>
      <c r="H479" s="3" t="s">
        <v>31</v>
      </c>
      <c r="I479" s="3" t="s">
        <v>32</v>
      </c>
      <c r="J479" s="3" t="s">
        <v>381</v>
      </c>
      <c r="K479" s="3" t="s">
        <v>58</v>
      </c>
      <c r="L479" s="3" t="s">
        <v>59</v>
      </c>
      <c r="M479" s="3" t="s">
        <v>60</v>
      </c>
      <c r="N479" s="3" t="s">
        <v>49</v>
      </c>
      <c r="O479" s="3" t="s">
        <v>61</v>
      </c>
      <c r="P479" s="3" t="s">
        <v>62</v>
      </c>
      <c r="Q479" s="5" t="n">
        <v>91.38</v>
      </c>
      <c r="R479" s="3" t="n">
        <v>5</v>
      </c>
      <c r="S479" s="6" t="n">
        <v>0.1</v>
      </c>
      <c r="T479" s="5" t="n">
        <v>29.52</v>
      </c>
      <c r="U479" s="3" t="str">
        <f aca="false">IF(T479&lt;0,"Loss",IF(T479=0,"Break-even","Profit"))</f>
        <v>Profit</v>
      </c>
      <c r="V479" s="3" t="str">
        <f aca="false">IF(Q479&lt;100,"Low",IF(Q479&lt;=500,"Medium","High"))</f>
        <v>Low</v>
      </c>
      <c r="W479" s="3" t="n">
        <f aca="false">D479-C479</f>
        <v>5</v>
      </c>
      <c r="X479" s="3" t="str">
        <f aca="false">TEXT(C479,"mmmm")</f>
        <v>November</v>
      </c>
      <c r="Y479" s="3" t="str">
        <f aca="false">LEFT(G479,1)&amp;MID(G479,FIND(" ",G479)+1,1)</f>
        <v>JN</v>
      </c>
    </row>
    <row r="480" customFormat="false" ht="15" hidden="false" customHeight="false" outlineLevel="0" collapsed="false">
      <c r="A480" s="3" t="n">
        <v>479</v>
      </c>
      <c r="B480" s="3" t="s">
        <v>1490</v>
      </c>
      <c r="C480" s="4" t="s">
        <v>1491</v>
      </c>
      <c r="D480" s="4" t="s">
        <v>1492</v>
      </c>
      <c r="E480" s="3" t="s">
        <v>28</v>
      </c>
      <c r="F480" s="3" t="s">
        <v>1493</v>
      </c>
      <c r="G480" s="3" t="s">
        <v>1494</v>
      </c>
      <c r="H480" s="3" t="s">
        <v>56</v>
      </c>
      <c r="I480" s="3" t="s">
        <v>32</v>
      </c>
      <c r="J480" s="3" t="s">
        <v>201</v>
      </c>
      <c r="K480" s="3" t="s">
        <v>202</v>
      </c>
      <c r="L480" s="3" t="s">
        <v>35</v>
      </c>
      <c r="M480" s="3" t="s">
        <v>559</v>
      </c>
      <c r="N480" s="3" t="s">
        <v>37</v>
      </c>
      <c r="O480" s="3" t="s">
        <v>38</v>
      </c>
      <c r="P480" s="3" t="s">
        <v>560</v>
      </c>
      <c r="Q480" s="5" t="n">
        <v>1666.79</v>
      </c>
      <c r="R480" s="3" t="n">
        <v>2</v>
      </c>
      <c r="S480" s="6" t="n">
        <v>0.3</v>
      </c>
      <c r="T480" s="5" t="n">
        <v>17.93</v>
      </c>
      <c r="U480" s="3" t="str">
        <f aca="false">IF(T480&lt;0,"Loss",IF(T480=0,"Break-even","Profit"))</f>
        <v>Profit</v>
      </c>
      <c r="V480" s="3" t="str">
        <f aca="false">IF(Q480&lt;100,"Low",IF(Q480&lt;=500,"Medium","High"))</f>
        <v>High</v>
      </c>
      <c r="W480" s="3" t="n">
        <f aca="false">D480-C480</f>
        <v>7</v>
      </c>
      <c r="X480" s="3" t="str">
        <f aca="false">TEXT(C480,"mmmm")</f>
        <v>December</v>
      </c>
      <c r="Y480" s="3" t="str">
        <f aca="false">LEFT(G480,1)&amp;MID(G480,FIND(" ",G480)+1,1)</f>
        <v>DG</v>
      </c>
    </row>
    <row r="481" customFormat="false" ht="15" hidden="false" customHeight="false" outlineLevel="0" collapsed="false">
      <c r="A481" s="3" t="n">
        <v>480</v>
      </c>
      <c r="B481" s="3" t="s">
        <v>1495</v>
      </c>
      <c r="C481" s="4" t="s">
        <v>1484</v>
      </c>
      <c r="D481" s="4" t="s">
        <v>1488</v>
      </c>
      <c r="E481" s="3" t="s">
        <v>42</v>
      </c>
      <c r="F481" s="3" t="s">
        <v>568</v>
      </c>
      <c r="G481" s="3" t="s">
        <v>569</v>
      </c>
      <c r="H481" s="3" t="s">
        <v>45</v>
      </c>
      <c r="I481" s="3" t="s">
        <v>32</v>
      </c>
      <c r="J481" s="3" t="s">
        <v>133</v>
      </c>
      <c r="K481" s="3" t="s">
        <v>134</v>
      </c>
      <c r="L481" s="3" t="s">
        <v>69</v>
      </c>
      <c r="M481" s="3" t="s">
        <v>334</v>
      </c>
      <c r="N481" s="3" t="s">
        <v>37</v>
      </c>
      <c r="O481" s="3" t="s">
        <v>136</v>
      </c>
      <c r="P481" s="3" t="s">
        <v>335</v>
      </c>
      <c r="Q481" s="5" t="n">
        <v>2575.2</v>
      </c>
      <c r="R481" s="3" t="n">
        <v>7</v>
      </c>
      <c r="S481" s="6" t="n">
        <v>0.1</v>
      </c>
      <c r="T481" s="5" t="n">
        <v>-94.51</v>
      </c>
      <c r="U481" s="3" t="str">
        <f aca="false">IF(T481&lt;0,"Loss",IF(T481=0,"Break-even","Profit"))</f>
        <v>Loss</v>
      </c>
      <c r="V481" s="3" t="str">
        <f aca="false">IF(Q481&lt;100,"Low",IF(Q481&lt;=500,"Medium","High"))</f>
        <v>High</v>
      </c>
      <c r="W481" s="3" t="n">
        <f aca="false">D481-C481</f>
        <v>1</v>
      </c>
      <c r="X481" s="3" t="str">
        <f aca="false">TEXT(C481,"mmmm")</f>
        <v>December</v>
      </c>
      <c r="Y481" s="3" t="str">
        <f aca="false">LEFT(G481,1)&amp;MID(G481,FIND(" ",G481)+1,1)</f>
        <v>JT</v>
      </c>
    </row>
    <row r="482" customFormat="false" ht="15" hidden="false" customHeight="false" outlineLevel="0" collapsed="false">
      <c r="A482" s="3" t="n">
        <v>481</v>
      </c>
      <c r="B482" s="3" t="s">
        <v>1496</v>
      </c>
      <c r="C482" s="4" t="s">
        <v>1484</v>
      </c>
      <c r="D482" s="4" t="s">
        <v>1497</v>
      </c>
      <c r="E482" s="3" t="s">
        <v>84</v>
      </c>
      <c r="F482" s="3" t="s">
        <v>1498</v>
      </c>
      <c r="G482" s="3" t="s">
        <v>1499</v>
      </c>
      <c r="H482" s="3" t="s">
        <v>31</v>
      </c>
      <c r="I482" s="3" t="s">
        <v>32</v>
      </c>
      <c r="J482" s="3" t="s">
        <v>215</v>
      </c>
      <c r="K482" s="3" t="s">
        <v>34</v>
      </c>
      <c r="L482" s="3" t="s">
        <v>35</v>
      </c>
      <c r="M482" s="3" t="s">
        <v>404</v>
      </c>
      <c r="N482" s="3" t="s">
        <v>89</v>
      </c>
      <c r="O482" s="3" t="s">
        <v>166</v>
      </c>
      <c r="P482" s="3" t="s">
        <v>405</v>
      </c>
      <c r="Q482" s="5" t="n">
        <v>3730.75</v>
      </c>
      <c r="R482" s="3" t="n">
        <v>8</v>
      </c>
      <c r="S482" s="6" t="n">
        <v>0</v>
      </c>
      <c r="T482" s="5" t="n">
        <v>-444.14</v>
      </c>
      <c r="U482" s="3" t="str">
        <f aca="false">IF(T482&lt;0,"Loss",IF(T482=0,"Break-even","Profit"))</f>
        <v>Loss</v>
      </c>
      <c r="V482" s="3" t="str">
        <f aca="false">IF(Q482&lt;100,"Low",IF(Q482&lt;=500,"Medium","High"))</f>
        <v>High</v>
      </c>
      <c r="W482" s="3" t="n">
        <f aca="false">D482-C482</f>
        <v>4</v>
      </c>
      <c r="X482" s="3" t="str">
        <f aca="false">TEXT(C482,"mmmm")</f>
        <v>December</v>
      </c>
      <c r="Y482" s="3" t="str">
        <f aca="false">LEFT(G482,1)&amp;MID(G482,FIND(" ",G482)+1,1)</f>
        <v>SJ</v>
      </c>
    </row>
    <row r="483" customFormat="false" ht="15" hidden="false" customHeight="false" outlineLevel="0" collapsed="false">
      <c r="A483" s="3" t="n">
        <v>482</v>
      </c>
      <c r="B483" s="3" t="s">
        <v>807</v>
      </c>
      <c r="C483" s="4" t="s">
        <v>1488</v>
      </c>
      <c r="D483" s="4" t="s">
        <v>1497</v>
      </c>
      <c r="E483" s="3" t="s">
        <v>84</v>
      </c>
      <c r="F483" s="3" t="s">
        <v>912</v>
      </c>
      <c r="G483" s="3" t="s">
        <v>913</v>
      </c>
      <c r="H483" s="3" t="s">
        <v>45</v>
      </c>
      <c r="I483" s="3" t="s">
        <v>32</v>
      </c>
      <c r="J483" s="3" t="s">
        <v>548</v>
      </c>
      <c r="K483" s="3" t="s">
        <v>244</v>
      </c>
      <c r="L483" s="3" t="s">
        <v>157</v>
      </c>
      <c r="M483" s="3" t="s">
        <v>105</v>
      </c>
      <c r="N483" s="3" t="s">
        <v>49</v>
      </c>
      <c r="O483" s="3" t="s">
        <v>106</v>
      </c>
      <c r="P483" s="3" t="s">
        <v>107</v>
      </c>
      <c r="Q483" s="5" t="n">
        <v>195.47</v>
      </c>
      <c r="R483" s="3" t="n">
        <v>4</v>
      </c>
      <c r="S483" s="6" t="n">
        <v>0.4</v>
      </c>
      <c r="T483" s="5" t="n">
        <v>-42.42</v>
      </c>
      <c r="U483" s="3" t="str">
        <f aca="false">IF(T483&lt;0,"Loss",IF(T483=0,"Break-even","Profit"))</f>
        <v>Loss</v>
      </c>
      <c r="V483" s="3" t="str">
        <f aca="false">IF(Q483&lt;100,"Low",IF(Q483&lt;=500,"Medium","High"))</f>
        <v>Medium</v>
      </c>
      <c r="W483" s="3" t="n">
        <f aca="false">D483-C483</f>
        <v>3</v>
      </c>
      <c r="X483" s="3" t="str">
        <f aca="false">TEXT(C483,"mmmm")</f>
        <v>December</v>
      </c>
      <c r="Y483" s="3" t="str">
        <f aca="false">LEFT(G483,1)&amp;MID(G483,FIND(" ",G483)+1,1)</f>
        <v>AB</v>
      </c>
    </row>
    <row r="484" customFormat="false" ht="15" hidden="false" customHeight="false" outlineLevel="0" collapsed="false">
      <c r="A484" s="3" t="n">
        <v>483</v>
      </c>
      <c r="B484" s="3" t="s">
        <v>1500</v>
      </c>
      <c r="C484" s="4" t="s">
        <v>1501</v>
      </c>
      <c r="D484" s="4" t="s">
        <v>1492</v>
      </c>
      <c r="E484" s="3" t="s">
        <v>84</v>
      </c>
      <c r="F484" s="3" t="s">
        <v>1502</v>
      </c>
      <c r="G484" s="3" t="s">
        <v>1503</v>
      </c>
      <c r="H484" s="3" t="s">
        <v>45</v>
      </c>
      <c r="I484" s="3" t="s">
        <v>32</v>
      </c>
      <c r="J484" s="3" t="s">
        <v>381</v>
      </c>
      <c r="K484" s="3" t="s">
        <v>58</v>
      </c>
      <c r="L484" s="3" t="s">
        <v>59</v>
      </c>
      <c r="M484" s="3" t="s">
        <v>165</v>
      </c>
      <c r="N484" s="3" t="s">
        <v>89</v>
      </c>
      <c r="O484" s="3" t="s">
        <v>166</v>
      </c>
      <c r="P484" s="3" t="s">
        <v>167</v>
      </c>
      <c r="Q484" s="5" t="n">
        <v>1603.87</v>
      </c>
      <c r="R484" s="3" t="n">
        <v>2</v>
      </c>
      <c r="S484" s="6" t="n">
        <v>0.2</v>
      </c>
      <c r="T484" s="5" t="n">
        <v>-358.24</v>
      </c>
      <c r="U484" s="3" t="str">
        <f aca="false">IF(T484&lt;0,"Loss",IF(T484=0,"Break-even","Profit"))</f>
        <v>Loss</v>
      </c>
      <c r="V484" s="3" t="str">
        <f aca="false">IF(Q484&lt;100,"Low",IF(Q484&lt;=500,"Medium","High"))</f>
        <v>High</v>
      </c>
      <c r="W484" s="3" t="n">
        <f aca="false">D484-C484</f>
        <v>3</v>
      </c>
      <c r="X484" s="3" t="str">
        <f aca="false">TEXT(C484,"mmmm")</f>
        <v>December</v>
      </c>
      <c r="Y484" s="3" t="str">
        <f aca="false">LEFT(G484,1)&amp;MID(G484,FIND(" ",G484)+1,1)</f>
        <v>LN</v>
      </c>
    </row>
    <row r="485" customFormat="false" ht="15" hidden="false" customHeight="false" outlineLevel="0" collapsed="false">
      <c r="A485" s="3" t="n">
        <v>484</v>
      </c>
      <c r="B485" s="3" t="s">
        <v>1504</v>
      </c>
      <c r="C485" s="4" t="s">
        <v>1501</v>
      </c>
      <c r="D485" s="4" t="s">
        <v>1505</v>
      </c>
      <c r="E485" s="3" t="s">
        <v>84</v>
      </c>
      <c r="F485" s="3" t="s">
        <v>438</v>
      </c>
      <c r="G485" s="3" t="s">
        <v>439</v>
      </c>
      <c r="H485" s="3" t="s">
        <v>45</v>
      </c>
      <c r="I485" s="3" t="s">
        <v>32</v>
      </c>
      <c r="J485" s="3" t="s">
        <v>386</v>
      </c>
      <c r="K485" s="3" t="s">
        <v>387</v>
      </c>
      <c r="L485" s="3" t="s">
        <v>35</v>
      </c>
      <c r="M485" s="3" t="s">
        <v>334</v>
      </c>
      <c r="N485" s="3" t="s">
        <v>37</v>
      </c>
      <c r="O485" s="3" t="s">
        <v>136</v>
      </c>
      <c r="P485" s="3" t="s">
        <v>335</v>
      </c>
      <c r="Q485" s="5" t="n">
        <v>636.47</v>
      </c>
      <c r="R485" s="3" t="n">
        <v>11</v>
      </c>
      <c r="S485" s="6" t="n">
        <v>0.3</v>
      </c>
      <c r="T485" s="5" t="n">
        <v>-103.64</v>
      </c>
      <c r="U485" s="3" t="str">
        <f aca="false">IF(T485&lt;0,"Loss",IF(T485=0,"Break-even","Profit"))</f>
        <v>Loss</v>
      </c>
      <c r="V485" s="3" t="str">
        <f aca="false">IF(Q485&lt;100,"Low",IF(Q485&lt;=500,"Medium","High"))</f>
        <v>High</v>
      </c>
      <c r="W485" s="3" t="n">
        <f aca="false">D485-C485</f>
        <v>4</v>
      </c>
      <c r="X485" s="3" t="str">
        <f aca="false">TEXT(C485,"mmmm")</f>
        <v>December</v>
      </c>
      <c r="Y485" s="3" t="str">
        <f aca="false">LEFT(G485,1)&amp;MID(G485,FIND(" ",G485)+1,1)</f>
        <v>JB</v>
      </c>
    </row>
    <row r="486" customFormat="false" ht="15" hidden="false" customHeight="false" outlineLevel="0" collapsed="false">
      <c r="A486" s="3" t="n">
        <v>485</v>
      </c>
      <c r="B486" s="3" t="s">
        <v>1506</v>
      </c>
      <c r="C486" s="4" t="s">
        <v>1501</v>
      </c>
      <c r="D486" s="4" t="s">
        <v>1492</v>
      </c>
      <c r="E486" s="3" t="s">
        <v>84</v>
      </c>
      <c r="F486" s="3" t="s">
        <v>93</v>
      </c>
      <c r="G486" s="3" t="s">
        <v>94</v>
      </c>
      <c r="H486" s="3" t="s">
        <v>45</v>
      </c>
      <c r="I486" s="3" t="s">
        <v>32</v>
      </c>
      <c r="J486" s="3" t="s">
        <v>67</v>
      </c>
      <c r="K486" s="3" t="s">
        <v>68</v>
      </c>
      <c r="L486" s="3" t="s">
        <v>69</v>
      </c>
      <c r="M486" s="3" t="s">
        <v>420</v>
      </c>
      <c r="N486" s="3" t="s">
        <v>49</v>
      </c>
      <c r="O486" s="3" t="s">
        <v>80</v>
      </c>
      <c r="P486" s="3" t="s">
        <v>421</v>
      </c>
      <c r="Q486" s="5" t="n">
        <v>1114.11</v>
      </c>
      <c r="R486" s="3" t="n">
        <v>14</v>
      </c>
      <c r="S486" s="6" t="n">
        <v>0.1</v>
      </c>
      <c r="T486" s="5" t="n">
        <v>213.53</v>
      </c>
      <c r="U486" s="3" t="str">
        <f aca="false">IF(T486&lt;0,"Loss",IF(T486=0,"Break-even","Profit"))</f>
        <v>Profit</v>
      </c>
      <c r="V486" s="3" t="str">
        <f aca="false">IF(Q486&lt;100,"Low",IF(Q486&lt;=500,"Medium","High"))</f>
        <v>High</v>
      </c>
      <c r="W486" s="3" t="n">
        <f aca="false">D486-C486</f>
        <v>3</v>
      </c>
      <c r="X486" s="3" t="str">
        <f aca="false">TEXT(C486,"mmmm")</f>
        <v>December</v>
      </c>
      <c r="Y486" s="3" t="str">
        <f aca="false">LEFT(G486,1)&amp;MID(G486,FIND(" ",G486)+1,1)</f>
        <v>ES</v>
      </c>
    </row>
    <row r="487" customFormat="false" ht="15" hidden="false" customHeight="false" outlineLevel="0" collapsed="false">
      <c r="A487" s="3" t="n">
        <v>486</v>
      </c>
      <c r="B487" s="3" t="s">
        <v>1507</v>
      </c>
      <c r="C487" s="4" t="s">
        <v>1497</v>
      </c>
      <c r="D487" s="4" t="s">
        <v>1508</v>
      </c>
      <c r="E487" s="3" t="s">
        <v>28</v>
      </c>
      <c r="F487" s="3" t="s">
        <v>1509</v>
      </c>
      <c r="G487" s="3" t="s">
        <v>1510</v>
      </c>
      <c r="H487" s="3" t="s">
        <v>31</v>
      </c>
      <c r="I487" s="3" t="s">
        <v>32</v>
      </c>
      <c r="J487" s="3" t="s">
        <v>57</v>
      </c>
      <c r="K487" s="3" t="s">
        <v>58</v>
      </c>
      <c r="L487" s="3" t="s">
        <v>59</v>
      </c>
      <c r="M487" s="3" t="s">
        <v>127</v>
      </c>
      <c r="N487" s="3" t="s">
        <v>49</v>
      </c>
      <c r="O487" s="3" t="s">
        <v>61</v>
      </c>
      <c r="P487" s="3" t="s">
        <v>128</v>
      </c>
      <c r="Q487" s="5" t="n">
        <v>675.49</v>
      </c>
      <c r="R487" s="3" t="n">
        <v>13</v>
      </c>
      <c r="S487" s="6" t="n">
        <v>0.2</v>
      </c>
      <c r="T487" s="5" t="n">
        <v>-42.88</v>
      </c>
      <c r="U487" s="3" t="str">
        <f aca="false">IF(T487&lt;0,"Loss",IF(T487=0,"Break-even","Profit"))</f>
        <v>Loss</v>
      </c>
      <c r="V487" s="3" t="str">
        <f aca="false">IF(Q487&lt;100,"Low",IF(Q487&lt;=500,"Medium","High"))</f>
        <v>High</v>
      </c>
      <c r="W487" s="3" t="n">
        <f aca="false">D487-C487</f>
        <v>4</v>
      </c>
      <c r="X487" s="3" t="str">
        <f aca="false">TEXT(C487,"mmmm")</f>
        <v>December</v>
      </c>
      <c r="Y487" s="3" t="str">
        <f aca="false">LEFT(G487,1)&amp;MID(G487,FIND(" ",G487)+1,1)</f>
        <v>EC</v>
      </c>
    </row>
    <row r="488" customFormat="false" ht="15" hidden="false" customHeight="false" outlineLevel="0" collapsed="false">
      <c r="A488" s="3" t="n">
        <v>487</v>
      </c>
      <c r="B488" s="3" t="s">
        <v>161</v>
      </c>
      <c r="C488" s="4" t="s">
        <v>1497</v>
      </c>
      <c r="D488" s="4" t="s">
        <v>1492</v>
      </c>
      <c r="E488" s="3" t="s">
        <v>42</v>
      </c>
      <c r="F488" s="3" t="s">
        <v>1253</v>
      </c>
      <c r="G488" s="3" t="s">
        <v>1254</v>
      </c>
      <c r="H488" s="3" t="s">
        <v>45</v>
      </c>
      <c r="I488" s="3" t="s">
        <v>32</v>
      </c>
      <c r="J488" s="3" t="s">
        <v>148</v>
      </c>
      <c r="K488" s="3" t="s">
        <v>78</v>
      </c>
      <c r="L488" s="3" t="s">
        <v>59</v>
      </c>
      <c r="M488" s="3" t="s">
        <v>48</v>
      </c>
      <c r="N488" s="3" t="s">
        <v>49</v>
      </c>
      <c r="O488" s="3" t="s">
        <v>50</v>
      </c>
      <c r="P488" s="3" t="s">
        <v>51</v>
      </c>
      <c r="Q488" s="5" t="n">
        <v>127.33</v>
      </c>
      <c r="R488" s="3" t="n">
        <v>3</v>
      </c>
      <c r="S488" s="6" t="n">
        <v>0.2</v>
      </c>
      <c r="T488" s="5" t="n">
        <v>18.73</v>
      </c>
      <c r="U488" s="3" t="str">
        <f aca="false">IF(T488&lt;0,"Loss",IF(T488=0,"Break-even","Profit"))</f>
        <v>Profit</v>
      </c>
      <c r="V488" s="3" t="str">
        <f aca="false">IF(Q488&lt;100,"Low",IF(Q488&lt;=500,"Medium","High"))</f>
        <v>Medium</v>
      </c>
      <c r="W488" s="3" t="n">
        <f aca="false">D488-C488</f>
        <v>2</v>
      </c>
      <c r="X488" s="3" t="str">
        <f aca="false">TEXT(C488,"mmmm")</f>
        <v>December</v>
      </c>
      <c r="Y488" s="3" t="str">
        <f aca="false">LEFT(G488,1)&amp;MID(G488,FIND(" ",G488)+1,1)</f>
        <v>AN</v>
      </c>
    </row>
    <row r="489" customFormat="false" ht="15" hidden="false" customHeight="false" outlineLevel="0" collapsed="false">
      <c r="A489" s="3" t="n">
        <v>488</v>
      </c>
      <c r="B489" s="3" t="s">
        <v>1511</v>
      </c>
      <c r="C489" s="4" t="s">
        <v>1497</v>
      </c>
      <c r="D489" s="4" t="s">
        <v>1508</v>
      </c>
      <c r="E489" s="3" t="s">
        <v>28</v>
      </c>
      <c r="F489" s="3" t="s">
        <v>998</v>
      </c>
      <c r="G489" s="3" t="s">
        <v>999</v>
      </c>
      <c r="H489" s="3" t="s">
        <v>56</v>
      </c>
      <c r="I489" s="3" t="s">
        <v>32</v>
      </c>
      <c r="J489" s="3" t="s">
        <v>67</v>
      </c>
      <c r="K489" s="3" t="s">
        <v>68</v>
      </c>
      <c r="L489" s="3" t="s">
        <v>69</v>
      </c>
      <c r="M489" s="3" t="s">
        <v>280</v>
      </c>
      <c r="N489" s="3" t="s">
        <v>89</v>
      </c>
      <c r="O489" s="3" t="s">
        <v>166</v>
      </c>
      <c r="P489" s="3" t="s">
        <v>281</v>
      </c>
      <c r="Q489" s="5" t="n">
        <v>8718.48</v>
      </c>
      <c r="R489" s="3" t="n">
        <v>12</v>
      </c>
      <c r="S489" s="6" t="n">
        <v>0</v>
      </c>
      <c r="T489" s="5" t="n">
        <v>1861.7</v>
      </c>
      <c r="U489" s="3" t="str">
        <f aca="false">IF(T489&lt;0,"Loss",IF(T489=0,"Break-even","Profit"))</f>
        <v>Profit</v>
      </c>
      <c r="V489" s="3" t="str">
        <f aca="false">IF(Q489&lt;100,"Low",IF(Q489&lt;=500,"Medium","High"))</f>
        <v>High</v>
      </c>
      <c r="W489" s="3" t="n">
        <f aca="false">D489-C489</f>
        <v>4</v>
      </c>
      <c r="X489" s="3" t="str">
        <f aca="false">TEXT(C489,"mmmm")</f>
        <v>December</v>
      </c>
      <c r="Y489" s="3" t="str">
        <f aca="false">LEFT(G489,1)&amp;MID(G489,FIND(" ",G489)+1,1)</f>
        <v>OM</v>
      </c>
    </row>
    <row r="490" customFormat="false" ht="15" hidden="false" customHeight="false" outlineLevel="0" collapsed="false">
      <c r="A490" s="3" t="n">
        <v>489</v>
      </c>
      <c r="B490" s="3" t="s">
        <v>782</v>
      </c>
      <c r="C490" s="4" t="s">
        <v>1512</v>
      </c>
      <c r="D490" s="4" t="s">
        <v>1505</v>
      </c>
      <c r="E490" s="3" t="s">
        <v>84</v>
      </c>
      <c r="F490" s="3" t="s">
        <v>527</v>
      </c>
      <c r="G490" s="3" t="s">
        <v>528</v>
      </c>
      <c r="H490" s="3" t="s">
        <v>31</v>
      </c>
      <c r="I490" s="3" t="s">
        <v>32</v>
      </c>
      <c r="J490" s="3" t="s">
        <v>315</v>
      </c>
      <c r="K490" s="3" t="s">
        <v>58</v>
      </c>
      <c r="L490" s="3" t="s">
        <v>59</v>
      </c>
      <c r="M490" s="3" t="s">
        <v>237</v>
      </c>
      <c r="N490" s="3" t="s">
        <v>49</v>
      </c>
      <c r="O490" s="3" t="s">
        <v>220</v>
      </c>
      <c r="P490" s="3" t="s">
        <v>238</v>
      </c>
      <c r="Q490" s="5" t="n">
        <v>219.21</v>
      </c>
      <c r="R490" s="3" t="n">
        <v>3</v>
      </c>
      <c r="S490" s="6" t="n">
        <v>0.1</v>
      </c>
      <c r="T490" s="5" t="n">
        <v>-48.16</v>
      </c>
      <c r="U490" s="3" t="str">
        <f aca="false">IF(T490&lt;0,"Loss",IF(T490=0,"Break-even","Profit"))</f>
        <v>Loss</v>
      </c>
      <c r="V490" s="3" t="str">
        <f aca="false">IF(Q490&lt;100,"Low",IF(Q490&lt;=500,"Medium","High"))</f>
        <v>Medium</v>
      </c>
      <c r="W490" s="3" t="n">
        <f aca="false">D490-C490</f>
        <v>2</v>
      </c>
      <c r="X490" s="3" t="str">
        <f aca="false">TEXT(C490,"mmmm")</f>
        <v>December</v>
      </c>
      <c r="Y490" s="3" t="str">
        <f aca="false">LEFT(G490,1)&amp;MID(G490,FIND(" ",G490)+1,1)</f>
        <v>CC</v>
      </c>
    </row>
    <row r="491" customFormat="false" ht="15" hidden="false" customHeight="false" outlineLevel="0" collapsed="false">
      <c r="A491" s="3" t="n">
        <v>490</v>
      </c>
      <c r="B491" s="3" t="s">
        <v>1513</v>
      </c>
      <c r="C491" s="4" t="s">
        <v>1512</v>
      </c>
      <c r="D491" s="4" t="s">
        <v>1505</v>
      </c>
      <c r="E491" s="3" t="s">
        <v>84</v>
      </c>
      <c r="F491" s="3" t="s">
        <v>1514</v>
      </c>
      <c r="G491" s="3" t="s">
        <v>1515</v>
      </c>
      <c r="H491" s="3" t="s">
        <v>45</v>
      </c>
      <c r="I491" s="3" t="s">
        <v>32</v>
      </c>
      <c r="J491" s="3" t="s">
        <v>381</v>
      </c>
      <c r="K491" s="3" t="s">
        <v>58</v>
      </c>
      <c r="L491" s="3" t="s">
        <v>59</v>
      </c>
      <c r="M491" s="3" t="s">
        <v>461</v>
      </c>
      <c r="N491" s="3" t="s">
        <v>37</v>
      </c>
      <c r="O491" s="3" t="s">
        <v>71</v>
      </c>
      <c r="P491" s="3" t="s">
        <v>462</v>
      </c>
      <c r="Q491" s="5" t="n">
        <v>2305.14</v>
      </c>
      <c r="R491" s="3" t="n">
        <v>7</v>
      </c>
      <c r="S491" s="6" t="n">
        <v>0.4</v>
      </c>
      <c r="T491" s="5" t="n">
        <v>348.99</v>
      </c>
      <c r="U491" s="3" t="str">
        <f aca="false">IF(T491&lt;0,"Loss",IF(T491=0,"Break-even","Profit"))</f>
        <v>Profit</v>
      </c>
      <c r="V491" s="3" t="str">
        <f aca="false">IF(Q491&lt;100,"Low",IF(Q491&lt;=500,"Medium","High"))</f>
        <v>High</v>
      </c>
      <c r="W491" s="3" t="n">
        <f aca="false">D491-C491</f>
        <v>2</v>
      </c>
      <c r="X491" s="3" t="str">
        <f aca="false">TEXT(C491,"mmmm")</f>
        <v>December</v>
      </c>
      <c r="Y491" s="3" t="str">
        <f aca="false">LEFT(G491,1)&amp;MID(G491,FIND(" ",G491)+1,1)</f>
        <v>JB</v>
      </c>
    </row>
    <row r="492" customFormat="false" ht="15" hidden="false" customHeight="false" outlineLevel="0" collapsed="false">
      <c r="A492" s="3" t="n">
        <v>491</v>
      </c>
      <c r="B492" s="3" t="s">
        <v>1516</v>
      </c>
      <c r="C492" s="4" t="s">
        <v>1492</v>
      </c>
      <c r="D492" s="4" t="s">
        <v>1517</v>
      </c>
      <c r="E492" s="3" t="s">
        <v>28</v>
      </c>
      <c r="F492" s="3" t="s">
        <v>755</v>
      </c>
      <c r="G492" s="3" t="s">
        <v>756</v>
      </c>
      <c r="H492" s="3" t="s">
        <v>56</v>
      </c>
      <c r="I492" s="3" t="s">
        <v>32</v>
      </c>
      <c r="J492" s="3" t="s">
        <v>814</v>
      </c>
      <c r="K492" s="3" t="s">
        <v>156</v>
      </c>
      <c r="L492" s="3" t="s">
        <v>157</v>
      </c>
      <c r="M492" s="3" t="s">
        <v>447</v>
      </c>
      <c r="N492" s="3" t="s">
        <v>89</v>
      </c>
      <c r="O492" s="3" t="s">
        <v>323</v>
      </c>
      <c r="P492" s="3" t="s">
        <v>448</v>
      </c>
      <c r="Q492" s="5" t="n">
        <v>62.67</v>
      </c>
      <c r="R492" s="3" t="n">
        <v>1</v>
      </c>
      <c r="S492" s="6" t="n">
        <v>0</v>
      </c>
      <c r="T492" s="5" t="n">
        <v>-5.8</v>
      </c>
      <c r="U492" s="3" t="str">
        <f aca="false">IF(T492&lt;0,"Loss",IF(T492=0,"Break-even","Profit"))</f>
        <v>Loss</v>
      </c>
      <c r="V492" s="3" t="str">
        <f aca="false">IF(Q492&lt;100,"Low",IF(Q492&lt;=500,"Medium","High"))</f>
        <v>Low</v>
      </c>
      <c r="W492" s="3" t="n">
        <f aca="false">D492-C492</f>
        <v>4</v>
      </c>
      <c r="X492" s="3" t="str">
        <f aca="false">TEXT(C492,"mmmm")</f>
        <v>December</v>
      </c>
      <c r="Y492" s="3" t="str">
        <f aca="false">LEFT(G492,1)&amp;MID(G492,FIND(" ",G492)+1,1)</f>
        <v>MA</v>
      </c>
    </row>
    <row r="493" customFormat="false" ht="15" hidden="false" customHeight="false" outlineLevel="0" collapsed="false">
      <c r="A493" s="3" t="n">
        <v>492</v>
      </c>
      <c r="B493" s="3" t="s">
        <v>1441</v>
      </c>
      <c r="C493" s="4" t="s">
        <v>1505</v>
      </c>
      <c r="D493" s="4" t="s">
        <v>1518</v>
      </c>
      <c r="E493" s="3" t="s">
        <v>28</v>
      </c>
      <c r="F493" s="3" t="s">
        <v>960</v>
      </c>
      <c r="G493" s="3" t="s">
        <v>961</v>
      </c>
      <c r="H493" s="3" t="s">
        <v>56</v>
      </c>
      <c r="I493" s="3" t="s">
        <v>32</v>
      </c>
      <c r="J493" s="3" t="s">
        <v>873</v>
      </c>
      <c r="K493" s="3" t="s">
        <v>387</v>
      </c>
      <c r="L493" s="3" t="s">
        <v>35</v>
      </c>
      <c r="M493" s="3" t="s">
        <v>48</v>
      </c>
      <c r="N493" s="3" t="s">
        <v>49</v>
      </c>
      <c r="O493" s="3" t="s">
        <v>50</v>
      </c>
      <c r="P493" s="3" t="s">
        <v>51</v>
      </c>
      <c r="Q493" s="5" t="n">
        <v>863.3</v>
      </c>
      <c r="R493" s="3" t="n">
        <v>13</v>
      </c>
      <c r="S493" s="6" t="n">
        <v>0.5</v>
      </c>
      <c r="T493" s="5" t="n">
        <v>-23.86</v>
      </c>
      <c r="U493" s="3" t="str">
        <f aca="false">IF(T493&lt;0,"Loss",IF(T493=0,"Break-even","Profit"))</f>
        <v>Loss</v>
      </c>
      <c r="V493" s="3" t="str">
        <f aca="false">IF(Q493&lt;100,"Low",IF(Q493&lt;=500,"Medium","High"))</f>
        <v>High</v>
      </c>
      <c r="W493" s="3" t="n">
        <f aca="false">D493-C493</f>
        <v>4</v>
      </c>
      <c r="X493" s="3" t="str">
        <f aca="false">TEXT(C493,"mmmm")</f>
        <v>December</v>
      </c>
      <c r="Y493" s="3" t="str">
        <f aca="false">LEFT(G493,1)&amp;MID(G493,FIND(" ",G493)+1,1)</f>
        <v>JD</v>
      </c>
    </row>
    <row r="494" customFormat="false" ht="15" hidden="false" customHeight="false" outlineLevel="0" collapsed="false">
      <c r="A494" s="3" t="n">
        <v>493</v>
      </c>
      <c r="B494" s="3" t="s">
        <v>1519</v>
      </c>
      <c r="C494" s="4" t="s">
        <v>1508</v>
      </c>
      <c r="D494" s="4" t="s">
        <v>1517</v>
      </c>
      <c r="E494" s="3" t="s">
        <v>84</v>
      </c>
      <c r="F494" s="3" t="s">
        <v>250</v>
      </c>
      <c r="G494" s="3" t="s">
        <v>251</v>
      </c>
      <c r="H494" s="3" t="s">
        <v>31</v>
      </c>
      <c r="I494" s="3" t="s">
        <v>32</v>
      </c>
      <c r="J494" s="3" t="s">
        <v>112</v>
      </c>
      <c r="K494" s="3" t="s">
        <v>113</v>
      </c>
      <c r="L494" s="3" t="s">
        <v>69</v>
      </c>
      <c r="M494" s="3" t="s">
        <v>404</v>
      </c>
      <c r="N494" s="3" t="s">
        <v>89</v>
      </c>
      <c r="O494" s="3" t="s">
        <v>166</v>
      </c>
      <c r="P494" s="3" t="s">
        <v>405</v>
      </c>
      <c r="Q494" s="5" t="n">
        <v>773.58</v>
      </c>
      <c r="R494" s="3" t="n">
        <v>11</v>
      </c>
      <c r="S494" s="6" t="n">
        <v>0.4</v>
      </c>
      <c r="T494" s="5" t="n">
        <v>162.05</v>
      </c>
      <c r="U494" s="3" t="str">
        <f aca="false">IF(T494&lt;0,"Loss",IF(T494=0,"Break-even","Profit"))</f>
        <v>Profit</v>
      </c>
      <c r="V494" s="3" t="str">
        <f aca="false">IF(Q494&lt;100,"Low",IF(Q494&lt;=500,"Medium","High"))</f>
        <v>High</v>
      </c>
      <c r="W494" s="3" t="n">
        <f aca="false">D494-C494</f>
        <v>2</v>
      </c>
      <c r="X494" s="3" t="str">
        <f aca="false">TEXT(C494,"mmmm")</f>
        <v>December</v>
      </c>
      <c r="Y494" s="3" t="str">
        <f aca="false">LEFT(G494,1)&amp;MID(G494,FIND(" ",G494)+1,1)</f>
        <v>JK</v>
      </c>
    </row>
    <row r="495" customFormat="false" ht="15" hidden="false" customHeight="false" outlineLevel="0" collapsed="false">
      <c r="A495" s="3" t="n">
        <v>494</v>
      </c>
      <c r="B495" s="3" t="s">
        <v>1520</v>
      </c>
      <c r="C495" s="4" t="s">
        <v>1508</v>
      </c>
      <c r="D495" s="4" t="s">
        <v>1521</v>
      </c>
      <c r="E495" s="3" t="s">
        <v>28</v>
      </c>
      <c r="F495" s="3" t="s">
        <v>839</v>
      </c>
      <c r="G495" s="3" t="s">
        <v>840</v>
      </c>
      <c r="H495" s="3" t="s">
        <v>56</v>
      </c>
      <c r="I495" s="3" t="s">
        <v>32</v>
      </c>
      <c r="J495" s="3" t="s">
        <v>57</v>
      </c>
      <c r="K495" s="3" t="s">
        <v>58</v>
      </c>
      <c r="L495" s="3" t="s">
        <v>59</v>
      </c>
      <c r="M495" s="3" t="s">
        <v>253</v>
      </c>
      <c r="N495" s="3" t="s">
        <v>89</v>
      </c>
      <c r="O495" s="3" t="s">
        <v>90</v>
      </c>
      <c r="P495" s="3" t="s">
        <v>254</v>
      </c>
      <c r="Q495" s="5" t="n">
        <v>1674.24</v>
      </c>
      <c r="R495" s="3" t="n">
        <v>3</v>
      </c>
      <c r="S495" s="6" t="n">
        <v>0.1</v>
      </c>
      <c r="T495" s="5" t="n">
        <v>39.89</v>
      </c>
      <c r="U495" s="3" t="str">
        <f aca="false">IF(T495&lt;0,"Loss",IF(T495=0,"Break-even","Profit"))</f>
        <v>Profit</v>
      </c>
      <c r="V495" s="3" t="str">
        <f aca="false">IF(Q495&lt;100,"Low",IF(Q495&lt;=500,"Medium","High"))</f>
        <v>High</v>
      </c>
      <c r="W495" s="3" t="n">
        <f aca="false">D495-C495</f>
        <v>6</v>
      </c>
      <c r="X495" s="3" t="str">
        <f aca="false">TEXT(C495,"mmmm")</f>
        <v>December</v>
      </c>
      <c r="Y495" s="3" t="str">
        <f aca="false">LEFT(G495,1)&amp;MID(G495,FIND(" ",G495)+1,1)</f>
        <v>FS</v>
      </c>
    </row>
    <row r="496" customFormat="false" ht="15" hidden="false" customHeight="false" outlineLevel="0" collapsed="false">
      <c r="A496" s="3" t="n">
        <v>495</v>
      </c>
      <c r="B496" s="3" t="s">
        <v>1522</v>
      </c>
      <c r="C496" s="4" t="s">
        <v>1508</v>
      </c>
      <c r="D496" s="4" t="s">
        <v>1523</v>
      </c>
      <c r="E496" s="3" t="s">
        <v>42</v>
      </c>
      <c r="F496" s="3" t="s">
        <v>1524</v>
      </c>
      <c r="G496" s="3" t="s">
        <v>1525</v>
      </c>
      <c r="H496" s="3" t="s">
        <v>56</v>
      </c>
      <c r="I496" s="3" t="s">
        <v>32</v>
      </c>
      <c r="J496" s="3" t="s">
        <v>873</v>
      </c>
      <c r="K496" s="3" t="s">
        <v>387</v>
      </c>
      <c r="L496" s="3" t="s">
        <v>35</v>
      </c>
      <c r="M496" s="3" t="s">
        <v>195</v>
      </c>
      <c r="N496" s="3" t="s">
        <v>37</v>
      </c>
      <c r="O496" s="3" t="s">
        <v>196</v>
      </c>
      <c r="P496" s="3" t="s">
        <v>197</v>
      </c>
      <c r="Q496" s="5" t="n">
        <v>7983.33</v>
      </c>
      <c r="R496" s="3" t="n">
        <v>6</v>
      </c>
      <c r="S496" s="6" t="n">
        <v>0</v>
      </c>
      <c r="T496" s="5" t="n">
        <v>-1876.64</v>
      </c>
      <c r="U496" s="3" t="str">
        <f aca="false">IF(T496&lt;0,"Loss",IF(T496=0,"Break-even","Profit"))</f>
        <v>Loss</v>
      </c>
      <c r="V496" s="3" t="str">
        <f aca="false">IF(Q496&lt;100,"Low",IF(Q496&lt;=500,"Medium","High"))</f>
        <v>High</v>
      </c>
      <c r="W496" s="3" t="n">
        <f aca="false">D496-C496</f>
        <v>1</v>
      </c>
      <c r="X496" s="3" t="str">
        <f aca="false">TEXT(C496,"mmmm")</f>
        <v>December</v>
      </c>
      <c r="Y496" s="3" t="str">
        <f aca="false">LEFT(G496,1)&amp;MID(G496,FIND(" ",G496)+1,1)</f>
        <v>LN</v>
      </c>
    </row>
    <row r="497" customFormat="false" ht="15" hidden="false" customHeight="false" outlineLevel="0" collapsed="false">
      <c r="A497" s="3" t="n">
        <v>496</v>
      </c>
      <c r="B497" s="3" t="s">
        <v>1526</v>
      </c>
      <c r="C497" s="4" t="s">
        <v>1523</v>
      </c>
      <c r="D497" s="4" t="s">
        <v>1527</v>
      </c>
      <c r="E497" s="3" t="s">
        <v>28</v>
      </c>
      <c r="F497" s="3" t="s">
        <v>768</v>
      </c>
      <c r="G497" s="3" t="s">
        <v>769</v>
      </c>
      <c r="H497" s="3" t="s">
        <v>56</v>
      </c>
      <c r="I497" s="3" t="s">
        <v>32</v>
      </c>
      <c r="J497" s="3" t="s">
        <v>243</v>
      </c>
      <c r="K497" s="3" t="s">
        <v>244</v>
      </c>
      <c r="L497" s="3" t="s">
        <v>157</v>
      </c>
      <c r="M497" s="3" t="s">
        <v>219</v>
      </c>
      <c r="N497" s="3" t="s">
        <v>49</v>
      </c>
      <c r="O497" s="3" t="s">
        <v>220</v>
      </c>
      <c r="P497" s="3" t="s">
        <v>221</v>
      </c>
      <c r="Q497" s="5" t="n">
        <v>1210.65</v>
      </c>
      <c r="R497" s="3" t="n">
        <v>14</v>
      </c>
      <c r="S497" s="6" t="n">
        <v>0</v>
      </c>
      <c r="T497" s="5" t="n">
        <v>366.53</v>
      </c>
      <c r="U497" s="3" t="str">
        <f aca="false">IF(T497&lt;0,"Loss",IF(T497=0,"Break-even","Profit"))</f>
        <v>Profit</v>
      </c>
      <c r="V497" s="3" t="str">
        <f aca="false">IF(Q497&lt;100,"Low",IF(Q497&lt;=500,"Medium","High"))</f>
        <v>High</v>
      </c>
      <c r="W497" s="3" t="n">
        <f aca="false">D497-C497</f>
        <v>7</v>
      </c>
      <c r="X497" s="3" t="str">
        <f aca="false">TEXT(C497,"mmmm")</f>
        <v>December</v>
      </c>
      <c r="Y497" s="3" t="str">
        <f aca="false">LEFT(G497,1)&amp;MID(G497,FIND(" ",G497)+1,1)</f>
        <v>OC</v>
      </c>
    </row>
    <row r="498" customFormat="false" ht="15" hidden="false" customHeight="false" outlineLevel="0" collapsed="false">
      <c r="A498" s="3" t="n">
        <v>497</v>
      </c>
      <c r="B498" s="3" t="s">
        <v>1528</v>
      </c>
      <c r="C498" s="4" t="s">
        <v>1523</v>
      </c>
      <c r="D498" s="4" t="s">
        <v>1529</v>
      </c>
      <c r="E498" s="3" t="s">
        <v>84</v>
      </c>
      <c r="F498" s="3" t="s">
        <v>283</v>
      </c>
      <c r="G498" s="3" t="s">
        <v>284</v>
      </c>
      <c r="H498" s="3" t="s">
        <v>45</v>
      </c>
      <c r="I498" s="3" t="s">
        <v>32</v>
      </c>
      <c r="J498" s="3" t="s">
        <v>386</v>
      </c>
      <c r="K498" s="3" t="s">
        <v>387</v>
      </c>
      <c r="L498" s="3" t="s">
        <v>35</v>
      </c>
      <c r="M498" s="3" t="s">
        <v>127</v>
      </c>
      <c r="N498" s="3" t="s">
        <v>49</v>
      </c>
      <c r="O498" s="3" t="s">
        <v>61</v>
      </c>
      <c r="P498" s="3" t="s">
        <v>128</v>
      </c>
      <c r="Q498" s="5" t="n">
        <v>310.7</v>
      </c>
      <c r="R498" s="3" t="n">
        <v>8</v>
      </c>
      <c r="S498" s="6" t="n">
        <v>0</v>
      </c>
      <c r="T498" s="5" t="n">
        <v>61.04</v>
      </c>
      <c r="U498" s="3" t="str">
        <f aca="false">IF(T498&lt;0,"Loss",IF(T498=0,"Break-even","Profit"))</f>
        <v>Profit</v>
      </c>
      <c r="V498" s="3" t="str">
        <f aca="false">IF(Q498&lt;100,"Low",IF(Q498&lt;=500,"Medium","High"))</f>
        <v>Medium</v>
      </c>
      <c r="W498" s="3" t="n">
        <f aca="false">D498-C498</f>
        <v>3</v>
      </c>
      <c r="X498" s="3" t="str">
        <f aca="false">TEXT(C498,"mmmm")</f>
        <v>December</v>
      </c>
      <c r="Y498" s="3" t="str">
        <f aca="false">LEFT(G498,1)&amp;MID(G498,FIND(" ",G498)+1,1)</f>
        <v>OS</v>
      </c>
    </row>
    <row r="499" customFormat="false" ht="15" hidden="false" customHeight="false" outlineLevel="0" collapsed="false">
      <c r="A499" s="3" t="n">
        <v>498</v>
      </c>
      <c r="B499" s="3" t="s">
        <v>1530</v>
      </c>
      <c r="C499" s="4" t="s">
        <v>1523</v>
      </c>
      <c r="D499" s="4" t="s">
        <v>1521</v>
      </c>
      <c r="E499" s="3" t="s">
        <v>28</v>
      </c>
      <c r="F499" s="3" t="s">
        <v>1531</v>
      </c>
      <c r="G499" s="3" t="s">
        <v>1532</v>
      </c>
      <c r="H499" s="3" t="s">
        <v>31</v>
      </c>
      <c r="I499" s="3" t="s">
        <v>32</v>
      </c>
      <c r="J499" s="3" t="s">
        <v>104</v>
      </c>
      <c r="K499" s="3" t="s">
        <v>96</v>
      </c>
      <c r="L499" s="3" t="s">
        <v>59</v>
      </c>
      <c r="M499" s="3" t="s">
        <v>461</v>
      </c>
      <c r="N499" s="3" t="s">
        <v>37</v>
      </c>
      <c r="O499" s="3" t="s">
        <v>71</v>
      </c>
      <c r="P499" s="3" t="s">
        <v>462</v>
      </c>
      <c r="Q499" s="5" t="n">
        <v>4513.27</v>
      </c>
      <c r="R499" s="3" t="n">
        <v>8</v>
      </c>
      <c r="S499" s="6" t="n">
        <v>0.4</v>
      </c>
      <c r="T499" s="5" t="n">
        <v>981.95</v>
      </c>
      <c r="U499" s="3" t="str">
        <f aca="false">IF(T499&lt;0,"Loss",IF(T499=0,"Break-even","Profit"))</f>
        <v>Profit</v>
      </c>
      <c r="V499" s="3" t="str">
        <f aca="false">IF(Q499&lt;100,"Low",IF(Q499&lt;=500,"Medium","High"))</f>
        <v>High</v>
      </c>
      <c r="W499" s="3" t="n">
        <f aca="false">D499-C499</f>
        <v>5</v>
      </c>
      <c r="X499" s="3" t="str">
        <f aca="false">TEXT(C499,"mmmm")</f>
        <v>December</v>
      </c>
      <c r="Y499" s="3" t="str">
        <f aca="false">LEFT(G499,1)&amp;MID(G499,FIND(" ",G499)+1,1)</f>
        <v>MB</v>
      </c>
    </row>
    <row r="500" customFormat="false" ht="15" hidden="false" customHeight="false" outlineLevel="0" collapsed="false">
      <c r="A500" s="3" t="n">
        <v>499</v>
      </c>
      <c r="B500" s="3" t="s">
        <v>662</v>
      </c>
      <c r="C500" s="4" t="s">
        <v>1518</v>
      </c>
      <c r="D500" s="4" t="s">
        <v>1527</v>
      </c>
      <c r="E500" s="3" t="s">
        <v>28</v>
      </c>
      <c r="F500" s="3" t="s">
        <v>1092</v>
      </c>
      <c r="G500" s="3" t="s">
        <v>1093</v>
      </c>
      <c r="H500" s="3" t="s">
        <v>56</v>
      </c>
      <c r="I500" s="3" t="s">
        <v>32</v>
      </c>
      <c r="J500" s="3" t="s">
        <v>215</v>
      </c>
      <c r="K500" s="3" t="s">
        <v>34</v>
      </c>
      <c r="L500" s="3" t="s">
        <v>35</v>
      </c>
      <c r="M500" s="3" t="s">
        <v>300</v>
      </c>
      <c r="N500" s="3" t="s">
        <v>49</v>
      </c>
      <c r="O500" s="3" t="s">
        <v>143</v>
      </c>
      <c r="P500" s="3" t="s">
        <v>301</v>
      </c>
      <c r="Q500" s="5" t="n">
        <v>679.83</v>
      </c>
      <c r="R500" s="3" t="n">
        <v>7</v>
      </c>
      <c r="S500" s="6" t="n">
        <v>0.4</v>
      </c>
      <c r="T500" s="5" t="n">
        <v>115.52</v>
      </c>
      <c r="U500" s="3" t="str">
        <f aca="false">IF(T500&lt;0,"Loss",IF(T500=0,"Break-even","Profit"))</f>
        <v>Profit</v>
      </c>
      <c r="V500" s="3" t="str">
        <f aca="false">IF(Q500&lt;100,"Low",IF(Q500&lt;=500,"Medium","High"))</f>
        <v>High</v>
      </c>
      <c r="W500" s="3" t="n">
        <f aca="false">D500-C500</f>
        <v>5</v>
      </c>
      <c r="X500" s="3" t="str">
        <f aca="false">TEXT(C500,"mmmm")</f>
        <v>December</v>
      </c>
      <c r="Y500" s="3" t="str">
        <f aca="false">LEFT(G500,1)&amp;MID(G500,FIND(" ",G500)+1,1)</f>
        <v>DC</v>
      </c>
    </row>
    <row r="501" customFormat="false" ht="15" hidden="false" customHeight="false" outlineLevel="0" collapsed="false">
      <c r="A501" s="3" t="n">
        <v>500</v>
      </c>
      <c r="B501" s="3" t="s">
        <v>1533</v>
      </c>
      <c r="C501" s="4" t="s">
        <v>1534</v>
      </c>
      <c r="D501" s="4" t="s">
        <v>1535</v>
      </c>
      <c r="E501" s="3" t="s">
        <v>28</v>
      </c>
      <c r="F501" s="3" t="s">
        <v>1536</v>
      </c>
      <c r="G501" s="3" t="s">
        <v>1537</v>
      </c>
      <c r="H501" s="3" t="s">
        <v>56</v>
      </c>
      <c r="I501" s="3" t="s">
        <v>32</v>
      </c>
      <c r="J501" s="3" t="s">
        <v>616</v>
      </c>
      <c r="K501" s="3" t="s">
        <v>156</v>
      </c>
      <c r="L501" s="3" t="s">
        <v>157</v>
      </c>
      <c r="M501" s="3" t="s">
        <v>334</v>
      </c>
      <c r="N501" s="3" t="s">
        <v>37</v>
      </c>
      <c r="O501" s="3" t="s">
        <v>136</v>
      </c>
      <c r="P501" s="3" t="s">
        <v>335</v>
      </c>
      <c r="Q501" s="5" t="n">
        <v>3244.13</v>
      </c>
      <c r="R501" s="3" t="n">
        <v>2</v>
      </c>
      <c r="S501" s="6" t="n">
        <v>0</v>
      </c>
      <c r="T501" s="5" t="n">
        <v>631.35</v>
      </c>
      <c r="U501" s="3" t="str">
        <f aca="false">IF(T501&lt;0,"Loss",IF(T501=0,"Break-even","Profit"))</f>
        <v>Profit</v>
      </c>
      <c r="V501" s="3" t="str">
        <f aca="false">IF(Q501&lt;100,"Low",IF(Q501&lt;=500,"Medium","High"))</f>
        <v>High</v>
      </c>
      <c r="W501" s="3" t="n">
        <f aca="false">D501-C501</f>
        <v>4</v>
      </c>
      <c r="X501" s="3" t="str">
        <f aca="false">TEXT(C501,"mmmm")</f>
        <v>December</v>
      </c>
      <c r="Y501" s="3" t="str">
        <f aca="false">LEFT(G501,1)&amp;MID(G501,FIND(" ",G501)+1,1)</f>
        <v>PM</v>
      </c>
    </row>
    <row r="502" customFormat="false" ht="15" hidden="false" customHeight="false" outlineLevel="0" collapsed="false">
      <c r="A502" s="3" t="n">
        <v>501</v>
      </c>
      <c r="B502" s="3" t="s">
        <v>1075</v>
      </c>
      <c r="C502" s="4" t="s">
        <v>1534</v>
      </c>
      <c r="D502" s="4" t="s">
        <v>1538</v>
      </c>
      <c r="E502" s="3" t="s">
        <v>84</v>
      </c>
      <c r="F502" s="3" t="s">
        <v>891</v>
      </c>
      <c r="G502" s="3" t="s">
        <v>892</v>
      </c>
      <c r="H502" s="3" t="s">
        <v>45</v>
      </c>
      <c r="I502" s="3" t="s">
        <v>32</v>
      </c>
      <c r="J502" s="3" t="s">
        <v>873</v>
      </c>
      <c r="K502" s="3" t="s">
        <v>387</v>
      </c>
      <c r="L502" s="3" t="s">
        <v>35</v>
      </c>
      <c r="M502" s="3" t="s">
        <v>461</v>
      </c>
      <c r="N502" s="3" t="s">
        <v>37</v>
      </c>
      <c r="O502" s="3" t="s">
        <v>71</v>
      </c>
      <c r="P502" s="3" t="s">
        <v>462</v>
      </c>
      <c r="Q502" s="5" t="n">
        <v>14453.82</v>
      </c>
      <c r="R502" s="3" t="n">
        <v>11</v>
      </c>
      <c r="S502" s="6" t="n">
        <v>0</v>
      </c>
      <c r="T502" s="5" t="n">
        <v>2385.9</v>
      </c>
      <c r="U502" s="3" t="str">
        <f aca="false">IF(T502&lt;0,"Loss",IF(T502=0,"Break-even","Profit"))</f>
        <v>Profit</v>
      </c>
      <c r="V502" s="3" t="str">
        <f aca="false">IF(Q502&lt;100,"Low",IF(Q502&lt;=500,"Medium","High"))</f>
        <v>High</v>
      </c>
      <c r="W502" s="3" t="n">
        <f aca="false">D502-C502</f>
        <v>2</v>
      </c>
      <c r="X502" s="3" t="str">
        <f aca="false">TEXT(C502,"mmmm")</f>
        <v>December</v>
      </c>
      <c r="Y502" s="3" t="str">
        <f aca="false">LEFT(G502,1)&amp;MID(G502,FIND(" ",G502)+1,1)</f>
        <v>MB</v>
      </c>
    </row>
    <row r="503" customFormat="false" ht="15" hidden="false" customHeight="false" outlineLevel="0" collapsed="false">
      <c r="A503" s="3" t="n">
        <v>502</v>
      </c>
      <c r="B503" s="3" t="s">
        <v>1539</v>
      </c>
      <c r="C503" s="4" t="s">
        <v>1534</v>
      </c>
      <c r="D503" s="4" t="s">
        <v>1534</v>
      </c>
      <c r="E503" s="3" t="s">
        <v>53</v>
      </c>
      <c r="F503" s="3" t="s">
        <v>1192</v>
      </c>
      <c r="G503" s="3" t="s">
        <v>1193</v>
      </c>
      <c r="H503" s="3" t="s">
        <v>45</v>
      </c>
      <c r="I503" s="3" t="s">
        <v>32</v>
      </c>
      <c r="J503" s="3" t="s">
        <v>33</v>
      </c>
      <c r="K503" s="3" t="s">
        <v>34</v>
      </c>
      <c r="L503" s="3" t="s">
        <v>35</v>
      </c>
      <c r="M503" s="3" t="s">
        <v>114</v>
      </c>
      <c r="N503" s="3" t="s">
        <v>49</v>
      </c>
      <c r="O503" s="3" t="s">
        <v>61</v>
      </c>
      <c r="P503" s="3" t="s">
        <v>115</v>
      </c>
      <c r="Q503" s="5" t="n">
        <v>356.73</v>
      </c>
      <c r="R503" s="3" t="n">
        <v>4</v>
      </c>
      <c r="S503" s="6" t="n">
        <v>0.1</v>
      </c>
      <c r="T503" s="5" t="n">
        <v>57.04</v>
      </c>
      <c r="U503" s="3" t="str">
        <f aca="false">IF(T503&lt;0,"Loss",IF(T503=0,"Break-even","Profit"))</f>
        <v>Profit</v>
      </c>
      <c r="V503" s="3" t="str">
        <f aca="false">IF(Q503&lt;100,"Low",IF(Q503&lt;=500,"Medium","High"))</f>
        <v>Medium</v>
      </c>
      <c r="W503" s="3" t="n">
        <f aca="false">D503-C503</f>
        <v>0</v>
      </c>
      <c r="X503" s="3" t="str">
        <f aca="false">TEXT(C503,"mmmm")</f>
        <v>December</v>
      </c>
      <c r="Y503" s="3" t="str">
        <f aca="false">LEFT(G503,1)&amp;MID(G503,FIND(" ",G503)+1,1)</f>
        <v>PM</v>
      </c>
    </row>
    <row r="504" customFormat="false" ht="15" hidden="false" customHeight="false" outlineLevel="0" collapsed="false">
      <c r="A504" s="3" t="n">
        <v>503</v>
      </c>
      <c r="B504" s="3" t="s">
        <v>108</v>
      </c>
      <c r="C504" s="4" t="s">
        <v>1534</v>
      </c>
      <c r="D504" s="4" t="s">
        <v>1535</v>
      </c>
      <c r="E504" s="3" t="s">
        <v>84</v>
      </c>
      <c r="F504" s="3" t="s">
        <v>900</v>
      </c>
      <c r="G504" s="3" t="s">
        <v>901</v>
      </c>
      <c r="H504" s="3" t="s">
        <v>56</v>
      </c>
      <c r="I504" s="3" t="s">
        <v>32</v>
      </c>
      <c r="J504" s="3" t="s">
        <v>381</v>
      </c>
      <c r="K504" s="3" t="s">
        <v>58</v>
      </c>
      <c r="L504" s="3" t="s">
        <v>59</v>
      </c>
      <c r="M504" s="3" t="s">
        <v>225</v>
      </c>
      <c r="N504" s="3" t="s">
        <v>37</v>
      </c>
      <c r="O504" s="3" t="s">
        <v>196</v>
      </c>
      <c r="P504" s="3" t="s">
        <v>226</v>
      </c>
      <c r="Q504" s="5" t="n">
        <v>10556.99</v>
      </c>
      <c r="R504" s="3" t="n">
        <v>11</v>
      </c>
      <c r="S504" s="6" t="n">
        <v>0</v>
      </c>
      <c r="T504" s="5" t="n">
        <v>-1710.76</v>
      </c>
      <c r="U504" s="3" t="str">
        <f aca="false">IF(T504&lt;0,"Loss",IF(T504=0,"Break-even","Profit"))</f>
        <v>Loss</v>
      </c>
      <c r="V504" s="3" t="str">
        <f aca="false">IF(Q504&lt;100,"Low",IF(Q504&lt;=500,"Medium","High"))</f>
        <v>High</v>
      </c>
      <c r="W504" s="3" t="n">
        <f aca="false">D504-C504</f>
        <v>4</v>
      </c>
      <c r="X504" s="3" t="str">
        <f aca="false">TEXT(C504,"mmmm")</f>
        <v>December</v>
      </c>
      <c r="Y504" s="3" t="str">
        <f aca="false">LEFT(G504,1)&amp;MID(G504,FIND(" ",G504)+1,1)</f>
        <v>JM</v>
      </c>
    </row>
    <row r="505" customFormat="false" ht="15" hidden="false" customHeight="false" outlineLevel="0" collapsed="false">
      <c r="A505" s="3" t="n">
        <v>504</v>
      </c>
      <c r="B505" s="3" t="s">
        <v>1540</v>
      </c>
      <c r="C505" s="4" t="s">
        <v>1521</v>
      </c>
      <c r="D505" s="4" t="s">
        <v>1535</v>
      </c>
      <c r="E505" s="3" t="s">
        <v>28</v>
      </c>
      <c r="F505" s="3" t="s">
        <v>949</v>
      </c>
      <c r="G505" s="3" t="s">
        <v>950</v>
      </c>
      <c r="H505" s="3" t="s">
        <v>45</v>
      </c>
      <c r="I505" s="3" t="s">
        <v>32</v>
      </c>
      <c r="J505" s="3" t="s">
        <v>188</v>
      </c>
      <c r="K505" s="3" t="s">
        <v>189</v>
      </c>
      <c r="L505" s="3" t="s">
        <v>59</v>
      </c>
      <c r="M505" s="3" t="s">
        <v>158</v>
      </c>
      <c r="N505" s="3" t="s">
        <v>49</v>
      </c>
      <c r="O505" s="3" t="s">
        <v>159</v>
      </c>
      <c r="P505" s="3" t="s">
        <v>160</v>
      </c>
      <c r="Q505" s="5" t="n">
        <v>471.97</v>
      </c>
      <c r="R505" s="3" t="n">
        <v>12</v>
      </c>
      <c r="S505" s="6" t="n">
        <v>0</v>
      </c>
      <c r="T505" s="5" t="n">
        <v>99.86</v>
      </c>
      <c r="U505" s="3" t="str">
        <f aca="false">IF(T505&lt;0,"Loss",IF(T505=0,"Break-even","Profit"))</f>
        <v>Profit</v>
      </c>
      <c r="V505" s="3" t="str">
        <f aca="false">IF(Q505&lt;100,"Low",IF(Q505&lt;=500,"Medium","High"))</f>
        <v>Medium</v>
      </c>
      <c r="W505" s="3" t="n">
        <f aca="false">D505-C505</f>
        <v>3</v>
      </c>
      <c r="X505" s="3" t="str">
        <f aca="false">TEXT(C505,"mmmm")</f>
        <v>December</v>
      </c>
      <c r="Y505" s="3" t="str">
        <f aca="false">LEFT(G505,1)&amp;MID(G505,FIND(" ",G505)+1,1)</f>
        <v>FK</v>
      </c>
    </row>
    <row r="506" customFormat="false" ht="15" hidden="false" customHeight="false" outlineLevel="0" collapsed="false">
      <c r="A506" s="3" t="n">
        <v>505</v>
      </c>
      <c r="B506" s="3" t="s">
        <v>1541</v>
      </c>
      <c r="C506" s="4" t="s">
        <v>1538</v>
      </c>
      <c r="D506" s="4" t="s">
        <v>1542</v>
      </c>
      <c r="E506" s="3" t="s">
        <v>28</v>
      </c>
      <c r="F506" s="3" t="s">
        <v>1194</v>
      </c>
      <c r="G506" s="3" t="s">
        <v>1195</v>
      </c>
      <c r="H506" s="3" t="s">
        <v>56</v>
      </c>
      <c r="I506" s="3" t="s">
        <v>32</v>
      </c>
      <c r="J506" s="3" t="s">
        <v>252</v>
      </c>
      <c r="K506" s="3" t="s">
        <v>172</v>
      </c>
      <c r="L506" s="3" t="s">
        <v>157</v>
      </c>
      <c r="M506" s="3" t="s">
        <v>158</v>
      </c>
      <c r="N506" s="3" t="s">
        <v>49</v>
      </c>
      <c r="O506" s="3" t="s">
        <v>159</v>
      </c>
      <c r="P506" s="3" t="s">
        <v>160</v>
      </c>
      <c r="Q506" s="5" t="n">
        <v>494.28</v>
      </c>
      <c r="R506" s="3" t="n">
        <v>14</v>
      </c>
      <c r="S506" s="6" t="n">
        <v>0.2</v>
      </c>
      <c r="T506" s="5" t="n">
        <v>151.36</v>
      </c>
      <c r="U506" s="3" t="str">
        <f aca="false">IF(T506&lt;0,"Loss",IF(T506=0,"Break-even","Profit"))</f>
        <v>Profit</v>
      </c>
      <c r="V506" s="3" t="str">
        <f aca="false">IF(Q506&lt;100,"Low",IF(Q506&lt;=500,"Medium","High"))</f>
        <v>Medium</v>
      </c>
      <c r="W506" s="3" t="n">
        <f aca="false">D506-C506</f>
        <v>5</v>
      </c>
      <c r="X506" s="3" t="str">
        <f aca="false">TEXT(C506,"mmmm")</f>
        <v>December</v>
      </c>
      <c r="Y506" s="3" t="str">
        <f aca="false">LEFT(G506,1)&amp;MID(G506,FIND(" ",G506)+1,1)</f>
        <v>JK</v>
      </c>
    </row>
    <row r="507" customFormat="false" ht="15" hidden="false" customHeight="false" outlineLevel="0" collapsed="false">
      <c r="A507" s="3" t="n">
        <v>506</v>
      </c>
      <c r="B507" s="3" t="s">
        <v>1412</v>
      </c>
      <c r="C507" s="4" t="s">
        <v>1538</v>
      </c>
      <c r="D507" s="4" t="s">
        <v>1543</v>
      </c>
      <c r="E507" s="3" t="s">
        <v>28</v>
      </c>
      <c r="F507" s="3" t="s">
        <v>1544</v>
      </c>
      <c r="G507" s="3" t="s">
        <v>1545</v>
      </c>
      <c r="H507" s="3" t="s">
        <v>56</v>
      </c>
      <c r="I507" s="3" t="s">
        <v>32</v>
      </c>
      <c r="J507" s="3" t="s">
        <v>299</v>
      </c>
      <c r="K507" s="3" t="s">
        <v>189</v>
      </c>
      <c r="L507" s="3" t="s">
        <v>59</v>
      </c>
      <c r="M507" s="3" t="s">
        <v>683</v>
      </c>
      <c r="N507" s="3" t="s">
        <v>37</v>
      </c>
      <c r="O507" s="3" t="s">
        <v>136</v>
      </c>
      <c r="P507" s="3" t="s">
        <v>684</v>
      </c>
      <c r="Q507" s="5" t="n">
        <v>2258.74</v>
      </c>
      <c r="R507" s="3" t="n">
        <v>3</v>
      </c>
      <c r="S507" s="6" t="n">
        <v>0</v>
      </c>
      <c r="T507" s="5" t="n">
        <v>211.09</v>
      </c>
      <c r="U507" s="3" t="str">
        <f aca="false">IF(T507&lt;0,"Loss",IF(T507=0,"Break-even","Profit"))</f>
        <v>Profit</v>
      </c>
      <c r="V507" s="3" t="str">
        <f aca="false">IF(Q507&lt;100,"Low",IF(Q507&lt;=500,"Medium","High"))</f>
        <v>High</v>
      </c>
      <c r="W507" s="3" t="n">
        <f aca="false">D507-C507</f>
        <v>6</v>
      </c>
      <c r="X507" s="3" t="str">
        <f aca="false">TEXT(C507,"mmmm")</f>
        <v>December</v>
      </c>
      <c r="Y507" s="3" t="str">
        <f aca="false">LEFT(G507,1)&amp;MID(G507,FIND(" ",G507)+1,1)</f>
        <v>PK</v>
      </c>
    </row>
    <row r="508" customFormat="false" ht="15" hidden="false" customHeight="false" outlineLevel="0" collapsed="false">
      <c r="A508" s="3" t="n">
        <v>507</v>
      </c>
      <c r="B508" s="3" t="s">
        <v>1546</v>
      </c>
      <c r="C508" s="4" t="s">
        <v>1547</v>
      </c>
      <c r="D508" s="4" t="s">
        <v>1548</v>
      </c>
      <c r="E508" s="3" t="s">
        <v>28</v>
      </c>
      <c r="F508" s="3" t="s">
        <v>423</v>
      </c>
      <c r="G508" s="3" t="s">
        <v>424</v>
      </c>
      <c r="H508" s="3" t="s">
        <v>56</v>
      </c>
      <c r="I508" s="3" t="s">
        <v>32</v>
      </c>
      <c r="J508" s="3" t="s">
        <v>133</v>
      </c>
      <c r="K508" s="3" t="s">
        <v>134</v>
      </c>
      <c r="L508" s="3" t="s">
        <v>69</v>
      </c>
      <c r="M508" s="3" t="s">
        <v>158</v>
      </c>
      <c r="N508" s="3" t="s">
        <v>49</v>
      </c>
      <c r="O508" s="3" t="s">
        <v>159</v>
      </c>
      <c r="P508" s="3" t="s">
        <v>160</v>
      </c>
      <c r="Q508" s="5" t="n">
        <v>527.35</v>
      </c>
      <c r="R508" s="3" t="n">
        <v>9</v>
      </c>
      <c r="S508" s="6" t="n">
        <v>0.1</v>
      </c>
      <c r="T508" s="5" t="n">
        <v>123.37</v>
      </c>
      <c r="U508" s="3" t="str">
        <f aca="false">IF(T508&lt;0,"Loss",IF(T508=0,"Break-even","Profit"))</f>
        <v>Profit</v>
      </c>
      <c r="V508" s="3" t="str">
        <f aca="false">IF(Q508&lt;100,"Low",IF(Q508&lt;=500,"Medium","High"))</f>
        <v>High</v>
      </c>
      <c r="W508" s="3" t="n">
        <f aca="false">D508-C508</f>
        <v>4</v>
      </c>
      <c r="X508" s="3" t="str">
        <f aca="false">TEXT(C508,"mmmm")</f>
        <v>December</v>
      </c>
      <c r="Y508" s="3" t="str">
        <f aca="false">LEFT(G508,1)&amp;MID(G508,FIND(" ",G508)+1,1)</f>
        <v>MC</v>
      </c>
    </row>
    <row r="509" customFormat="false" ht="15" hidden="false" customHeight="false" outlineLevel="0" collapsed="false">
      <c r="A509" s="3" t="n">
        <v>508</v>
      </c>
      <c r="B509" s="3" t="s">
        <v>1549</v>
      </c>
      <c r="C509" s="4" t="s">
        <v>1550</v>
      </c>
      <c r="D509" s="4" t="s">
        <v>1551</v>
      </c>
      <c r="E509" s="3" t="s">
        <v>28</v>
      </c>
      <c r="F509" s="3" t="s">
        <v>729</v>
      </c>
      <c r="G509" s="3" t="s">
        <v>730</v>
      </c>
      <c r="H509" s="3" t="s">
        <v>56</v>
      </c>
      <c r="I509" s="3" t="s">
        <v>32</v>
      </c>
      <c r="J509" s="3" t="s">
        <v>873</v>
      </c>
      <c r="K509" s="3" t="s">
        <v>387</v>
      </c>
      <c r="L509" s="3" t="s">
        <v>35</v>
      </c>
      <c r="M509" s="3" t="s">
        <v>158</v>
      </c>
      <c r="N509" s="3" t="s">
        <v>49</v>
      </c>
      <c r="O509" s="3" t="s">
        <v>159</v>
      </c>
      <c r="P509" s="3" t="s">
        <v>160</v>
      </c>
      <c r="Q509" s="5" t="n">
        <v>1455.76</v>
      </c>
      <c r="R509" s="3" t="n">
        <v>14</v>
      </c>
      <c r="S509" s="6" t="n">
        <v>0</v>
      </c>
      <c r="T509" s="5" t="n">
        <v>308.41</v>
      </c>
      <c r="U509" s="3" t="str">
        <f aca="false">IF(T509&lt;0,"Loss",IF(T509=0,"Break-even","Profit"))</f>
        <v>Profit</v>
      </c>
      <c r="V509" s="3" t="str">
        <f aca="false">IF(Q509&lt;100,"Low",IF(Q509&lt;=500,"Medium","High"))</f>
        <v>High</v>
      </c>
      <c r="W509" s="3" t="n">
        <f aca="false">D509-C509</f>
        <v>6</v>
      </c>
      <c r="X509" s="3" t="str">
        <f aca="false">TEXT(C509,"mmmm")</f>
        <v>December</v>
      </c>
      <c r="Y509" s="3" t="str">
        <f aca="false">LEFT(G509,1)&amp;MID(G509,FIND(" ",G509)+1,1)</f>
        <v>OR</v>
      </c>
    </row>
    <row r="510" customFormat="false" ht="15" hidden="false" customHeight="false" outlineLevel="0" collapsed="false">
      <c r="A510" s="3" t="n">
        <v>509</v>
      </c>
      <c r="B510" s="3" t="s">
        <v>1552</v>
      </c>
      <c r="C510" s="4" t="s">
        <v>1542</v>
      </c>
      <c r="D510" s="4" t="s">
        <v>1553</v>
      </c>
      <c r="E510" s="3" t="s">
        <v>28</v>
      </c>
      <c r="F510" s="3" t="s">
        <v>1554</v>
      </c>
      <c r="G510" s="3" t="s">
        <v>1555</v>
      </c>
      <c r="H510" s="3" t="s">
        <v>56</v>
      </c>
      <c r="I510" s="3" t="s">
        <v>32</v>
      </c>
      <c r="J510" s="3" t="s">
        <v>663</v>
      </c>
      <c r="K510" s="3" t="s">
        <v>307</v>
      </c>
      <c r="L510" s="3" t="s">
        <v>69</v>
      </c>
      <c r="M510" s="3" t="s">
        <v>173</v>
      </c>
      <c r="N510" s="3" t="s">
        <v>89</v>
      </c>
      <c r="O510" s="3" t="s">
        <v>174</v>
      </c>
      <c r="P510" s="3" t="s">
        <v>175</v>
      </c>
      <c r="Q510" s="5" t="n">
        <v>2813.83</v>
      </c>
      <c r="R510" s="3" t="n">
        <v>4</v>
      </c>
      <c r="S510" s="6" t="n">
        <v>0.2</v>
      </c>
      <c r="T510" s="5" t="n">
        <v>167.13</v>
      </c>
      <c r="U510" s="3" t="str">
        <f aca="false">IF(T510&lt;0,"Loss",IF(T510=0,"Break-even","Profit"))</f>
        <v>Profit</v>
      </c>
      <c r="V510" s="3" t="str">
        <f aca="false">IF(Q510&lt;100,"Low",IF(Q510&lt;=500,"Medium","High"))</f>
        <v>High</v>
      </c>
      <c r="W510" s="3" t="n">
        <f aca="false">D510-C510</f>
        <v>7</v>
      </c>
      <c r="X510" s="3" t="str">
        <f aca="false">TEXT(C510,"mmmm")</f>
        <v>December</v>
      </c>
      <c r="Y510" s="3" t="str">
        <f aca="false">LEFT(G510,1)&amp;MID(G510,FIND(" ",G510)+1,1)</f>
        <v>LJ</v>
      </c>
    </row>
    <row r="511" customFormat="false" ht="15" hidden="false" customHeight="false" outlineLevel="0" collapsed="false">
      <c r="A511" s="3" t="n">
        <v>510</v>
      </c>
      <c r="B511" s="3" t="s">
        <v>1556</v>
      </c>
      <c r="C511" s="4" t="s">
        <v>1548</v>
      </c>
      <c r="D511" s="4" t="s">
        <v>1548</v>
      </c>
      <c r="E511" s="3" t="s">
        <v>53</v>
      </c>
      <c r="F511" s="3" t="s">
        <v>1221</v>
      </c>
      <c r="G511" s="3" t="s">
        <v>1222</v>
      </c>
      <c r="H511" s="3" t="s">
        <v>45</v>
      </c>
      <c r="I511" s="3" t="s">
        <v>32</v>
      </c>
      <c r="J511" s="3" t="s">
        <v>548</v>
      </c>
      <c r="K511" s="3" t="s">
        <v>244</v>
      </c>
      <c r="L511" s="3" t="s">
        <v>157</v>
      </c>
      <c r="M511" s="3" t="s">
        <v>97</v>
      </c>
      <c r="N511" s="3" t="s">
        <v>89</v>
      </c>
      <c r="O511" s="3" t="s">
        <v>90</v>
      </c>
      <c r="P511" s="3" t="s">
        <v>98</v>
      </c>
      <c r="Q511" s="5" t="n">
        <v>4490.86</v>
      </c>
      <c r="R511" s="3" t="n">
        <v>12</v>
      </c>
      <c r="S511" s="6" t="n">
        <v>0.4</v>
      </c>
      <c r="T511" s="5" t="n">
        <v>768.99</v>
      </c>
      <c r="U511" s="3" t="str">
        <f aca="false">IF(T511&lt;0,"Loss",IF(T511=0,"Break-even","Profit"))</f>
        <v>Profit</v>
      </c>
      <c r="V511" s="3" t="str">
        <f aca="false">IF(Q511&lt;100,"Low",IF(Q511&lt;=500,"Medium","High"))</f>
        <v>High</v>
      </c>
      <c r="W511" s="3" t="n">
        <f aca="false">D511-C511</f>
        <v>0</v>
      </c>
      <c r="X511" s="3" t="str">
        <f aca="false">TEXT(C511,"mmmm")</f>
        <v>December</v>
      </c>
      <c r="Y511" s="3" t="str">
        <f aca="false">LEFT(G511,1)&amp;MID(G511,FIND(" ",G511)+1,1)</f>
        <v>MD</v>
      </c>
    </row>
    <row r="512" customFormat="false" ht="15" hidden="false" customHeight="false" outlineLevel="0" collapsed="false">
      <c r="A512" s="3" t="n">
        <v>511</v>
      </c>
      <c r="B512" s="3" t="s">
        <v>1557</v>
      </c>
      <c r="C512" s="4" t="s">
        <v>1558</v>
      </c>
      <c r="D512" s="4" t="s">
        <v>1559</v>
      </c>
      <c r="E512" s="3" t="s">
        <v>28</v>
      </c>
      <c r="F512" s="3" t="s">
        <v>1301</v>
      </c>
      <c r="G512" s="3" t="s">
        <v>1302</v>
      </c>
      <c r="H512" s="3" t="s">
        <v>31</v>
      </c>
      <c r="I512" s="3" t="s">
        <v>32</v>
      </c>
      <c r="J512" s="3" t="s">
        <v>208</v>
      </c>
      <c r="K512" s="3" t="s">
        <v>134</v>
      </c>
      <c r="L512" s="3" t="s">
        <v>69</v>
      </c>
      <c r="M512" s="3" t="s">
        <v>461</v>
      </c>
      <c r="N512" s="3" t="s">
        <v>37</v>
      </c>
      <c r="O512" s="3" t="s">
        <v>71</v>
      </c>
      <c r="P512" s="3" t="s">
        <v>462</v>
      </c>
      <c r="Q512" s="5" t="n">
        <v>7334.35</v>
      </c>
      <c r="R512" s="3" t="n">
        <v>10</v>
      </c>
      <c r="S512" s="6" t="n">
        <v>0.4</v>
      </c>
      <c r="T512" s="5" t="n">
        <v>400.31</v>
      </c>
      <c r="U512" s="3" t="str">
        <f aca="false">IF(T512&lt;0,"Loss",IF(T512=0,"Break-even","Profit"))</f>
        <v>Profit</v>
      </c>
      <c r="V512" s="3" t="str">
        <f aca="false">IF(Q512&lt;100,"Low",IF(Q512&lt;=500,"Medium","High"))</f>
        <v>High</v>
      </c>
      <c r="W512" s="3" t="n">
        <f aca="false">D512-C512</f>
        <v>3</v>
      </c>
      <c r="X512" s="3" t="str">
        <f aca="false">TEXT(C512,"mmmm")</f>
        <v>December</v>
      </c>
      <c r="Y512" s="3" t="str">
        <f aca="false">LEFT(G512,1)&amp;MID(G512,FIND(" ",G512)+1,1)</f>
        <v>JA</v>
      </c>
    </row>
    <row r="513" customFormat="false" ht="15" hidden="false" customHeight="false" outlineLevel="0" collapsed="false">
      <c r="A513" s="3" t="n">
        <v>512</v>
      </c>
      <c r="B513" s="3" t="s">
        <v>1560</v>
      </c>
      <c r="C513" s="4" t="s">
        <v>1561</v>
      </c>
      <c r="D513" s="4" t="s">
        <v>1559</v>
      </c>
      <c r="E513" s="3" t="s">
        <v>42</v>
      </c>
      <c r="F513" s="3" t="s">
        <v>1562</v>
      </c>
      <c r="G513" s="3" t="s">
        <v>1563</v>
      </c>
      <c r="H513" s="3" t="s">
        <v>45</v>
      </c>
      <c r="I513" s="3" t="s">
        <v>32</v>
      </c>
      <c r="J513" s="3" t="s">
        <v>381</v>
      </c>
      <c r="K513" s="3" t="s">
        <v>58</v>
      </c>
      <c r="L513" s="3" t="s">
        <v>59</v>
      </c>
      <c r="M513" s="3" t="s">
        <v>127</v>
      </c>
      <c r="N513" s="3" t="s">
        <v>49</v>
      </c>
      <c r="O513" s="3" t="s">
        <v>61</v>
      </c>
      <c r="P513" s="3" t="s">
        <v>128</v>
      </c>
      <c r="Q513" s="5" t="n">
        <v>278.57</v>
      </c>
      <c r="R513" s="3" t="n">
        <v>14</v>
      </c>
      <c r="S513" s="6" t="n">
        <v>0.1</v>
      </c>
      <c r="T513" s="5" t="n">
        <v>81.5</v>
      </c>
      <c r="U513" s="3" t="str">
        <f aca="false">IF(T513&lt;0,"Loss",IF(T513=0,"Break-even","Profit"))</f>
        <v>Profit</v>
      </c>
      <c r="V513" s="3" t="str">
        <f aca="false">IF(Q513&lt;100,"Low",IF(Q513&lt;=500,"Medium","High"))</f>
        <v>Medium</v>
      </c>
      <c r="W513" s="3" t="n">
        <f aca="false">D513-C513</f>
        <v>2</v>
      </c>
      <c r="X513" s="3" t="str">
        <f aca="false">TEXT(C513,"mmmm")</f>
        <v>December</v>
      </c>
      <c r="Y513" s="3" t="str">
        <f aca="false">LEFT(G513,1)&amp;MID(G513,FIND(" ",G513)+1,1)</f>
        <v>MB</v>
      </c>
    </row>
    <row r="514" customFormat="false" ht="15" hidden="false" customHeight="false" outlineLevel="0" collapsed="false">
      <c r="A514" s="3" t="n">
        <v>513</v>
      </c>
      <c r="B514" s="3" t="s">
        <v>1564</v>
      </c>
      <c r="C514" s="4" t="s">
        <v>1561</v>
      </c>
      <c r="D514" s="4" t="s">
        <v>1559</v>
      </c>
      <c r="E514" s="3" t="s">
        <v>42</v>
      </c>
      <c r="F514" s="3" t="s">
        <v>1565</v>
      </c>
      <c r="G514" s="3" t="s">
        <v>1566</v>
      </c>
      <c r="H514" s="3" t="s">
        <v>56</v>
      </c>
      <c r="I514" s="3" t="s">
        <v>32</v>
      </c>
      <c r="J514" s="3" t="s">
        <v>299</v>
      </c>
      <c r="K514" s="3" t="s">
        <v>189</v>
      </c>
      <c r="L514" s="3" t="s">
        <v>59</v>
      </c>
      <c r="M514" s="3" t="s">
        <v>470</v>
      </c>
      <c r="N514" s="3" t="s">
        <v>49</v>
      </c>
      <c r="O514" s="3" t="s">
        <v>159</v>
      </c>
      <c r="P514" s="3" t="s">
        <v>471</v>
      </c>
      <c r="Q514" s="5" t="n">
        <v>77.83</v>
      </c>
      <c r="R514" s="3" t="n">
        <v>3</v>
      </c>
      <c r="S514" s="6" t="n">
        <v>0.1</v>
      </c>
      <c r="T514" s="5" t="n">
        <v>18.56</v>
      </c>
      <c r="U514" s="3" t="str">
        <f aca="false">IF(T514&lt;0,"Loss",IF(T514=0,"Break-even","Profit"))</f>
        <v>Profit</v>
      </c>
      <c r="V514" s="3" t="str">
        <f aca="false">IF(Q514&lt;100,"Low",IF(Q514&lt;=500,"Medium","High"))</f>
        <v>Low</v>
      </c>
      <c r="W514" s="3" t="n">
        <f aca="false">D514-C514</f>
        <v>2</v>
      </c>
      <c r="X514" s="3" t="str">
        <f aca="false">TEXT(C514,"mmmm")</f>
        <v>December</v>
      </c>
      <c r="Y514" s="3" t="str">
        <f aca="false">LEFT(G514,1)&amp;MID(G514,FIND(" ",G514)+1,1)</f>
        <v>RB</v>
      </c>
    </row>
    <row r="515" customFormat="false" ht="15" hidden="false" customHeight="false" outlineLevel="0" collapsed="false">
      <c r="A515" s="3" t="n">
        <v>514</v>
      </c>
      <c r="B515" s="3" t="s">
        <v>1567</v>
      </c>
      <c r="C515" s="4" t="s">
        <v>1551</v>
      </c>
      <c r="D515" s="4" t="s">
        <v>1568</v>
      </c>
      <c r="E515" s="3" t="s">
        <v>28</v>
      </c>
      <c r="F515" s="3" t="s">
        <v>390</v>
      </c>
      <c r="G515" s="3" t="s">
        <v>391</v>
      </c>
      <c r="H515" s="3" t="s">
        <v>56</v>
      </c>
      <c r="I515" s="3" t="s">
        <v>32</v>
      </c>
      <c r="J515" s="3" t="s">
        <v>252</v>
      </c>
      <c r="K515" s="3" t="s">
        <v>172</v>
      </c>
      <c r="L515" s="3" t="s">
        <v>157</v>
      </c>
      <c r="M515" s="3" t="s">
        <v>420</v>
      </c>
      <c r="N515" s="3" t="s">
        <v>49</v>
      </c>
      <c r="O515" s="3" t="s">
        <v>80</v>
      </c>
      <c r="P515" s="3" t="s">
        <v>421</v>
      </c>
      <c r="Q515" s="5" t="n">
        <v>16.29</v>
      </c>
      <c r="R515" s="3" t="n">
        <v>3</v>
      </c>
      <c r="S515" s="6" t="n">
        <v>0</v>
      </c>
      <c r="T515" s="5" t="n">
        <v>-1.77</v>
      </c>
      <c r="U515" s="3" t="str">
        <f aca="false">IF(T515&lt;0,"Loss",IF(T515=0,"Break-even","Profit"))</f>
        <v>Loss</v>
      </c>
      <c r="V515" s="3" t="str">
        <f aca="false">IF(Q515&lt;100,"Low",IF(Q515&lt;=500,"Medium","High"))</f>
        <v>Low</v>
      </c>
      <c r="W515" s="3" t="n">
        <f aca="false">D515-C515</f>
        <v>5</v>
      </c>
      <c r="X515" s="3" t="str">
        <f aca="false">TEXT(C515,"mmmm")</f>
        <v>December</v>
      </c>
      <c r="Y515" s="3" t="str">
        <f aca="false">LEFT(G515,1)&amp;MID(G515,FIND(" ",G515)+1,1)</f>
        <v>MA</v>
      </c>
    </row>
    <row r="516" customFormat="false" ht="15" hidden="false" customHeight="false" outlineLevel="0" collapsed="false">
      <c r="A516" s="3" t="n">
        <v>515</v>
      </c>
      <c r="B516" s="3" t="s">
        <v>1569</v>
      </c>
      <c r="C516" s="4" t="s">
        <v>1553</v>
      </c>
      <c r="D516" s="4" t="s">
        <v>1570</v>
      </c>
      <c r="E516" s="3" t="s">
        <v>28</v>
      </c>
      <c r="F516" s="3" t="s">
        <v>1571</v>
      </c>
      <c r="G516" s="3" t="s">
        <v>1572</v>
      </c>
      <c r="H516" s="3" t="s">
        <v>56</v>
      </c>
      <c r="I516" s="3" t="s">
        <v>32</v>
      </c>
      <c r="J516" s="3" t="s">
        <v>87</v>
      </c>
      <c r="K516" s="3" t="s">
        <v>68</v>
      </c>
      <c r="L516" s="3" t="s">
        <v>69</v>
      </c>
      <c r="M516" s="3" t="s">
        <v>347</v>
      </c>
      <c r="N516" s="3" t="s">
        <v>49</v>
      </c>
      <c r="O516" s="3" t="s">
        <v>220</v>
      </c>
      <c r="P516" s="3" t="s">
        <v>348</v>
      </c>
      <c r="Q516" s="5" t="n">
        <v>225.15</v>
      </c>
      <c r="R516" s="3" t="n">
        <v>3</v>
      </c>
      <c r="S516" s="6" t="n">
        <v>0</v>
      </c>
      <c r="T516" s="5" t="n">
        <v>20.91</v>
      </c>
      <c r="U516" s="3" t="str">
        <f aca="false">IF(T516&lt;0,"Loss",IF(T516=0,"Break-even","Profit"))</f>
        <v>Profit</v>
      </c>
      <c r="V516" s="3" t="str">
        <f aca="false">IF(Q516&lt;100,"Low",IF(Q516&lt;=500,"Medium","High"))</f>
        <v>Medium</v>
      </c>
      <c r="W516" s="3" t="n">
        <f aca="false">D516-C516</f>
        <v>4</v>
      </c>
      <c r="X516" s="3" t="str">
        <f aca="false">TEXT(C516,"mmmm")</f>
        <v>December</v>
      </c>
      <c r="Y516" s="3" t="str">
        <f aca="false">LEFT(G516,1)&amp;MID(G516,FIND(" ",G516)+1,1)</f>
        <v>JW</v>
      </c>
    </row>
    <row r="517" customFormat="false" ht="15" hidden="false" customHeight="false" outlineLevel="0" collapsed="false">
      <c r="A517" s="3" t="n">
        <v>516</v>
      </c>
      <c r="B517" s="3" t="s">
        <v>902</v>
      </c>
      <c r="C517" s="4" t="s">
        <v>1553</v>
      </c>
      <c r="D517" s="4" t="s">
        <v>1573</v>
      </c>
      <c r="E517" s="3" t="s">
        <v>28</v>
      </c>
      <c r="F517" s="3" t="s">
        <v>228</v>
      </c>
      <c r="G517" s="3" t="s">
        <v>229</v>
      </c>
      <c r="H517" s="3" t="s">
        <v>31</v>
      </c>
      <c r="I517" s="3" t="s">
        <v>32</v>
      </c>
      <c r="J517" s="3" t="s">
        <v>33</v>
      </c>
      <c r="K517" s="3" t="s">
        <v>34</v>
      </c>
      <c r="L517" s="3" t="s">
        <v>35</v>
      </c>
      <c r="M517" s="3" t="s">
        <v>105</v>
      </c>
      <c r="N517" s="3" t="s">
        <v>49</v>
      </c>
      <c r="O517" s="3" t="s">
        <v>106</v>
      </c>
      <c r="P517" s="3" t="s">
        <v>107</v>
      </c>
      <c r="Q517" s="5" t="n">
        <v>53.4</v>
      </c>
      <c r="R517" s="3" t="n">
        <v>5</v>
      </c>
      <c r="S517" s="6" t="n">
        <v>0.4</v>
      </c>
      <c r="T517" s="5" t="n">
        <v>-8.98</v>
      </c>
      <c r="U517" s="3" t="str">
        <f aca="false">IF(T517&lt;0,"Loss",IF(T517=0,"Break-even","Profit"))</f>
        <v>Loss</v>
      </c>
      <c r="V517" s="3" t="str">
        <f aca="false">IF(Q517&lt;100,"Low",IF(Q517&lt;=500,"Medium","High"))</f>
        <v>Low</v>
      </c>
      <c r="W517" s="3" t="n">
        <f aca="false">D517-C517</f>
        <v>5</v>
      </c>
      <c r="X517" s="3" t="str">
        <f aca="false">TEXT(C517,"mmmm")</f>
        <v>December</v>
      </c>
      <c r="Y517" s="3" t="str">
        <f aca="false">LEFT(G517,1)&amp;MID(G517,FIND(" ",G517)+1,1)</f>
        <v>ST</v>
      </c>
    </row>
    <row r="518" customFormat="false" ht="15" hidden="false" customHeight="false" outlineLevel="0" collapsed="false">
      <c r="A518" s="3" t="n">
        <v>517</v>
      </c>
      <c r="B518" s="3" t="s">
        <v>1574</v>
      </c>
      <c r="C518" s="4" t="s">
        <v>1575</v>
      </c>
      <c r="D518" s="4" t="s">
        <v>1576</v>
      </c>
      <c r="E518" s="3" t="s">
        <v>28</v>
      </c>
      <c r="F518" s="3" t="s">
        <v>486</v>
      </c>
      <c r="G518" s="3" t="s">
        <v>487</v>
      </c>
      <c r="H518" s="3" t="s">
        <v>45</v>
      </c>
      <c r="I518" s="3" t="s">
        <v>32</v>
      </c>
      <c r="J518" s="3" t="s">
        <v>77</v>
      </c>
      <c r="K518" s="3" t="s">
        <v>78</v>
      </c>
      <c r="L518" s="3" t="s">
        <v>59</v>
      </c>
      <c r="M518" s="3" t="s">
        <v>142</v>
      </c>
      <c r="N518" s="3" t="s">
        <v>49</v>
      </c>
      <c r="O518" s="3" t="s">
        <v>143</v>
      </c>
      <c r="P518" s="3" t="s">
        <v>144</v>
      </c>
      <c r="Q518" s="5" t="n">
        <v>102.66</v>
      </c>
      <c r="R518" s="3" t="n">
        <v>1</v>
      </c>
      <c r="S518" s="6" t="n">
        <v>0.1</v>
      </c>
      <c r="T518" s="5" t="n">
        <v>25.15</v>
      </c>
      <c r="U518" s="3" t="str">
        <f aca="false">IF(T518&lt;0,"Loss",IF(T518=0,"Break-even","Profit"))</f>
        <v>Profit</v>
      </c>
      <c r="V518" s="3" t="str">
        <f aca="false">IF(Q518&lt;100,"Low",IF(Q518&lt;=500,"Medium","High"))</f>
        <v>Medium</v>
      </c>
      <c r="W518" s="3" t="n">
        <f aca="false">D518-C518</f>
        <v>5</v>
      </c>
      <c r="X518" s="3" t="str">
        <f aca="false">TEXT(C518,"mmmm")</f>
        <v>January</v>
      </c>
      <c r="Y518" s="3" t="str">
        <f aca="false">LEFT(G518,1)&amp;MID(G518,FIND(" ",G518)+1,1)</f>
        <v>JB</v>
      </c>
    </row>
    <row r="519" customFormat="false" ht="15" hidden="false" customHeight="false" outlineLevel="0" collapsed="false">
      <c r="A519" s="3" t="n">
        <v>518</v>
      </c>
      <c r="B519" s="3" t="s">
        <v>1577</v>
      </c>
      <c r="C519" s="4" t="s">
        <v>1568</v>
      </c>
      <c r="D519" s="4" t="s">
        <v>1578</v>
      </c>
      <c r="E519" s="3" t="s">
        <v>28</v>
      </c>
      <c r="F519" s="3" t="s">
        <v>1243</v>
      </c>
      <c r="G519" s="3" t="s">
        <v>1244</v>
      </c>
      <c r="H519" s="3" t="s">
        <v>31</v>
      </c>
      <c r="I519" s="3" t="s">
        <v>32</v>
      </c>
      <c r="J519" s="3" t="s">
        <v>386</v>
      </c>
      <c r="K519" s="3" t="s">
        <v>387</v>
      </c>
      <c r="L519" s="3" t="s">
        <v>35</v>
      </c>
      <c r="M519" s="3" t="s">
        <v>300</v>
      </c>
      <c r="N519" s="3" t="s">
        <v>49</v>
      </c>
      <c r="O519" s="3" t="s">
        <v>143</v>
      </c>
      <c r="P519" s="3" t="s">
        <v>301</v>
      </c>
      <c r="Q519" s="5" t="n">
        <v>319.23</v>
      </c>
      <c r="R519" s="3" t="n">
        <v>5</v>
      </c>
      <c r="S519" s="6" t="n">
        <v>0.1</v>
      </c>
      <c r="T519" s="5" t="n">
        <v>4.54</v>
      </c>
      <c r="U519" s="3" t="str">
        <f aca="false">IF(T519&lt;0,"Loss",IF(T519=0,"Break-even","Profit"))</f>
        <v>Profit</v>
      </c>
      <c r="V519" s="3" t="str">
        <f aca="false">IF(Q519&lt;100,"Low",IF(Q519&lt;=500,"Medium","High"))</f>
        <v>Medium</v>
      </c>
      <c r="W519" s="3" t="n">
        <f aca="false">D519-C519</f>
        <v>7</v>
      </c>
      <c r="X519" s="3" t="str">
        <f aca="false">TEXT(C519,"mmmm")</f>
        <v>January</v>
      </c>
      <c r="Y519" s="3" t="str">
        <f aca="false">LEFT(G519,1)&amp;MID(G519,FIND(" ",G519)+1,1)</f>
        <v>SS</v>
      </c>
    </row>
    <row r="520" customFormat="false" ht="15" hidden="false" customHeight="false" outlineLevel="0" collapsed="false">
      <c r="A520" s="3" t="n">
        <v>519</v>
      </c>
      <c r="B520" s="3" t="s">
        <v>1579</v>
      </c>
      <c r="C520" s="4" t="s">
        <v>1568</v>
      </c>
      <c r="D520" s="4" t="s">
        <v>1576</v>
      </c>
      <c r="E520" s="3" t="s">
        <v>28</v>
      </c>
      <c r="F520" s="3" t="s">
        <v>1446</v>
      </c>
      <c r="G520" s="3" t="s">
        <v>1447</v>
      </c>
      <c r="H520" s="3" t="s">
        <v>56</v>
      </c>
      <c r="I520" s="3" t="s">
        <v>32</v>
      </c>
      <c r="J520" s="3" t="s">
        <v>737</v>
      </c>
      <c r="K520" s="3" t="s">
        <v>307</v>
      </c>
      <c r="L520" s="3" t="s">
        <v>69</v>
      </c>
      <c r="M520" s="3" t="s">
        <v>225</v>
      </c>
      <c r="N520" s="3" t="s">
        <v>37</v>
      </c>
      <c r="O520" s="3" t="s">
        <v>196</v>
      </c>
      <c r="P520" s="3" t="s">
        <v>226</v>
      </c>
      <c r="Q520" s="5" t="n">
        <v>436.17</v>
      </c>
      <c r="R520" s="3" t="n">
        <v>2</v>
      </c>
      <c r="S520" s="6" t="n">
        <v>0</v>
      </c>
      <c r="T520" s="5" t="n">
        <v>144.03</v>
      </c>
      <c r="U520" s="3" t="str">
        <f aca="false">IF(T520&lt;0,"Loss",IF(T520=0,"Break-even","Profit"))</f>
        <v>Profit</v>
      </c>
      <c r="V520" s="3" t="str">
        <f aca="false">IF(Q520&lt;100,"Low",IF(Q520&lt;=500,"Medium","High"))</f>
        <v>Medium</v>
      </c>
      <c r="W520" s="3" t="n">
        <f aca="false">D520-C520</f>
        <v>4</v>
      </c>
      <c r="X520" s="3" t="str">
        <f aca="false">TEXT(C520,"mmmm")</f>
        <v>January</v>
      </c>
      <c r="Y520" s="3" t="str">
        <f aca="false">LEFT(G520,1)&amp;MID(G520,FIND(" ",G520)+1,1)</f>
        <v>JJ</v>
      </c>
    </row>
    <row r="521" customFormat="false" ht="15" hidden="false" customHeight="false" outlineLevel="0" collapsed="false">
      <c r="A521" s="3" t="n">
        <v>520</v>
      </c>
      <c r="B521" s="3" t="s">
        <v>1580</v>
      </c>
      <c r="C521" s="4" t="s">
        <v>1570</v>
      </c>
      <c r="D521" s="4" t="s">
        <v>1581</v>
      </c>
      <c r="E521" s="3" t="s">
        <v>84</v>
      </c>
      <c r="F521" s="3" t="s">
        <v>1582</v>
      </c>
      <c r="G521" s="3" t="s">
        <v>1583</v>
      </c>
      <c r="H521" s="3" t="s">
        <v>45</v>
      </c>
      <c r="I521" s="3" t="s">
        <v>32</v>
      </c>
      <c r="J521" s="3" t="s">
        <v>95</v>
      </c>
      <c r="K521" s="3" t="s">
        <v>96</v>
      </c>
      <c r="L521" s="3" t="s">
        <v>59</v>
      </c>
      <c r="M521" s="3" t="s">
        <v>79</v>
      </c>
      <c r="N521" s="3" t="s">
        <v>49</v>
      </c>
      <c r="O521" s="3" t="s">
        <v>80</v>
      </c>
      <c r="P521" s="3" t="s">
        <v>81</v>
      </c>
      <c r="Q521" s="5" t="n">
        <v>320.18</v>
      </c>
      <c r="R521" s="3" t="n">
        <v>14</v>
      </c>
      <c r="S521" s="6" t="n">
        <v>0.5</v>
      </c>
      <c r="T521" s="5" t="n">
        <v>-62.25</v>
      </c>
      <c r="U521" s="3" t="str">
        <f aca="false">IF(T521&lt;0,"Loss",IF(T521=0,"Break-even","Profit"))</f>
        <v>Loss</v>
      </c>
      <c r="V521" s="3" t="str">
        <f aca="false">IF(Q521&lt;100,"Low",IF(Q521&lt;=500,"Medium","High"))</f>
        <v>Medium</v>
      </c>
      <c r="W521" s="3" t="n">
        <f aca="false">D521-C521</f>
        <v>2</v>
      </c>
      <c r="X521" s="3" t="str">
        <f aca="false">TEXT(C521,"mmmm")</f>
        <v>January</v>
      </c>
      <c r="Y521" s="3" t="str">
        <f aca="false">LEFT(G521,1)&amp;MID(G521,FIND(" ",G521)+1,1)</f>
        <v>DK</v>
      </c>
    </row>
    <row r="522" customFormat="false" ht="15" hidden="false" customHeight="false" outlineLevel="0" collapsed="false">
      <c r="A522" s="3" t="n">
        <v>521</v>
      </c>
      <c r="B522" s="3" t="s">
        <v>1584</v>
      </c>
      <c r="C522" s="4" t="s">
        <v>1570</v>
      </c>
      <c r="D522" s="4" t="s">
        <v>1578</v>
      </c>
      <c r="E522" s="3" t="s">
        <v>28</v>
      </c>
      <c r="F522" s="3" t="s">
        <v>1008</v>
      </c>
      <c r="G522" s="3" t="s">
        <v>1009</v>
      </c>
      <c r="H522" s="3" t="s">
        <v>56</v>
      </c>
      <c r="I522" s="3" t="s">
        <v>32</v>
      </c>
      <c r="J522" s="3" t="s">
        <v>663</v>
      </c>
      <c r="K522" s="3" t="s">
        <v>307</v>
      </c>
      <c r="L522" s="3" t="s">
        <v>69</v>
      </c>
      <c r="M522" s="3" t="s">
        <v>105</v>
      </c>
      <c r="N522" s="3" t="s">
        <v>49</v>
      </c>
      <c r="O522" s="3" t="s">
        <v>106</v>
      </c>
      <c r="P522" s="3" t="s">
        <v>107</v>
      </c>
      <c r="Q522" s="5" t="n">
        <v>350.57</v>
      </c>
      <c r="R522" s="3" t="n">
        <v>3</v>
      </c>
      <c r="S522" s="6" t="n">
        <v>0</v>
      </c>
      <c r="T522" s="5" t="n">
        <v>2.82</v>
      </c>
      <c r="U522" s="3" t="str">
        <f aca="false">IF(T522&lt;0,"Loss",IF(T522=0,"Break-even","Profit"))</f>
        <v>Profit</v>
      </c>
      <c r="V522" s="3" t="str">
        <f aca="false">IF(Q522&lt;100,"Low",IF(Q522&lt;=500,"Medium","High"))</f>
        <v>Medium</v>
      </c>
      <c r="W522" s="3" t="n">
        <f aca="false">D522-C522</f>
        <v>6</v>
      </c>
      <c r="X522" s="3" t="str">
        <f aca="false">TEXT(C522,"mmmm")</f>
        <v>January</v>
      </c>
      <c r="Y522" s="3" t="str">
        <f aca="false">LEFT(G522,1)&amp;MID(G522,FIND(" ",G522)+1,1)</f>
        <v>SJ</v>
      </c>
    </row>
    <row r="523" customFormat="false" ht="15" hidden="false" customHeight="false" outlineLevel="0" collapsed="false">
      <c r="A523" s="3" t="n">
        <v>522</v>
      </c>
      <c r="B523" s="3" t="s">
        <v>1585</v>
      </c>
      <c r="C523" s="4" t="s">
        <v>1570</v>
      </c>
      <c r="D523" s="4" t="s">
        <v>1573</v>
      </c>
      <c r="E523" s="3" t="s">
        <v>42</v>
      </c>
      <c r="F523" s="3" t="s">
        <v>493</v>
      </c>
      <c r="G523" s="3" t="s">
        <v>494</v>
      </c>
      <c r="H523" s="3" t="s">
        <v>45</v>
      </c>
      <c r="I523" s="3" t="s">
        <v>32</v>
      </c>
      <c r="J523" s="3" t="s">
        <v>46</v>
      </c>
      <c r="K523" s="3" t="s">
        <v>47</v>
      </c>
      <c r="L523" s="3" t="s">
        <v>35</v>
      </c>
      <c r="M523" s="3" t="s">
        <v>165</v>
      </c>
      <c r="N523" s="3" t="s">
        <v>89</v>
      </c>
      <c r="O523" s="3" t="s">
        <v>166</v>
      </c>
      <c r="P523" s="3" t="s">
        <v>167</v>
      </c>
      <c r="Q523" s="5" t="n">
        <v>4472.42</v>
      </c>
      <c r="R523" s="3" t="n">
        <v>7</v>
      </c>
      <c r="S523" s="6" t="n">
        <v>0</v>
      </c>
      <c r="T523" s="5" t="n">
        <v>-165.06</v>
      </c>
      <c r="U523" s="3" t="str">
        <f aca="false">IF(T523&lt;0,"Loss",IF(T523=0,"Break-even","Profit"))</f>
        <v>Loss</v>
      </c>
      <c r="V523" s="3" t="str">
        <f aca="false">IF(Q523&lt;100,"Low",IF(Q523&lt;=500,"Medium","High"))</f>
        <v>High</v>
      </c>
      <c r="W523" s="3" t="n">
        <f aca="false">D523-C523</f>
        <v>1</v>
      </c>
      <c r="X523" s="3" t="str">
        <f aca="false">TEXT(C523,"mmmm")</f>
        <v>January</v>
      </c>
      <c r="Y523" s="3" t="str">
        <f aca="false">LEFT(G523,1)&amp;MID(G523,FIND(" ",G523)+1,1)</f>
        <v>WT</v>
      </c>
    </row>
    <row r="524" customFormat="false" ht="15" hidden="false" customHeight="false" outlineLevel="0" collapsed="false">
      <c r="A524" s="3" t="n">
        <v>523</v>
      </c>
      <c r="B524" s="3" t="s">
        <v>1586</v>
      </c>
      <c r="C524" s="4" t="s">
        <v>1581</v>
      </c>
      <c r="D524" s="4" t="s">
        <v>1587</v>
      </c>
      <c r="E524" s="3" t="s">
        <v>28</v>
      </c>
      <c r="F524" s="3" t="s">
        <v>1588</v>
      </c>
      <c r="G524" s="3" t="s">
        <v>1589</v>
      </c>
      <c r="H524" s="3" t="s">
        <v>31</v>
      </c>
      <c r="I524" s="3" t="s">
        <v>32</v>
      </c>
      <c r="J524" s="3" t="s">
        <v>67</v>
      </c>
      <c r="K524" s="3" t="s">
        <v>68</v>
      </c>
      <c r="L524" s="3" t="s">
        <v>69</v>
      </c>
      <c r="M524" s="3" t="s">
        <v>121</v>
      </c>
      <c r="N524" s="3" t="s">
        <v>49</v>
      </c>
      <c r="O524" s="3" t="s">
        <v>50</v>
      </c>
      <c r="P524" s="3" t="s">
        <v>122</v>
      </c>
      <c r="Q524" s="5" t="n">
        <v>697.58</v>
      </c>
      <c r="R524" s="3" t="n">
        <v>7</v>
      </c>
      <c r="S524" s="6" t="n">
        <v>0.4</v>
      </c>
      <c r="T524" s="5" t="n">
        <v>-13.2</v>
      </c>
      <c r="U524" s="3" t="str">
        <f aca="false">IF(T524&lt;0,"Loss",IF(T524=0,"Break-even","Profit"))</f>
        <v>Loss</v>
      </c>
      <c r="V524" s="3" t="str">
        <f aca="false">IF(Q524&lt;100,"Low",IF(Q524&lt;=500,"Medium","High"))</f>
        <v>High</v>
      </c>
      <c r="W524" s="3" t="n">
        <f aca="false">D524-C524</f>
        <v>6</v>
      </c>
      <c r="X524" s="3" t="str">
        <f aca="false">TEXT(C524,"mmmm")</f>
        <v>January</v>
      </c>
      <c r="Y524" s="3" t="str">
        <f aca="false">LEFT(G524,1)&amp;MID(G524,FIND(" ",G524)+1,1)</f>
        <v>OG</v>
      </c>
    </row>
    <row r="525" customFormat="false" ht="15" hidden="false" customHeight="false" outlineLevel="0" collapsed="false">
      <c r="A525" s="3" t="n">
        <v>524</v>
      </c>
      <c r="B525" s="3" t="s">
        <v>1590</v>
      </c>
      <c r="C525" s="4" t="s">
        <v>1576</v>
      </c>
      <c r="D525" s="4" t="s">
        <v>1591</v>
      </c>
      <c r="E525" s="3" t="s">
        <v>28</v>
      </c>
      <c r="F525" s="3" t="s">
        <v>1140</v>
      </c>
      <c r="G525" s="3" t="s">
        <v>1141</v>
      </c>
      <c r="H525" s="3" t="s">
        <v>45</v>
      </c>
      <c r="I525" s="3" t="s">
        <v>32</v>
      </c>
      <c r="J525" s="3" t="s">
        <v>663</v>
      </c>
      <c r="K525" s="3" t="s">
        <v>307</v>
      </c>
      <c r="L525" s="3" t="s">
        <v>69</v>
      </c>
      <c r="M525" s="3" t="s">
        <v>36</v>
      </c>
      <c r="N525" s="3" t="s">
        <v>37</v>
      </c>
      <c r="O525" s="3" t="s">
        <v>38</v>
      </c>
      <c r="P525" s="3" t="s">
        <v>39</v>
      </c>
      <c r="Q525" s="5" t="n">
        <v>2401.92</v>
      </c>
      <c r="R525" s="3" t="n">
        <v>11</v>
      </c>
      <c r="S525" s="6" t="n">
        <v>0</v>
      </c>
      <c r="T525" s="5" t="n">
        <v>28.63</v>
      </c>
      <c r="U525" s="3" t="str">
        <f aca="false">IF(T525&lt;0,"Loss",IF(T525=0,"Break-even","Profit"))</f>
        <v>Profit</v>
      </c>
      <c r="V525" s="3" t="str">
        <f aca="false">IF(Q525&lt;100,"Low",IF(Q525&lt;=500,"Medium","High"))</f>
        <v>High</v>
      </c>
      <c r="W525" s="3" t="n">
        <f aca="false">D525-C525</f>
        <v>7</v>
      </c>
      <c r="X525" s="3" t="str">
        <f aca="false">TEXT(C525,"mmmm")</f>
        <v>January</v>
      </c>
      <c r="Y525" s="3" t="str">
        <f aca="false">LEFT(G525,1)&amp;MID(G525,FIND(" ",G525)+1,1)</f>
        <v>MS</v>
      </c>
    </row>
    <row r="526" customFormat="false" ht="15" hidden="false" customHeight="false" outlineLevel="0" collapsed="false">
      <c r="A526" s="3" t="n">
        <v>525</v>
      </c>
      <c r="B526" s="3" t="s">
        <v>1592</v>
      </c>
      <c r="C526" s="4" t="s">
        <v>1576</v>
      </c>
      <c r="D526" s="4" t="s">
        <v>1593</v>
      </c>
      <c r="E526" s="3" t="s">
        <v>28</v>
      </c>
      <c r="F526" s="3" t="s">
        <v>1594</v>
      </c>
      <c r="G526" s="3" t="s">
        <v>1595</v>
      </c>
      <c r="H526" s="3" t="s">
        <v>45</v>
      </c>
      <c r="I526" s="3" t="s">
        <v>32</v>
      </c>
      <c r="J526" s="3" t="s">
        <v>95</v>
      </c>
      <c r="K526" s="3" t="s">
        <v>96</v>
      </c>
      <c r="L526" s="3" t="s">
        <v>59</v>
      </c>
      <c r="M526" s="3" t="s">
        <v>219</v>
      </c>
      <c r="N526" s="3" t="s">
        <v>49</v>
      </c>
      <c r="O526" s="3" t="s">
        <v>220</v>
      </c>
      <c r="P526" s="3" t="s">
        <v>221</v>
      </c>
      <c r="Q526" s="5" t="n">
        <v>54.11</v>
      </c>
      <c r="R526" s="3" t="n">
        <v>13</v>
      </c>
      <c r="S526" s="6" t="n">
        <v>0</v>
      </c>
      <c r="T526" s="5" t="n">
        <v>-0.16</v>
      </c>
      <c r="U526" s="3" t="str">
        <f aca="false">IF(T526&lt;0,"Loss",IF(T526=0,"Break-even","Profit"))</f>
        <v>Loss</v>
      </c>
      <c r="V526" s="3" t="str">
        <f aca="false">IF(Q526&lt;100,"Low",IF(Q526&lt;=500,"Medium","High"))</f>
        <v>Low</v>
      </c>
      <c r="W526" s="3" t="n">
        <f aca="false">D526-C526</f>
        <v>6</v>
      </c>
      <c r="X526" s="3" t="str">
        <f aca="false">TEXT(C526,"mmmm")</f>
        <v>January</v>
      </c>
      <c r="Y526" s="3" t="str">
        <f aca="false">LEFT(G526,1)&amp;MID(G526,FIND(" ",G526)+1,1)</f>
        <v>CM</v>
      </c>
    </row>
    <row r="527" customFormat="false" ht="15" hidden="false" customHeight="false" outlineLevel="0" collapsed="false">
      <c r="A527" s="3" t="n">
        <v>526</v>
      </c>
      <c r="B527" s="3" t="s">
        <v>1596</v>
      </c>
      <c r="C527" s="4" t="s">
        <v>1576</v>
      </c>
      <c r="D527" s="4" t="s">
        <v>1597</v>
      </c>
      <c r="E527" s="3" t="s">
        <v>28</v>
      </c>
      <c r="F527" s="3" t="s">
        <v>542</v>
      </c>
      <c r="G527" s="3" t="s">
        <v>543</v>
      </c>
      <c r="H527" s="3" t="s">
        <v>56</v>
      </c>
      <c r="I527" s="3" t="s">
        <v>32</v>
      </c>
      <c r="J527" s="3" t="s">
        <v>133</v>
      </c>
      <c r="K527" s="3" t="s">
        <v>134</v>
      </c>
      <c r="L527" s="3" t="s">
        <v>69</v>
      </c>
      <c r="M527" s="3" t="s">
        <v>70</v>
      </c>
      <c r="N527" s="3" t="s">
        <v>37</v>
      </c>
      <c r="O527" s="3" t="s">
        <v>71</v>
      </c>
      <c r="P527" s="3" t="s">
        <v>72</v>
      </c>
      <c r="Q527" s="5" t="n">
        <v>6201.78</v>
      </c>
      <c r="R527" s="3" t="n">
        <v>9</v>
      </c>
      <c r="S527" s="6" t="n">
        <v>0</v>
      </c>
      <c r="T527" s="5" t="n">
        <v>75.93</v>
      </c>
      <c r="U527" s="3" t="str">
        <f aca="false">IF(T527&lt;0,"Loss",IF(T527=0,"Break-even","Profit"))</f>
        <v>Profit</v>
      </c>
      <c r="V527" s="3" t="str">
        <f aca="false">IF(Q527&lt;100,"Low",IF(Q527&lt;=500,"Medium","High"))</f>
        <v>High</v>
      </c>
      <c r="W527" s="3" t="n">
        <f aca="false">D527-C527</f>
        <v>4</v>
      </c>
      <c r="X527" s="3" t="str">
        <f aca="false">TEXT(C527,"mmmm")</f>
        <v>January</v>
      </c>
      <c r="Y527" s="3" t="str">
        <f aca="false">LEFT(G527,1)&amp;MID(G527,FIND(" ",G527)+1,1)</f>
        <v>WM</v>
      </c>
    </row>
    <row r="528" customFormat="false" ht="15" hidden="false" customHeight="false" outlineLevel="0" collapsed="false">
      <c r="A528" s="3" t="n">
        <v>527</v>
      </c>
      <c r="B528" s="3" t="s">
        <v>1598</v>
      </c>
      <c r="C528" s="4" t="s">
        <v>1576</v>
      </c>
      <c r="D528" s="4" t="s">
        <v>1597</v>
      </c>
      <c r="E528" s="3" t="s">
        <v>28</v>
      </c>
      <c r="F528" s="3" t="s">
        <v>1599</v>
      </c>
      <c r="G528" s="3" t="s">
        <v>1600</v>
      </c>
      <c r="H528" s="3" t="s">
        <v>31</v>
      </c>
      <c r="I528" s="3" t="s">
        <v>32</v>
      </c>
      <c r="J528" s="3" t="s">
        <v>548</v>
      </c>
      <c r="K528" s="3" t="s">
        <v>244</v>
      </c>
      <c r="L528" s="3" t="s">
        <v>157</v>
      </c>
      <c r="M528" s="3" t="s">
        <v>105</v>
      </c>
      <c r="N528" s="3" t="s">
        <v>49</v>
      </c>
      <c r="O528" s="3" t="s">
        <v>106</v>
      </c>
      <c r="P528" s="3" t="s">
        <v>107</v>
      </c>
      <c r="Q528" s="5" t="n">
        <v>1044.54</v>
      </c>
      <c r="R528" s="3" t="n">
        <v>9</v>
      </c>
      <c r="S528" s="6" t="n">
        <v>0.1</v>
      </c>
      <c r="T528" s="5" t="n">
        <v>-196.72</v>
      </c>
      <c r="U528" s="3" t="str">
        <f aca="false">IF(T528&lt;0,"Loss",IF(T528=0,"Break-even","Profit"))</f>
        <v>Loss</v>
      </c>
      <c r="V528" s="3" t="str">
        <f aca="false">IF(Q528&lt;100,"Low",IF(Q528&lt;=500,"Medium","High"))</f>
        <v>High</v>
      </c>
      <c r="W528" s="3" t="n">
        <f aca="false">D528-C528</f>
        <v>4</v>
      </c>
      <c r="X528" s="3" t="str">
        <f aca="false">TEXT(C528,"mmmm")</f>
        <v>January</v>
      </c>
      <c r="Y528" s="3" t="str">
        <f aca="false">LEFT(G528,1)&amp;MID(G528,FIND(" ",G528)+1,1)</f>
        <v>JA</v>
      </c>
    </row>
    <row r="529" customFormat="false" ht="15" hidden="false" customHeight="false" outlineLevel="0" collapsed="false">
      <c r="A529" s="3" t="n">
        <v>528</v>
      </c>
      <c r="B529" s="3" t="s">
        <v>1601</v>
      </c>
      <c r="C529" s="4" t="s">
        <v>1576</v>
      </c>
      <c r="D529" s="4" t="s">
        <v>1576</v>
      </c>
      <c r="E529" s="3" t="s">
        <v>53</v>
      </c>
      <c r="F529" s="3" t="s">
        <v>438</v>
      </c>
      <c r="G529" s="3" t="s">
        <v>439</v>
      </c>
      <c r="H529" s="3" t="s">
        <v>56</v>
      </c>
      <c r="I529" s="3" t="s">
        <v>32</v>
      </c>
      <c r="J529" s="3" t="s">
        <v>95</v>
      </c>
      <c r="K529" s="3" t="s">
        <v>96</v>
      </c>
      <c r="L529" s="3" t="s">
        <v>59</v>
      </c>
      <c r="M529" s="3" t="s">
        <v>253</v>
      </c>
      <c r="N529" s="3" t="s">
        <v>89</v>
      </c>
      <c r="O529" s="3" t="s">
        <v>90</v>
      </c>
      <c r="P529" s="3" t="s">
        <v>254</v>
      </c>
      <c r="Q529" s="5" t="n">
        <v>384.23</v>
      </c>
      <c r="R529" s="3" t="n">
        <v>2</v>
      </c>
      <c r="S529" s="6" t="n">
        <v>0</v>
      </c>
      <c r="T529" s="5" t="n">
        <v>128.12</v>
      </c>
      <c r="U529" s="3" t="str">
        <f aca="false">IF(T529&lt;0,"Loss",IF(T529=0,"Break-even","Profit"))</f>
        <v>Profit</v>
      </c>
      <c r="V529" s="3" t="str">
        <f aca="false">IF(Q529&lt;100,"Low",IF(Q529&lt;=500,"Medium","High"))</f>
        <v>Medium</v>
      </c>
      <c r="W529" s="3" t="n">
        <f aca="false">D529-C529</f>
        <v>0</v>
      </c>
      <c r="X529" s="3" t="str">
        <f aca="false">TEXT(C529,"mmmm")</f>
        <v>January</v>
      </c>
      <c r="Y529" s="3" t="str">
        <f aca="false">LEFT(G529,1)&amp;MID(G529,FIND(" ",G529)+1,1)</f>
        <v>JB</v>
      </c>
    </row>
    <row r="530" customFormat="false" ht="15" hidden="false" customHeight="false" outlineLevel="0" collapsed="false">
      <c r="A530" s="3" t="n">
        <v>529</v>
      </c>
      <c r="B530" s="3" t="s">
        <v>1602</v>
      </c>
      <c r="C530" s="4" t="s">
        <v>1578</v>
      </c>
      <c r="D530" s="4" t="s">
        <v>1591</v>
      </c>
      <c r="E530" s="3" t="s">
        <v>84</v>
      </c>
      <c r="F530" s="3" t="s">
        <v>313</v>
      </c>
      <c r="G530" s="3" t="s">
        <v>314</v>
      </c>
      <c r="H530" s="3" t="s">
        <v>31</v>
      </c>
      <c r="I530" s="3" t="s">
        <v>32</v>
      </c>
      <c r="J530" s="3" t="s">
        <v>112</v>
      </c>
      <c r="K530" s="3" t="s">
        <v>113</v>
      </c>
      <c r="L530" s="3" t="s">
        <v>69</v>
      </c>
      <c r="M530" s="3" t="s">
        <v>461</v>
      </c>
      <c r="N530" s="3" t="s">
        <v>37</v>
      </c>
      <c r="O530" s="3" t="s">
        <v>71</v>
      </c>
      <c r="P530" s="3" t="s">
        <v>462</v>
      </c>
      <c r="Q530" s="5" t="n">
        <v>8834.47</v>
      </c>
      <c r="R530" s="3" t="n">
        <v>7</v>
      </c>
      <c r="S530" s="6" t="n">
        <v>0</v>
      </c>
      <c r="T530" s="5" t="n">
        <v>512.71</v>
      </c>
      <c r="U530" s="3" t="str">
        <f aca="false">IF(T530&lt;0,"Loss",IF(T530=0,"Break-even","Profit"))</f>
        <v>Profit</v>
      </c>
      <c r="V530" s="3" t="str">
        <f aca="false">IF(Q530&lt;100,"Low",IF(Q530&lt;=500,"Medium","High"))</f>
        <v>High</v>
      </c>
      <c r="W530" s="3" t="n">
        <f aca="false">D530-C530</f>
        <v>4</v>
      </c>
      <c r="X530" s="3" t="str">
        <f aca="false">TEXT(C530,"mmmm")</f>
        <v>January</v>
      </c>
      <c r="Y530" s="3" t="str">
        <f aca="false">LEFT(G530,1)&amp;MID(G530,FIND(" ",G530)+1,1)</f>
        <v>JK</v>
      </c>
    </row>
    <row r="531" customFormat="false" ht="15" hidden="false" customHeight="false" outlineLevel="0" collapsed="false">
      <c r="A531" s="3" t="n">
        <v>530</v>
      </c>
      <c r="B531" s="3" t="s">
        <v>1603</v>
      </c>
      <c r="C531" s="4" t="s">
        <v>1578</v>
      </c>
      <c r="D531" s="4" t="s">
        <v>1593</v>
      </c>
      <c r="E531" s="3" t="s">
        <v>28</v>
      </c>
      <c r="F531" s="3" t="s">
        <v>780</v>
      </c>
      <c r="G531" s="3" t="s">
        <v>781</v>
      </c>
      <c r="H531" s="3" t="s">
        <v>56</v>
      </c>
      <c r="I531" s="3" t="s">
        <v>32</v>
      </c>
      <c r="J531" s="3" t="s">
        <v>171</v>
      </c>
      <c r="K531" s="3" t="s">
        <v>172</v>
      </c>
      <c r="L531" s="3" t="s">
        <v>157</v>
      </c>
      <c r="M531" s="3" t="s">
        <v>470</v>
      </c>
      <c r="N531" s="3" t="s">
        <v>49</v>
      </c>
      <c r="O531" s="3" t="s">
        <v>159</v>
      </c>
      <c r="P531" s="3" t="s">
        <v>471</v>
      </c>
      <c r="Q531" s="5" t="n">
        <v>40.24</v>
      </c>
      <c r="R531" s="3" t="n">
        <v>1</v>
      </c>
      <c r="S531" s="6" t="n">
        <v>0.1</v>
      </c>
      <c r="T531" s="5" t="n">
        <v>-8.87</v>
      </c>
      <c r="U531" s="3" t="str">
        <f aca="false">IF(T531&lt;0,"Loss",IF(T531=0,"Break-even","Profit"))</f>
        <v>Loss</v>
      </c>
      <c r="V531" s="3" t="str">
        <f aca="false">IF(Q531&lt;100,"Low",IF(Q531&lt;=500,"Medium","High"))</f>
        <v>Low</v>
      </c>
      <c r="W531" s="3" t="n">
        <f aca="false">D531-C531</f>
        <v>3</v>
      </c>
      <c r="X531" s="3" t="str">
        <f aca="false">TEXT(C531,"mmmm")</f>
        <v>January</v>
      </c>
      <c r="Y531" s="3" t="str">
        <f aca="false">LEFT(G531,1)&amp;MID(G531,FIND(" ",G531)+1,1)</f>
        <v>LT</v>
      </c>
    </row>
    <row r="532" customFormat="false" ht="15" hidden="false" customHeight="false" outlineLevel="0" collapsed="false">
      <c r="A532" s="3" t="n">
        <v>531</v>
      </c>
      <c r="B532" s="3" t="s">
        <v>1604</v>
      </c>
      <c r="C532" s="4" t="s">
        <v>1597</v>
      </c>
      <c r="D532" s="4" t="s">
        <v>1593</v>
      </c>
      <c r="E532" s="3" t="s">
        <v>84</v>
      </c>
      <c r="F532" s="3" t="s">
        <v>808</v>
      </c>
      <c r="G532" s="3" t="s">
        <v>809</v>
      </c>
      <c r="H532" s="3" t="s">
        <v>56</v>
      </c>
      <c r="I532" s="3" t="s">
        <v>32</v>
      </c>
      <c r="J532" s="3" t="s">
        <v>476</v>
      </c>
      <c r="K532" s="3" t="s">
        <v>366</v>
      </c>
      <c r="L532" s="3" t="s">
        <v>157</v>
      </c>
      <c r="M532" s="3" t="s">
        <v>173</v>
      </c>
      <c r="N532" s="3" t="s">
        <v>89</v>
      </c>
      <c r="O532" s="3" t="s">
        <v>174</v>
      </c>
      <c r="P532" s="3" t="s">
        <v>175</v>
      </c>
      <c r="Q532" s="5" t="n">
        <v>3097.13</v>
      </c>
      <c r="R532" s="3" t="n">
        <v>5</v>
      </c>
      <c r="S532" s="6" t="n">
        <v>0.1</v>
      </c>
      <c r="T532" s="5" t="n">
        <v>728.28</v>
      </c>
      <c r="U532" s="3" t="str">
        <f aca="false">IF(T532&lt;0,"Loss",IF(T532=0,"Break-even","Profit"))</f>
        <v>Profit</v>
      </c>
      <c r="V532" s="3" t="str">
        <f aca="false">IF(Q532&lt;100,"Low",IF(Q532&lt;=500,"Medium","High"))</f>
        <v>High</v>
      </c>
      <c r="W532" s="3" t="n">
        <f aca="false">D532-C532</f>
        <v>2</v>
      </c>
      <c r="X532" s="3" t="str">
        <f aca="false">TEXT(C532,"mmmm")</f>
        <v>January</v>
      </c>
      <c r="Y532" s="3" t="str">
        <f aca="false">LEFT(G532,1)&amp;MID(G532,FIND(" ",G532)+1,1)</f>
        <v>ET</v>
      </c>
    </row>
    <row r="533" customFormat="false" ht="15" hidden="false" customHeight="false" outlineLevel="0" collapsed="false">
      <c r="A533" s="3" t="n">
        <v>532</v>
      </c>
      <c r="B533" s="3" t="s">
        <v>1605</v>
      </c>
      <c r="C533" s="4" t="s">
        <v>1587</v>
      </c>
      <c r="D533" s="4" t="s">
        <v>1606</v>
      </c>
      <c r="E533" s="3" t="s">
        <v>84</v>
      </c>
      <c r="F533" s="3" t="s">
        <v>957</v>
      </c>
      <c r="G533" s="3" t="s">
        <v>958</v>
      </c>
      <c r="H533" s="3" t="s">
        <v>56</v>
      </c>
      <c r="I533" s="3" t="s">
        <v>32</v>
      </c>
      <c r="J533" s="3" t="s">
        <v>57</v>
      </c>
      <c r="K533" s="3" t="s">
        <v>58</v>
      </c>
      <c r="L533" s="3" t="s">
        <v>59</v>
      </c>
      <c r="M533" s="3" t="s">
        <v>470</v>
      </c>
      <c r="N533" s="3" t="s">
        <v>49</v>
      </c>
      <c r="O533" s="3" t="s">
        <v>159</v>
      </c>
      <c r="P533" s="3" t="s">
        <v>471</v>
      </c>
      <c r="Q533" s="5" t="n">
        <v>880.33</v>
      </c>
      <c r="R533" s="3" t="n">
        <v>13</v>
      </c>
      <c r="S533" s="6" t="n">
        <v>0.1</v>
      </c>
      <c r="T533" s="5" t="n">
        <v>139.59</v>
      </c>
      <c r="U533" s="3" t="str">
        <f aca="false">IF(T533&lt;0,"Loss",IF(T533=0,"Break-even","Profit"))</f>
        <v>Profit</v>
      </c>
      <c r="V533" s="3" t="str">
        <f aca="false">IF(Q533&lt;100,"Low",IF(Q533&lt;=500,"Medium","High"))</f>
        <v>High</v>
      </c>
      <c r="W533" s="3" t="n">
        <f aca="false">D533-C533</f>
        <v>3</v>
      </c>
      <c r="X533" s="3" t="str">
        <f aca="false">TEXT(C533,"mmmm")</f>
        <v>January</v>
      </c>
      <c r="Y533" s="3" t="str">
        <f aca="false">LEFT(G533,1)&amp;MID(G533,FIND(" ",G533)+1,1)</f>
        <v>JM</v>
      </c>
    </row>
    <row r="534" customFormat="false" ht="15" hidden="false" customHeight="false" outlineLevel="0" collapsed="false">
      <c r="A534" s="3" t="n">
        <v>533</v>
      </c>
      <c r="B534" s="3" t="s">
        <v>1607</v>
      </c>
      <c r="C534" s="4" t="s">
        <v>1593</v>
      </c>
      <c r="D534" s="4" t="s">
        <v>1608</v>
      </c>
      <c r="E534" s="3" t="s">
        <v>28</v>
      </c>
      <c r="F534" s="3" t="s">
        <v>1134</v>
      </c>
      <c r="G534" s="3" t="s">
        <v>1135</v>
      </c>
      <c r="H534" s="3" t="s">
        <v>56</v>
      </c>
      <c r="I534" s="3" t="s">
        <v>32</v>
      </c>
      <c r="J534" s="3" t="s">
        <v>95</v>
      </c>
      <c r="K534" s="3" t="s">
        <v>96</v>
      </c>
      <c r="L534" s="3" t="s">
        <v>59</v>
      </c>
      <c r="M534" s="3" t="s">
        <v>683</v>
      </c>
      <c r="N534" s="3" t="s">
        <v>37</v>
      </c>
      <c r="O534" s="3" t="s">
        <v>136</v>
      </c>
      <c r="P534" s="3" t="s">
        <v>684</v>
      </c>
      <c r="Q534" s="5" t="n">
        <v>6330.49</v>
      </c>
      <c r="R534" s="3" t="n">
        <v>4</v>
      </c>
      <c r="S534" s="6" t="n">
        <v>0</v>
      </c>
      <c r="T534" s="5" t="n">
        <v>-1532.51</v>
      </c>
      <c r="U534" s="3" t="str">
        <f aca="false">IF(T534&lt;0,"Loss",IF(T534=0,"Break-even","Profit"))</f>
        <v>Loss</v>
      </c>
      <c r="V534" s="3" t="str">
        <f aca="false">IF(Q534&lt;100,"Low",IF(Q534&lt;=500,"Medium","High"))</f>
        <v>High</v>
      </c>
      <c r="W534" s="3" t="n">
        <f aca="false">D534-C534</f>
        <v>6</v>
      </c>
      <c r="X534" s="3" t="str">
        <f aca="false">TEXT(C534,"mmmm")</f>
        <v>January</v>
      </c>
      <c r="Y534" s="3" t="str">
        <f aca="false">LEFT(G534,1)&amp;MID(G534,FIND(" ",G534)+1,1)</f>
        <v>JM</v>
      </c>
    </row>
    <row r="535" customFormat="false" ht="15" hidden="false" customHeight="false" outlineLevel="0" collapsed="false">
      <c r="A535" s="3" t="n">
        <v>534</v>
      </c>
      <c r="B535" s="3" t="s">
        <v>1609</v>
      </c>
      <c r="C535" s="4" t="s">
        <v>1593</v>
      </c>
      <c r="D535" s="4" t="s">
        <v>1591</v>
      </c>
      <c r="E535" s="3" t="s">
        <v>42</v>
      </c>
      <c r="F535" s="3" t="s">
        <v>966</v>
      </c>
      <c r="G535" s="3" t="s">
        <v>967</v>
      </c>
      <c r="H535" s="3" t="s">
        <v>56</v>
      </c>
      <c r="I535" s="3" t="s">
        <v>32</v>
      </c>
      <c r="J535" s="3" t="s">
        <v>33</v>
      </c>
      <c r="K535" s="3" t="s">
        <v>34</v>
      </c>
      <c r="L535" s="3" t="s">
        <v>35</v>
      </c>
      <c r="M535" s="3" t="s">
        <v>135</v>
      </c>
      <c r="N535" s="3" t="s">
        <v>37</v>
      </c>
      <c r="O535" s="3" t="s">
        <v>136</v>
      </c>
      <c r="P535" s="3" t="s">
        <v>137</v>
      </c>
      <c r="Q535" s="5" t="n">
        <v>13057.24</v>
      </c>
      <c r="R535" s="3" t="n">
        <v>8</v>
      </c>
      <c r="S535" s="6" t="n">
        <v>0</v>
      </c>
      <c r="T535" s="5" t="n">
        <v>-1378.29</v>
      </c>
      <c r="U535" s="3" t="str">
        <f aca="false">IF(T535&lt;0,"Loss",IF(T535=0,"Break-even","Profit"))</f>
        <v>Loss</v>
      </c>
      <c r="V535" s="3" t="str">
        <f aca="false">IF(Q535&lt;100,"Low",IF(Q535&lt;=500,"Medium","High"))</f>
        <v>High</v>
      </c>
      <c r="W535" s="3" t="n">
        <f aca="false">D535-C535</f>
        <v>1</v>
      </c>
      <c r="X535" s="3" t="str">
        <f aca="false">TEXT(C535,"mmmm")</f>
        <v>January</v>
      </c>
      <c r="Y535" s="3" t="str">
        <f aca="false">LEFT(G535,1)&amp;MID(G535,FIND(" ",G535)+1,1)</f>
        <v>RT</v>
      </c>
    </row>
    <row r="536" customFormat="false" ht="15" hidden="false" customHeight="false" outlineLevel="0" collapsed="false">
      <c r="A536" s="3" t="n">
        <v>535</v>
      </c>
      <c r="B536" s="3" t="s">
        <v>1610</v>
      </c>
      <c r="C536" s="4" t="s">
        <v>1591</v>
      </c>
      <c r="D536" s="4" t="s">
        <v>1608</v>
      </c>
      <c r="E536" s="3" t="s">
        <v>28</v>
      </c>
      <c r="F536" s="3" t="s">
        <v>423</v>
      </c>
      <c r="G536" s="3" t="s">
        <v>424</v>
      </c>
      <c r="H536" s="3" t="s">
        <v>31</v>
      </c>
      <c r="I536" s="3" t="s">
        <v>32</v>
      </c>
      <c r="J536" s="3" t="s">
        <v>77</v>
      </c>
      <c r="K536" s="3" t="s">
        <v>78</v>
      </c>
      <c r="L536" s="3" t="s">
        <v>59</v>
      </c>
      <c r="M536" s="3" t="s">
        <v>36</v>
      </c>
      <c r="N536" s="3" t="s">
        <v>37</v>
      </c>
      <c r="O536" s="3" t="s">
        <v>38</v>
      </c>
      <c r="P536" s="3" t="s">
        <v>39</v>
      </c>
      <c r="Q536" s="5" t="n">
        <v>9198.26</v>
      </c>
      <c r="R536" s="3" t="n">
        <v>13</v>
      </c>
      <c r="S536" s="6" t="n">
        <v>0.1</v>
      </c>
      <c r="T536" s="5" t="n">
        <v>-1042.42</v>
      </c>
      <c r="U536" s="3" t="str">
        <f aca="false">IF(T536&lt;0,"Loss",IF(T536=0,"Break-even","Profit"))</f>
        <v>Loss</v>
      </c>
      <c r="V536" s="3" t="str">
        <f aca="false">IF(Q536&lt;100,"Low",IF(Q536&lt;=500,"Medium","High"))</f>
        <v>High</v>
      </c>
      <c r="W536" s="3" t="n">
        <f aca="false">D536-C536</f>
        <v>5</v>
      </c>
      <c r="X536" s="3" t="str">
        <f aca="false">TEXT(C536,"mmmm")</f>
        <v>January</v>
      </c>
      <c r="Y536" s="3" t="str">
        <f aca="false">LEFT(G536,1)&amp;MID(G536,FIND(" ",G536)+1,1)</f>
        <v>MC</v>
      </c>
    </row>
    <row r="537" customFormat="false" ht="15" hidden="false" customHeight="false" outlineLevel="0" collapsed="false">
      <c r="A537" s="3" t="n">
        <v>536</v>
      </c>
      <c r="B537" s="3" t="s">
        <v>1611</v>
      </c>
      <c r="C537" s="4" t="s">
        <v>1606</v>
      </c>
      <c r="D537" s="4" t="s">
        <v>1612</v>
      </c>
      <c r="E537" s="3" t="s">
        <v>42</v>
      </c>
      <c r="F537" s="3" t="s">
        <v>1613</v>
      </c>
      <c r="G537" s="3" t="s">
        <v>1614</v>
      </c>
      <c r="H537" s="3" t="s">
        <v>56</v>
      </c>
      <c r="I537" s="3" t="s">
        <v>32</v>
      </c>
      <c r="J537" s="3" t="s">
        <v>77</v>
      </c>
      <c r="K537" s="3" t="s">
        <v>78</v>
      </c>
      <c r="L537" s="3" t="s">
        <v>59</v>
      </c>
      <c r="M537" s="3" t="s">
        <v>190</v>
      </c>
      <c r="N537" s="3" t="s">
        <v>49</v>
      </c>
      <c r="O537" s="3" t="s">
        <v>150</v>
      </c>
      <c r="P537" s="3" t="s">
        <v>191</v>
      </c>
      <c r="Q537" s="5" t="n">
        <v>1393.73</v>
      </c>
      <c r="R537" s="3" t="n">
        <v>13</v>
      </c>
      <c r="S537" s="6" t="n">
        <v>0</v>
      </c>
      <c r="T537" s="5" t="n">
        <v>-167.88</v>
      </c>
      <c r="U537" s="3" t="str">
        <f aca="false">IF(T537&lt;0,"Loss",IF(T537=0,"Break-even","Profit"))</f>
        <v>Loss</v>
      </c>
      <c r="V537" s="3" t="str">
        <f aca="false">IF(Q537&lt;100,"Low",IF(Q537&lt;=500,"Medium","High"))</f>
        <v>High</v>
      </c>
      <c r="W537" s="3" t="n">
        <f aca="false">D537-C537</f>
        <v>1</v>
      </c>
      <c r="X537" s="3" t="str">
        <f aca="false">TEXT(C537,"mmmm")</f>
        <v>January</v>
      </c>
      <c r="Y537" s="3" t="str">
        <f aca="false">LEFT(G537,1)&amp;MID(G537,FIND(" ",G537)+1,1)</f>
        <v>PN</v>
      </c>
    </row>
    <row r="538" customFormat="false" ht="15" hidden="false" customHeight="false" outlineLevel="0" collapsed="false">
      <c r="A538" s="3" t="n">
        <v>537</v>
      </c>
      <c r="B538" s="3" t="s">
        <v>1615</v>
      </c>
      <c r="C538" s="4" t="s">
        <v>1616</v>
      </c>
      <c r="D538" s="4" t="s">
        <v>1617</v>
      </c>
      <c r="E538" s="3" t="s">
        <v>28</v>
      </c>
      <c r="F538" s="3" t="s">
        <v>597</v>
      </c>
      <c r="G538" s="3" t="s">
        <v>598</v>
      </c>
      <c r="H538" s="3" t="s">
        <v>56</v>
      </c>
      <c r="I538" s="3" t="s">
        <v>32</v>
      </c>
      <c r="J538" s="3" t="s">
        <v>476</v>
      </c>
      <c r="K538" s="3" t="s">
        <v>366</v>
      </c>
      <c r="L538" s="3" t="s">
        <v>157</v>
      </c>
      <c r="M538" s="3" t="s">
        <v>114</v>
      </c>
      <c r="N538" s="3" t="s">
        <v>49</v>
      </c>
      <c r="O538" s="3" t="s">
        <v>61</v>
      </c>
      <c r="P538" s="3" t="s">
        <v>115</v>
      </c>
      <c r="Q538" s="5" t="n">
        <v>13.88</v>
      </c>
      <c r="R538" s="3" t="n">
        <v>5</v>
      </c>
      <c r="S538" s="6" t="n">
        <v>0.2</v>
      </c>
      <c r="T538" s="5" t="n">
        <v>-3.55</v>
      </c>
      <c r="U538" s="3" t="str">
        <f aca="false">IF(T538&lt;0,"Loss",IF(T538=0,"Break-even","Profit"))</f>
        <v>Loss</v>
      </c>
      <c r="V538" s="3" t="str">
        <f aca="false">IF(Q538&lt;100,"Low",IF(Q538&lt;=500,"Medium","High"))</f>
        <v>Low</v>
      </c>
      <c r="W538" s="3" t="n">
        <f aca="false">D538-C538</f>
        <v>4</v>
      </c>
      <c r="X538" s="3" t="str">
        <f aca="false">TEXT(C538,"mmmm")</f>
        <v>January</v>
      </c>
      <c r="Y538" s="3" t="str">
        <f aca="false">LEFT(G538,1)&amp;MID(G538,FIND(" ",G538)+1,1)</f>
        <v>OK</v>
      </c>
    </row>
    <row r="539" customFormat="false" ht="15" hidden="false" customHeight="false" outlineLevel="0" collapsed="false">
      <c r="A539" s="3" t="n">
        <v>538</v>
      </c>
      <c r="B539" s="3" t="s">
        <v>1618</v>
      </c>
      <c r="C539" s="4" t="s">
        <v>1619</v>
      </c>
      <c r="D539" s="4" t="s">
        <v>1619</v>
      </c>
      <c r="E539" s="3" t="s">
        <v>53</v>
      </c>
      <c r="F539" s="3" t="s">
        <v>263</v>
      </c>
      <c r="G539" s="3" t="s">
        <v>264</v>
      </c>
      <c r="H539" s="3" t="s">
        <v>45</v>
      </c>
      <c r="I539" s="3" t="s">
        <v>32</v>
      </c>
      <c r="J539" s="3" t="s">
        <v>315</v>
      </c>
      <c r="K539" s="3" t="s">
        <v>58</v>
      </c>
      <c r="L539" s="3" t="s">
        <v>59</v>
      </c>
      <c r="M539" s="3" t="s">
        <v>334</v>
      </c>
      <c r="N539" s="3" t="s">
        <v>37</v>
      </c>
      <c r="O539" s="3" t="s">
        <v>136</v>
      </c>
      <c r="P539" s="3" t="s">
        <v>335</v>
      </c>
      <c r="Q539" s="5" t="n">
        <v>19732.6</v>
      </c>
      <c r="R539" s="3" t="n">
        <v>12</v>
      </c>
      <c r="S539" s="6" t="n">
        <v>0</v>
      </c>
      <c r="T539" s="5" t="n">
        <v>-3390.12</v>
      </c>
      <c r="U539" s="3" t="str">
        <f aca="false">IF(T539&lt;0,"Loss",IF(T539=0,"Break-even","Profit"))</f>
        <v>Loss</v>
      </c>
      <c r="V539" s="3" t="str">
        <f aca="false">IF(Q539&lt;100,"Low",IF(Q539&lt;=500,"Medium","High"))</f>
        <v>High</v>
      </c>
      <c r="W539" s="3" t="n">
        <f aca="false">D539-C539</f>
        <v>0</v>
      </c>
      <c r="X539" s="3" t="str">
        <f aca="false">TEXT(C539,"mmmm")</f>
        <v>January</v>
      </c>
      <c r="Y539" s="3" t="str">
        <f aca="false">LEFT(G539,1)&amp;MID(G539,FIND(" ",G539)+1,1)</f>
        <v>MB</v>
      </c>
    </row>
    <row r="540" customFormat="false" ht="15" hidden="false" customHeight="false" outlineLevel="0" collapsed="false">
      <c r="A540" s="3" t="n">
        <v>539</v>
      </c>
      <c r="B540" s="3" t="s">
        <v>1620</v>
      </c>
      <c r="C540" s="4" t="s">
        <v>1608</v>
      </c>
      <c r="D540" s="4" t="s">
        <v>1621</v>
      </c>
      <c r="E540" s="3" t="s">
        <v>28</v>
      </c>
      <c r="F540" s="3" t="s">
        <v>1012</v>
      </c>
      <c r="G540" s="3" t="s">
        <v>1013</v>
      </c>
      <c r="H540" s="3" t="s">
        <v>56</v>
      </c>
      <c r="I540" s="3" t="s">
        <v>32</v>
      </c>
      <c r="J540" s="3" t="s">
        <v>329</v>
      </c>
      <c r="K540" s="3" t="s">
        <v>156</v>
      </c>
      <c r="L540" s="3" t="s">
        <v>157</v>
      </c>
      <c r="M540" s="3" t="s">
        <v>114</v>
      </c>
      <c r="N540" s="3" t="s">
        <v>49</v>
      </c>
      <c r="O540" s="3" t="s">
        <v>61</v>
      </c>
      <c r="P540" s="3" t="s">
        <v>115</v>
      </c>
      <c r="Q540" s="5" t="n">
        <v>615.56</v>
      </c>
      <c r="R540" s="3" t="n">
        <v>14</v>
      </c>
      <c r="S540" s="6" t="n">
        <v>0.1</v>
      </c>
      <c r="T540" s="5" t="n">
        <v>1.83</v>
      </c>
      <c r="U540" s="3" t="str">
        <f aca="false">IF(T540&lt;0,"Loss",IF(T540=0,"Break-even","Profit"))</f>
        <v>Profit</v>
      </c>
      <c r="V540" s="3" t="str">
        <f aca="false">IF(Q540&lt;100,"Low",IF(Q540&lt;=500,"Medium","High"))</f>
        <v>High</v>
      </c>
      <c r="W540" s="3" t="n">
        <f aca="false">D540-C540</f>
        <v>4</v>
      </c>
      <c r="X540" s="3" t="str">
        <f aca="false">TEXT(C540,"mmmm")</f>
        <v>January</v>
      </c>
      <c r="Y540" s="3" t="str">
        <f aca="false">LEFT(G540,1)&amp;MID(G540,FIND(" ",G540)+1,1)</f>
        <v>JD</v>
      </c>
    </row>
    <row r="541" customFormat="false" ht="15" hidden="false" customHeight="false" outlineLevel="0" collapsed="false">
      <c r="A541" s="3" t="n">
        <v>540</v>
      </c>
      <c r="B541" s="3" t="s">
        <v>1622</v>
      </c>
      <c r="C541" s="4" t="s">
        <v>1617</v>
      </c>
      <c r="D541" s="4" t="s">
        <v>1623</v>
      </c>
      <c r="E541" s="3" t="s">
        <v>28</v>
      </c>
      <c r="F541" s="3" t="s">
        <v>1624</v>
      </c>
      <c r="G541" s="3" t="s">
        <v>1625</v>
      </c>
      <c r="H541" s="3" t="s">
        <v>56</v>
      </c>
      <c r="I541" s="3" t="s">
        <v>32</v>
      </c>
      <c r="J541" s="3" t="s">
        <v>386</v>
      </c>
      <c r="K541" s="3" t="s">
        <v>387</v>
      </c>
      <c r="L541" s="3" t="s">
        <v>35</v>
      </c>
      <c r="M541" s="3" t="s">
        <v>60</v>
      </c>
      <c r="N541" s="3" t="s">
        <v>49</v>
      </c>
      <c r="O541" s="3" t="s">
        <v>61</v>
      </c>
      <c r="P541" s="3" t="s">
        <v>62</v>
      </c>
      <c r="Q541" s="5" t="n">
        <v>120.48</v>
      </c>
      <c r="R541" s="3" t="n">
        <v>2</v>
      </c>
      <c r="S541" s="6" t="n">
        <v>0</v>
      </c>
      <c r="T541" s="5" t="n">
        <v>27.67</v>
      </c>
      <c r="U541" s="3" t="str">
        <f aca="false">IF(T541&lt;0,"Loss",IF(T541=0,"Break-even","Profit"))</f>
        <v>Profit</v>
      </c>
      <c r="V541" s="3" t="str">
        <f aca="false">IF(Q541&lt;100,"Low",IF(Q541&lt;=500,"Medium","High"))</f>
        <v>Medium</v>
      </c>
      <c r="W541" s="3" t="n">
        <f aca="false">D541-C541</f>
        <v>7</v>
      </c>
      <c r="X541" s="3" t="str">
        <f aca="false">TEXT(C541,"mmmm")</f>
        <v>January</v>
      </c>
      <c r="Y541" s="3" t="str">
        <f aca="false">LEFT(G541,1)&amp;MID(G541,FIND(" ",G541)+1,1)</f>
        <v>JD</v>
      </c>
    </row>
    <row r="542" customFormat="false" ht="15" hidden="false" customHeight="false" outlineLevel="0" collapsed="false">
      <c r="A542" s="3" t="n">
        <v>541</v>
      </c>
      <c r="B542" s="3" t="s">
        <v>1626</v>
      </c>
      <c r="C542" s="4" t="s">
        <v>1617</v>
      </c>
      <c r="D542" s="4" t="s">
        <v>1627</v>
      </c>
      <c r="E542" s="3" t="s">
        <v>28</v>
      </c>
      <c r="F542" s="3" t="s">
        <v>630</v>
      </c>
      <c r="G542" s="3" t="s">
        <v>631</v>
      </c>
      <c r="H542" s="3" t="s">
        <v>31</v>
      </c>
      <c r="I542" s="3" t="s">
        <v>32</v>
      </c>
      <c r="J542" s="3" t="s">
        <v>148</v>
      </c>
      <c r="K542" s="3" t="s">
        <v>78</v>
      </c>
      <c r="L542" s="3" t="s">
        <v>59</v>
      </c>
      <c r="M542" s="3" t="s">
        <v>105</v>
      </c>
      <c r="N542" s="3" t="s">
        <v>49</v>
      </c>
      <c r="O542" s="3" t="s">
        <v>106</v>
      </c>
      <c r="P542" s="3" t="s">
        <v>107</v>
      </c>
      <c r="Q542" s="5" t="n">
        <v>755.7</v>
      </c>
      <c r="R542" s="3" t="n">
        <v>8</v>
      </c>
      <c r="S542" s="6" t="n">
        <v>0.1</v>
      </c>
      <c r="T542" s="5" t="n">
        <v>-182.99</v>
      </c>
      <c r="U542" s="3" t="str">
        <f aca="false">IF(T542&lt;0,"Loss",IF(T542=0,"Break-even","Profit"))</f>
        <v>Loss</v>
      </c>
      <c r="V542" s="3" t="str">
        <f aca="false">IF(Q542&lt;100,"Low",IF(Q542&lt;=500,"Medium","High"))</f>
        <v>High</v>
      </c>
      <c r="W542" s="3" t="n">
        <f aca="false">D542-C542</f>
        <v>6</v>
      </c>
      <c r="X542" s="3" t="str">
        <f aca="false">TEXT(C542,"mmmm")</f>
        <v>January</v>
      </c>
      <c r="Y542" s="3" t="str">
        <f aca="false">LEFT(G542,1)&amp;MID(G542,FIND(" ",G542)+1,1)</f>
        <v>SK</v>
      </c>
    </row>
    <row r="543" customFormat="false" ht="15" hidden="false" customHeight="false" outlineLevel="0" collapsed="false">
      <c r="A543" s="3" t="n">
        <v>542</v>
      </c>
      <c r="B543" s="3" t="s">
        <v>1628</v>
      </c>
      <c r="C543" s="4" t="s">
        <v>1629</v>
      </c>
      <c r="D543" s="4" t="s">
        <v>1630</v>
      </c>
      <c r="E543" s="3" t="s">
        <v>28</v>
      </c>
      <c r="F543" s="3" t="s">
        <v>1631</v>
      </c>
      <c r="G543" s="3" t="s">
        <v>1632</v>
      </c>
      <c r="H543" s="3" t="s">
        <v>56</v>
      </c>
      <c r="I543" s="3" t="s">
        <v>32</v>
      </c>
      <c r="J543" s="3" t="s">
        <v>306</v>
      </c>
      <c r="K543" s="3" t="s">
        <v>307</v>
      </c>
      <c r="L543" s="3" t="s">
        <v>69</v>
      </c>
      <c r="M543" s="3" t="s">
        <v>209</v>
      </c>
      <c r="N543" s="3" t="s">
        <v>49</v>
      </c>
      <c r="O543" s="3" t="s">
        <v>106</v>
      </c>
      <c r="P543" s="3" t="s">
        <v>210</v>
      </c>
      <c r="Q543" s="5" t="n">
        <v>451.53</v>
      </c>
      <c r="R543" s="3" t="n">
        <v>11</v>
      </c>
      <c r="S543" s="6" t="n">
        <v>0</v>
      </c>
      <c r="T543" s="5" t="n">
        <v>82.38</v>
      </c>
      <c r="U543" s="3" t="str">
        <f aca="false">IF(T543&lt;0,"Loss",IF(T543=0,"Break-even","Profit"))</f>
        <v>Profit</v>
      </c>
      <c r="V543" s="3" t="str">
        <f aca="false">IF(Q543&lt;100,"Low",IF(Q543&lt;=500,"Medium","High"))</f>
        <v>Medium</v>
      </c>
      <c r="W543" s="3" t="n">
        <f aca="false">D543-C543</f>
        <v>7</v>
      </c>
      <c r="X543" s="3" t="str">
        <f aca="false">TEXT(C543,"mmmm")</f>
        <v>January</v>
      </c>
      <c r="Y543" s="3" t="str">
        <f aca="false">LEFT(G543,1)&amp;MID(G543,FIND(" ",G543)+1,1)</f>
        <v>AK</v>
      </c>
    </row>
    <row r="544" customFormat="false" ht="15" hidden="false" customHeight="false" outlineLevel="0" collapsed="false">
      <c r="A544" s="3" t="n">
        <v>543</v>
      </c>
      <c r="B544" s="3" t="s">
        <v>1633</v>
      </c>
      <c r="C544" s="4" t="s">
        <v>1629</v>
      </c>
      <c r="D544" s="4" t="s">
        <v>1627</v>
      </c>
      <c r="E544" s="3" t="s">
        <v>28</v>
      </c>
      <c r="F544" s="3" t="s">
        <v>1468</v>
      </c>
      <c r="G544" s="3" t="s">
        <v>1469</v>
      </c>
      <c r="H544" s="3" t="s">
        <v>45</v>
      </c>
      <c r="I544" s="3" t="s">
        <v>32</v>
      </c>
      <c r="J544" s="3" t="s">
        <v>104</v>
      </c>
      <c r="K544" s="3" t="s">
        <v>96</v>
      </c>
      <c r="L544" s="3" t="s">
        <v>59</v>
      </c>
      <c r="M544" s="3" t="s">
        <v>420</v>
      </c>
      <c r="N544" s="3" t="s">
        <v>49</v>
      </c>
      <c r="O544" s="3" t="s">
        <v>80</v>
      </c>
      <c r="P544" s="3" t="s">
        <v>421</v>
      </c>
      <c r="Q544" s="5" t="n">
        <v>735.13</v>
      </c>
      <c r="R544" s="3" t="n">
        <v>7</v>
      </c>
      <c r="S544" s="6" t="n">
        <v>0</v>
      </c>
      <c r="T544" s="5" t="n">
        <v>133.09</v>
      </c>
      <c r="U544" s="3" t="str">
        <f aca="false">IF(T544&lt;0,"Loss",IF(T544=0,"Break-even","Profit"))</f>
        <v>Profit</v>
      </c>
      <c r="V544" s="3" t="str">
        <f aca="false">IF(Q544&lt;100,"Low",IF(Q544&lt;=500,"Medium","High"))</f>
        <v>High</v>
      </c>
      <c r="W544" s="3" t="n">
        <f aca="false">D544-C544</f>
        <v>5</v>
      </c>
      <c r="X544" s="3" t="str">
        <f aca="false">TEXT(C544,"mmmm")</f>
        <v>January</v>
      </c>
      <c r="Y544" s="3" t="str">
        <f aca="false">LEFT(G544,1)&amp;MID(G544,FIND(" ",G544)+1,1)</f>
        <v>EK</v>
      </c>
    </row>
    <row r="545" customFormat="false" ht="15" hidden="false" customHeight="false" outlineLevel="0" collapsed="false">
      <c r="A545" s="3" t="n">
        <v>544</v>
      </c>
      <c r="B545" s="3" t="s">
        <v>1634</v>
      </c>
      <c r="C545" s="4" t="s">
        <v>1635</v>
      </c>
      <c r="D545" s="4" t="s">
        <v>1623</v>
      </c>
      <c r="E545" s="3" t="s">
        <v>84</v>
      </c>
      <c r="F545" s="3" t="s">
        <v>1401</v>
      </c>
      <c r="G545" s="3" t="s">
        <v>1402</v>
      </c>
      <c r="H545" s="3" t="s">
        <v>56</v>
      </c>
      <c r="I545" s="3" t="s">
        <v>32</v>
      </c>
      <c r="J545" s="3" t="s">
        <v>120</v>
      </c>
      <c r="K545" s="3" t="s">
        <v>113</v>
      </c>
      <c r="L545" s="3" t="s">
        <v>69</v>
      </c>
      <c r="M545" s="3" t="s">
        <v>114</v>
      </c>
      <c r="N545" s="3" t="s">
        <v>49</v>
      </c>
      <c r="O545" s="3" t="s">
        <v>61</v>
      </c>
      <c r="P545" s="3" t="s">
        <v>115</v>
      </c>
      <c r="Q545" s="5" t="n">
        <v>195.8</v>
      </c>
      <c r="R545" s="3" t="n">
        <v>7</v>
      </c>
      <c r="S545" s="6" t="n">
        <v>0</v>
      </c>
      <c r="T545" s="5" t="n">
        <v>24.35</v>
      </c>
      <c r="U545" s="3" t="str">
        <f aca="false">IF(T545&lt;0,"Loss",IF(T545=0,"Break-even","Profit"))</f>
        <v>Profit</v>
      </c>
      <c r="V545" s="3" t="str">
        <f aca="false">IF(Q545&lt;100,"Low",IF(Q545&lt;=500,"Medium","High"))</f>
        <v>Medium</v>
      </c>
      <c r="W545" s="3" t="n">
        <f aca="false">D545-C545</f>
        <v>3</v>
      </c>
      <c r="X545" s="3" t="str">
        <f aca="false">TEXT(C545,"mmmm")</f>
        <v>January</v>
      </c>
      <c r="Y545" s="3" t="str">
        <f aca="false">LEFT(G545,1)&amp;MID(G545,FIND(" ",G545)+1,1)</f>
        <v>SS</v>
      </c>
    </row>
    <row r="546" customFormat="false" ht="15" hidden="false" customHeight="false" outlineLevel="0" collapsed="false">
      <c r="A546" s="3" t="n">
        <v>545</v>
      </c>
      <c r="B546" s="3" t="s">
        <v>1636</v>
      </c>
      <c r="C546" s="4" t="s">
        <v>1635</v>
      </c>
      <c r="D546" s="4" t="s">
        <v>1630</v>
      </c>
      <c r="E546" s="3" t="s">
        <v>28</v>
      </c>
      <c r="F546" s="3" t="s">
        <v>1423</v>
      </c>
      <c r="G546" s="3" t="s">
        <v>1424</v>
      </c>
      <c r="H546" s="3" t="s">
        <v>45</v>
      </c>
      <c r="I546" s="3" t="s">
        <v>32</v>
      </c>
      <c r="J546" s="3" t="s">
        <v>548</v>
      </c>
      <c r="K546" s="3" t="s">
        <v>244</v>
      </c>
      <c r="L546" s="3" t="s">
        <v>157</v>
      </c>
      <c r="M546" s="3" t="s">
        <v>219</v>
      </c>
      <c r="N546" s="3" t="s">
        <v>49</v>
      </c>
      <c r="O546" s="3" t="s">
        <v>220</v>
      </c>
      <c r="P546" s="3" t="s">
        <v>221</v>
      </c>
      <c r="Q546" s="5" t="n">
        <v>323.11</v>
      </c>
      <c r="R546" s="3" t="n">
        <v>14</v>
      </c>
      <c r="S546" s="6" t="n">
        <v>0</v>
      </c>
      <c r="T546" s="5" t="n">
        <v>-43.63</v>
      </c>
      <c r="U546" s="3" t="str">
        <f aca="false">IF(T546&lt;0,"Loss",IF(T546=0,"Break-even","Profit"))</f>
        <v>Loss</v>
      </c>
      <c r="V546" s="3" t="str">
        <f aca="false">IF(Q546&lt;100,"Low",IF(Q546&lt;=500,"Medium","High"))</f>
        <v>Medium</v>
      </c>
      <c r="W546" s="3" t="n">
        <f aca="false">D546-C546</f>
        <v>4</v>
      </c>
      <c r="X546" s="3" t="str">
        <f aca="false">TEXT(C546,"mmmm")</f>
        <v>January</v>
      </c>
      <c r="Y546" s="3" t="str">
        <f aca="false">LEFT(G546,1)&amp;MID(G546,FIND(" ",G546)+1,1)</f>
        <v>RJ</v>
      </c>
    </row>
    <row r="547" customFormat="false" ht="15" hidden="false" customHeight="false" outlineLevel="0" collapsed="false">
      <c r="A547" s="3" t="n">
        <v>546</v>
      </c>
      <c r="B547" s="3" t="s">
        <v>1637</v>
      </c>
      <c r="C547" s="4" t="s">
        <v>1638</v>
      </c>
      <c r="D547" s="4" t="s">
        <v>1638</v>
      </c>
      <c r="E547" s="3" t="s">
        <v>53</v>
      </c>
      <c r="F547" s="3" t="s">
        <v>1639</v>
      </c>
      <c r="G547" s="3" t="s">
        <v>1640</v>
      </c>
      <c r="H547" s="3" t="s">
        <v>56</v>
      </c>
      <c r="I547" s="3" t="s">
        <v>32</v>
      </c>
      <c r="J547" s="3" t="s">
        <v>112</v>
      </c>
      <c r="K547" s="3" t="s">
        <v>113</v>
      </c>
      <c r="L547" s="3" t="s">
        <v>69</v>
      </c>
      <c r="M547" s="3" t="s">
        <v>70</v>
      </c>
      <c r="N547" s="3" t="s">
        <v>37</v>
      </c>
      <c r="O547" s="3" t="s">
        <v>71</v>
      </c>
      <c r="P547" s="3" t="s">
        <v>72</v>
      </c>
      <c r="Q547" s="5" t="n">
        <v>4550.9</v>
      </c>
      <c r="R547" s="3" t="n">
        <v>5</v>
      </c>
      <c r="S547" s="6" t="n">
        <v>0</v>
      </c>
      <c r="T547" s="5" t="n">
        <v>1541.8</v>
      </c>
      <c r="U547" s="3" t="str">
        <f aca="false">IF(T547&lt;0,"Loss",IF(T547=0,"Break-even","Profit"))</f>
        <v>Profit</v>
      </c>
      <c r="V547" s="3" t="str">
        <f aca="false">IF(Q547&lt;100,"Low",IF(Q547&lt;=500,"Medium","High"))</f>
        <v>High</v>
      </c>
      <c r="W547" s="3" t="n">
        <f aca="false">D547-C547</f>
        <v>0</v>
      </c>
      <c r="X547" s="3" t="str">
        <f aca="false">TEXT(C547,"mmmm")</f>
        <v>January</v>
      </c>
      <c r="Y547" s="3" t="str">
        <f aca="false">LEFT(G547,1)&amp;MID(G547,FIND(" ",G547)+1,1)</f>
        <v>FN</v>
      </c>
    </row>
    <row r="548" customFormat="false" ht="15" hidden="false" customHeight="false" outlineLevel="0" collapsed="false">
      <c r="A548" s="3" t="n">
        <v>547</v>
      </c>
      <c r="B548" s="3" t="s">
        <v>1641</v>
      </c>
      <c r="C548" s="4" t="s">
        <v>1638</v>
      </c>
      <c r="D548" s="4" t="s">
        <v>1627</v>
      </c>
      <c r="E548" s="3" t="s">
        <v>42</v>
      </c>
      <c r="F548" s="3" t="s">
        <v>354</v>
      </c>
      <c r="G548" s="3" t="s">
        <v>355</v>
      </c>
      <c r="H548" s="3" t="s">
        <v>56</v>
      </c>
      <c r="I548" s="3" t="s">
        <v>32</v>
      </c>
      <c r="J548" s="3" t="s">
        <v>737</v>
      </c>
      <c r="K548" s="3" t="s">
        <v>307</v>
      </c>
      <c r="L548" s="3" t="s">
        <v>69</v>
      </c>
      <c r="M548" s="3" t="s">
        <v>219</v>
      </c>
      <c r="N548" s="3" t="s">
        <v>49</v>
      </c>
      <c r="O548" s="3" t="s">
        <v>220</v>
      </c>
      <c r="P548" s="3" t="s">
        <v>221</v>
      </c>
      <c r="Q548" s="5" t="n">
        <v>278.86</v>
      </c>
      <c r="R548" s="3" t="n">
        <v>9</v>
      </c>
      <c r="S548" s="6" t="n">
        <v>0.2</v>
      </c>
      <c r="T548" s="5" t="n">
        <v>-3.37</v>
      </c>
      <c r="U548" s="3" t="str">
        <f aca="false">IF(T548&lt;0,"Loss",IF(T548=0,"Break-even","Profit"))</f>
        <v>Loss</v>
      </c>
      <c r="V548" s="3" t="str">
        <f aca="false">IF(Q548&lt;100,"Low",IF(Q548&lt;=500,"Medium","High"))</f>
        <v>Medium</v>
      </c>
      <c r="W548" s="3" t="n">
        <f aca="false">D548-C548</f>
        <v>1</v>
      </c>
      <c r="X548" s="3" t="str">
        <f aca="false">TEXT(C548,"mmmm")</f>
        <v>January</v>
      </c>
      <c r="Y548" s="3" t="str">
        <f aca="false">LEFT(G548,1)&amp;MID(G548,FIND(" ",G548)+1,1)</f>
        <v>JW</v>
      </c>
    </row>
    <row r="549" customFormat="false" ht="15" hidden="false" customHeight="false" outlineLevel="0" collapsed="false">
      <c r="A549" s="3" t="n">
        <v>548</v>
      </c>
      <c r="B549" s="3" t="s">
        <v>1642</v>
      </c>
      <c r="C549" s="4" t="s">
        <v>1627</v>
      </c>
      <c r="D549" s="4" t="s">
        <v>1643</v>
      </c>
      <c r="E549" s="3" t="s">
        <v>84</v>
      </c>
      <c r="F549" s="3" t="s">
        <v>1459</v>
      </c>
      <c r="G549" s="3" t="s">
        <v>1460</v>
      </c>
      <c r="H549" s="3" t="s">
        <v>45</v>
      </c>
      <c r="I549" s="3" t="s">
        <v>32</v>
      </c>
      <c r="J549" s="3" t="s">
        <v>299</v>
      </c>
      <c r="K549" s="3" t="s">
        <v>189</v>
      </c>
      <c r="L549" s="3" t="s">
        <v>59</v>
      </c>
      <c r="M549" s="3" t="s">
        <v>88</v>
      </c>
      <c r="N549" s="3" t="s">
        <v>89</v>
      </c>
      <c r="O549" s="3" t="s">
        <v>90</v>
      </c>
      <c r="P549" s="3" t="s">
        <v>91</v>
      </c>
      <c r="Q549" s="5" t="n">
        <v>3739.92</v>
      </c>
      <c r="R549" s="3" t="n">
        <v>7</v>
      </c>
      <c r="S549" s="6" t="n">
        <v>0</v>
      </c>
      <c r="T549" s="5" t="n">
        <v>-429.57</v>
      </c>
      <c r="U549" s="3" t="str">
        <f aca="false">IF(T549&lt;0,"Loss",IF(T549=0,"Break-even","Profit"))</f>
        <v>Loss</v>
      </c>
      <c r="V549" s="3" t="str">
        <f aca="false">IF(Q549&lt;100,"Low",IF(Q549&lt;=500,"Medium","High"))</f>
        <v>High</v>
      </c>
      <c r="W549" s="3" t="n">
        <f aca="false">D549-C549</f>
        <v>3</v>
      </c>
      <c r="X549" s="3" t="str">
        <f aca="false">TEXT(C549,"mmmm")</f>
        <v>January</v>
      </c>
      <c r="Y549" s="3" t="str">
        <f aca="false">LEFT(G549,1)&amp;MID(G549,FIND(" ",G549)+1,1)</f>
        <v>AS</v>
      </c>
    </row>
    <row r="550" customFormat="false" ht="15" hidden="false" customHeight="false" outlineLevel="0" collapsed="false">
      <c r="A550" s="3" t="n">
        <v>549</v>
      </c>
      <c r="B550" s="3" t="s">
        <v>1644</v>
      </c>
      <c r="C550" s="4" t="s">
        <v>1627</v>
      </c>
      <c r="D550" s="4" t="s">
        <v>1627</v>
      </c>
      <c r="E550" s="3" t="s">
        <v>53</v>
      </c>
      <c r="F550" s="3" t="s">
        <v>1645</v>
      </c>
      <c r="G550" s="3" t="s">
        <v>1646</v>
      </c>
      <c r="H550" s="3" t="s">
        <v>56</v>
      </c>
      <c r="I550" s="3" t="s">
        <v>32</v>
      </c>
      <c r="J550" s="3" t="s">
        <v>381</v>
      </c>
      <c r="K550" s="3" t="s">
        <v>58</v>
      </c>
      <c r="L550" s="3" t="s">
        <v>59</v>
      </c>
      <c r="M550" s="3" t="s">
        <v>290</v>
      </c>
      <c r="N550" s="3" t="s">
        <v>37</v>
      </c>
      <c r="O550" s="3" t="s">
        <v>38</v>
      </c>
      <c r="P550" s="3" t="s">
        <v>291</v>
      </c>
      <c r="Q550" s="5" t="n">
        <v>2473.67</v>
      </c>
      <c r="R550" s="3" t="n">
        <v>2</v>
      </c>
      <c r="S550" s="6" t="n">
        <v>0</v>
      </c>
      <c r="T550" s="5" t="n">
        <v>763.44</v>
      </c>
      <c r="U550" s="3" t="str">
        <f aca="false">IF(T550&lt;0,"Loss",IF(T550=0,"Break-even","Profit"))</f>
        <v>Profit</v>
      </c>
      <c r="V550" s="3" t="str">
        <f aca="false">IF(Q550&lt;100,"Low",IF(Q550&lt;=500,"Medium","High"))</f>
        <v>High</v>
      </c>
      <c r="W550" s="3" t="n">
        <f aca="false">D550-C550</f>
        <v>0</v>
      </c>
      <c r="X550" s="3" t="str">
        <f aca="false">TEXT(C550,"mmmm")</f>
        <v>January</v>
      </c>
      <c r="Y550" s="3" t="str">
        <f aca="false">LEFT(G550,1)&amp;MID(G550,FIND(" ",G550)+1,1)</f>
        <v>CM</v>
      </c>
    </row>
    <row r="551" customFormat="false" ht="15" hidden="false" customHeight="false" outlineLevel="0" collapsed="false">
      <c r="A551" s="3" t="n">
        <v>550</v>
      </c>
      <c r="B551" s="3" t="s">
        <v>1647</v>
      </c>
      <c r="C551" s="4" t="s">
        <v>1627</v>
      </c>
      <c r="D551" s="4" t="s">
        <v>1643</v>
      </c>
      <c r="E551" s="3" t="s">
        <v>84</v>
      </c>
      <c r="F551" s="3" t="s">
        <v>390</v>
      </c>
      <c r="G551" s="3" t="s">
        <v>391</v>
      </c>
      <c r="H551" s="3" t="s">
        <v>56</v>
      </c>
      <c r="I551" s="3" t="s">
        <v>32</v>
      </c>
      <c r="J551" s="3" t="s">
        <v>33</v>
      </c>
      <c r="K551" s="3" t="s">
        <v>34</v>
      </c>
      <c r="L551" s="3" t="s">
        <v>35</v>
      </c>
      <c r="M551" s="3" t="s">
        <v>127</v>
      </c>
      <c r="N551" s="3" t="s">
        <v>49</v>
      </c>
      <c r="O551" s="3" t="s">
        <v>61</v>
      </c>
      <c r="P551" s="3" t="s">
        <v>128</v>
      </c>
      <c r="Q551" s="5" t="n">
        <v>363.35</v>
      </c>
      <c r="R551" s="3" t="n">
        <v>7</v>
      </c>
      <c r="S551" s="6" t="n">
        <v>0.4</v>
      </c>
      <c r="T551" s="5" t="n">
        <v>-81.27</v>
      </c>
      <c r="U551" s="3" t="str">
        <f aca="false">IF(T551&lt;0,"Loss",IF(T551=0,"Break-even","Profit"))</f>
        <v>Loss</v>
      </c>
      <c r="V551" s="3" t="str">
        <f aca="false">IF(Q551&lt;100,"Low",IF(Q551&lt;=500,"Medium","High"))</f>
        <v>Medium</v>
      </c>
      <c r="W551" s="3" t="n">
        <f aca="false">D551-C551</f>
        <v>3</v>
      </c>
      <c r="X551" s="3" t="str">
        <f aca="false">TEXT(C551,"mmmm")</f>
        <v>January</v>
      </c>
      <c r="Y551" s="3" t="str">
        <f aca="false">LEFT(G551,1)&amp;MID(G551,FIND(" ",G551)+1,1)</f>
        <v>MA</v>
      </c>
    </row>
    <row r="552" customFormat="false" ht="15" hidden="false" customHeight="false" outlineLevel="0" collapsed="false">
      <c r="A552" s="3" t="n">
        <v>551</v>
      </c>
      <c r="B552" s="3" t="s">
        <v>1648</v>
      </c>
      <c r="C552" s="4" t="s">
        <v>1623</v>
      </c>
      <c r="D552" s="4" t="s">
        <v>1649</v>
      </c>
      <c r="E552" s="3" t="s">
        <v>28</v>
      </c>
      <c r="F552" s="3" t="s">
        <v>1008</v>
      </c>
      <c r="G552" s="3" t="s">
        <v>1009</v>
      </c>
      <c r="H552" s="3" t="s">
        <v>56</v>
      </c>
      <c r="I552" s="3" t="s">
        <v>32</v>
      </c>
      <c r="J552" s="3" t="s">
        <v>188</v>
      </c>
      <c r="K552" s="3" t="s">
        <v>189</v>
      </c>
      <c r="L552" s="3" t="s">
        <v>59</v>
      </c>
      <c r="M552" s="3" t="s">
        <v>316</v>
      </c>
      <c r="N552" s="3" t="s">
        <v>49</v>
      </c>
      <c r="O552" s="3" t="s">
        <v>143</v>
      </c>
      <c r="P552" s="3" t="s">
        <v>317</v>
      </c>
      <c r="Q552" s="5" t="n">
        <v>435.14</v>
      </c>
      <c r="R552" s="3" t="n">
        <v>11</v>
      </c>
      <c r="S552" s="6" t="n">
        <v>0</v>
      </c>
      <c r="T552" s="5" t="n">
        <v>-75.63</v>
      </c>
      <c r="U552" s="3" t="str">
        <f aca="false">IF(T552&lt;0,"Loss",IF(T552=0,"Break-even","Profit"))</f>
        <v>Loss</v>
      </c>
      <c r="V552" s="3" t="str">
        <f aca="false">IF(Q552&lt;100,"Low",IF(Q552&lt;=500,"Medium","High"))</f>
        <v>Medium</v>
      </c>
      <c r="W552" s="3" t="n">
        <f aca="false">D552-C552</f>
        <v>6</v>
      </c>
      <c r="X552" s="3" t="str">
        <f aca="false">TEXT(C552,"mmmm")</f>
        <v>January</v>
      </c>
      <c r="Y552" s="3" t="str">
        <f aca="false">LEFT(G552,1)&amp;MID(G552,FIND(" ",G552)+1,1)</f>
        <v>SJ</v>
      </c>
    </row>
    <row r="553" customFormat="false" ht="15" hidden="false" customHeight="false" outlineLevel="0" collapsed="false">
      <c r="A553" s="3" t="n">
        <v>552</v>
      </c>
      <c r="B553" s="3" t="s">
        <v>1650</v>
      </c>
      <c r="C553" s="4" t="s">
        <v>1623</v>
      </c>
      <c r="D553" s="4" t="s">
        <v>1651</v>
      </c>
      <c r="E553" s="3" t="s">
        <v>84</v>
      </c>
      <c r="F553" s="3" t="s">
        <v>1652</v>
      </c>
      <c r="G553" s="3" t="s">
        <v>1653</v>
      </c>
      <c r="H553" s="3" t="s">
        <v>56</v>
      </c>
      <c r="I553" s="3" t="s">
        <v>32</v>
      </c>
      <c r="J553" s="3" t="s">
        <v>104</v>
      </c>
      <c r="K553" s="3" t="s">
        <v>96</v>
      </c>
      <c r="L553" s="3" t="s">
        <v>59</v>
      </c>
      <c r="M553" s="3" t="s">
        <v>470</v>
      </c>
      <c r="N553" s="3" t="s">
        <v>49</v>
      </c>
      <c r="O553" s="3" t="s">
        <v>159</v>
      </c>
      <c r="P553" s="3" t="s">
        <v>471</v>
      </c>
      <c r="Q553" s="5" t="n">
        <v>147.21</v>
      </c>
      <c r="R553" s="3" t="n">
        <v>4</v>
      </c>
      <c r="S553" s="6" t="n">
        <v>0</v>
      </c>
      <c r="T553" s="5" t="n">
        <v>6.47</v>
      </c>
      <c r="U553" s="3" t="str">
        <f aca="false">IF(T553&lt;0,"Loss",IF(T553=0,"Break-even","Profit"))</f>
        <v>Profit</v>
      </c>
      <c r="V553" s="3" t="str">
        <f aca="false">IF(Q553&lt;100,"Low",IF(Q553&lt;=500,"Medium","High"))</f>
        <v>Medium</v>
      </c>
      <c r="W553" s="3" t="n">
        <f aca="false">D553-C553</f>
        <v>3</v>
      </c>
      <c r="X553" s="3" t="str">
        <f aca="false">TEXT(C553,"mmmm")</f>
        <v>January</v>
      </c>
      <c r="Y553" s="3" t="str">
        <f aca="false">LEFT(G553,1)&amp;MID(G553,FIND(" ",G553)+1,1)</f>
        <v>MR</v>
      </c>
    </row>
    <row r="554" customFormat="false" ht="15" hidden="false" customHeight="false" outlineLevel="0" collapsed="false">
      <c r="A554" s="3" t="n">
        <v>553</v>
      </c>
      <c r="B554" s="3" t="s">
        <v>1654</v>
      </c>
      <c r="C554" s="4" t="s">
        <v>1630</v>
      </c>
      <c r="D554" s="4" t="s">
        <v>1655</v>
      </c>
      <c r="E554" s="3" t="s">
        <v>28</v>
      </c>
      <c r="F554" s="3" t="s">
        <v>1375</v>
      </c>
      <c r="G554" s="3" t="s">
        <v>1376</v>
      </c>
      <c r="H554" s="3" t="s">
        <v>56</v>
      </c>
      <c r="I554" s="3" t="s">
        <v>32</v>
      </c>
      <c r="J554" s="3" t="s">
        <v>188</v>
      </c>
      <c r="K554" s="3" t="s">
        <v>189</v>
      </c>
      <c r="L554" s="3" t="s">
        <v>59</v>
      </c>
      <c r="M554" s="3" t="s">
        <v>300</v>
      </c>
      <c r="N554" s="3" t="s">
        <v>49</v>
      </c>
      <c r="O554" s="3" t="s">
        <v>143</v>
      </c>
      <c r="P554" s="3" t="s">
        <v>301</v>
      </c>
      <c r="Q554" s="5" t="n">
        <v>337.51</v>
      </c>
      <c r="R554" s="3" t="n">
        <v>4</v>
      </c>
      <c r="S554" s="6" t="n">
        <v>0.4</v>
      </c>
      <c r="T554" s="5" t="n">
        <v>84.73</v>
      </c>
      <c r="U554" s="3" t="str">
        <f aca="false">IF(T554&lt;0,"Loss",IF(T554=0,"Break-even","Profit"))</f>
        <v>Profit</v>
      </c>
      <c r="V554" s="3" t="str">
        <f aca="false">IF(Q554&lt;100,"Low",IF(Q554&lt;=500,"Medium","High"))</f>
        <v>Medium</v>
      </c>
      <c r="W554" s="3" t="n">
        <f aca="false">D554-C554</f>
        <v>7</v>
      </c>
      <c r="X554" s="3" t="str">
        <f aca="false">TEXT(C554,"mmmm")</f>
        <v>January</v>
      </c>
      <c r="Y554" s="3" t="str">
        <f aca="false">LEFT(G554,1)&amp;MID(G554,FIND(" ",G554)+1,1)</f>
        <v>JK</v>
      </c>
    </row>
    <row r="555" customFormat="false" ht="15" hidden="false" customHeight="false" outlineLevel="0" collapsed="false">
      <c r="A555" s="3" t="n">
        <v>554</v>
      </c>
      <c r="B555" s="3" t="s">
        <v>1656</v>
      </c>
      <c r="C555" s="4" t="s">
        <v>1630</v>
      </c>
      <c r="D555" s="4" t="s">
        <v>1657</v>
      </c>
      <c r="E555" s="3" t="s">
        <v>28</v>
      </c>
      <c r="F555" s="3" t="s">
        <v>1462</v>
      </c>
      <c r="G555" s="3" t="s">
        <v>1463</v>
      </c>
      <c r="H555" s="3" t="s">
        <v>31</v>
      </c>
      <c r="I555" s="3" t="s">
        <v>32</v>
      </c>
      <c r="J555" s="3" t="s">
        <v>814</v>
      </c>
      <c r="K555" s="3" t="s">
        <v>156</v>
      </c>
      <c r="L555" s="3" t="s">
        <v>157</v>
      </c>
      <c r="M555" s="3" t="s">
        <v>347</v>
      </c>
      <c r="N555" s="3" t="s">
        <v>49</v>
      </c>
      <c r="O555" s="3" t="s">
        <v>220</v>
      </c>
      <c r="P555" s="3" t="s">
        <v>348</v>
      </c>
      <c r="Q555" s="5" t="n">
        <v>139.66</v>
      </c>
      <c r="R555" s="3" t="n">
        <v>2</v>
      </c>
      <c r="S555" s="6" t="n">
        <v>0.2</v>
      </c>
      <c r="T555" s="5" t="n">
        <v>5.49</v>
      </c>
      <c r="U555" s="3" t="str">
        <f aca="false">IF(T555&lt;0,"Loss",IF(T555=0,"Break-even","Profit"))</f>
        <v>Profit</v>
      </c>
      <c r="V555" s="3" t="str">
        <f aca="false">IF(Q555&lt;100,"Low",IF(Q555&lt;=500,"Medium","High"))</f>
        <v>Medium</v>
      </c>
      <c r="W555" s="3" t="n">
        <f aca="false">D555-C555</f>
        <v>6</v>
      </c>
      <c r="X555" s="3" t="str">
        <f aca="false">TEXT(C555,"mmmm")</f>
        <v>January</v>
      </c>
      <c r="Y555" s="3" t="str">
        <f aca="false">LEFT(G555,1)&amp;MID(G555,FIND(" ",G555)+1,1)</f>
        <v>SA</v>
      </c>
    </row>
    <row r="556" customFormat="false" ht="15" hidden="false" customHeight="false" outlineLevel="0" collapsed="false">
      <c r="A556" s="3" t="n">
        <v>555</v>
      </c>
      <c r="B556" s="3" t="s">
        <v>1658</v>
      </c>
      <c r="C556" s="4" t="s">
        <v>1651</v>
      </c>
      <c r="D556" s="4" t="s">
        <v>1659</v>
      </c>
      <c r="E556" s="3" t="s">
        <v>28</v>
      </c>
      <c r="F556" s="3" t="s">
        <v>465</v>
      </c>
      <c r="G556" s="3" t="s">
        <v>466</v>
      </c>
      <c r="H556" s="3" t="s">
        <v>45</v>
      </c>
      <c r="I556" s="3" t="s">
        <v>32</v>
      </c>
      <c r="J556" s="3" t="s">
        <v>77</v>
      </c>
      <c r="K556" s="3" t="s">
        <v>78</v>
      </c>
      <c r="L556" s="3" t="s">
        <v>59</v>
      </c>
      <c r="M556" s="3" t="s">
        <v>404</v>
      </c>
      <c r="N556" s="3" t="s">
        <v>89</v>
      </c>
      <c r="O556" s="3" t="s">
        <v>166</v>
      </c>
      <c r="P556" s="3" t="s">
        <v>405</v>
      </c>
      <c r="Q556" s="5" t="n">
        <v>571.47</v>
      </c>
      <c r="R556" s="3" t="n">
        <v>7</v>
      </c>
      <c r="S556" s="6" t="n">
        <v>0</v>
      </c>
      <c r="T556" s="5" t="n">
        <v>-102.38</v>
      </c>
      <c r="U556" s="3" t="str">
        <f aca="false">IF(T556&lt;0,"Loss",IF(T556=0,"Break-even","Profit"))</f>
        <v>Loss</v>
      </c>
      <c r="V556" s="3" t="str">
        <f aca="false">IF(Q556&lt;100,"Low",IF(Q556&lt;=500,"Medium","High"))</f>
        <v>High</v>
      </c>
      <c r="W556" s="3" t="n">
        <f aca="false">D556-C556</f>
        <v>7</v>
      </c>
      <c r="X556" s="3" t="str">
        <f aca="false">TEXT(C556,"mmmm")</f>
        <v>January</v>
      </c>
      <c r="Y556" s="3" t="str">
        <f aca="false">LEFT(G556,1)&amp;MID(G556,FIND(" ",G556)+1,1)</f>
        <v>PJ</v>
      </c>
    </row>
    <row r="557" customFormat="false" ht="15" hidden="false" customHeight="false" outlineLevel="0" collapsed="false">
      <c r="A557" s="3" t="n">
        <v>556</v>
      </c>
      <c r="B557" s="3" t="s">
        <v>1660</v>
      </c>
      <c r="C557" s="4" t="s">
        <v>1651</v>
      </c>
      <c r="D557" s="4" t="s">
        <v>1649</v>
      </c>
      <c r="E557" s="3" t="s">
        <v>84</v>
      </c>
      <c r="F557" s="3" t="s">
        <v>1355</v>
      </c>
      <c r="G557" s="3" t="s">
        <v>1356</v>
      </c>
      <c r="H557" s="3" t="s">
        <v>56</v>
      </c>
      <c r="I557" s="3" t="s">
        <v>32</v>
      </c>
      <c r="J557" s="3" t="s">
        <v>476</v>
      </c>
      <c r="K557" s="3" t="s">
        <v>366</v>
      </c>
      <c r="L557" s="3" t="s">
        <v>157</v>
      </c>
      <c r="M557" s="3" t="s">
        <v>173</v>
      </c>
      <c r="N557" s="3" t="s">
        <v>89</v>
      </c>
      <c r="O557" s="3" t="s">
        <v>174</v>
      </c>
      <c r="P557" s="3" t="s">
        <v>175</v>
      </c>
      <c r="Q557" s="5" t="n">
        <v>5627.57</v>
      </c>
      <c r="R557" s="3" t="n">
        <v>11</v>
      </c>
      <c r="S557" s="6" t="n">
        <v>0</v>
      </c>
      <c r="T557" s="5" t="n">
        <v>-280.76</v>
      </c>
      <c r="U557" s="3" t="str">
        <f aca="false">IF(T557&lt;0,"Loss",IF(T557=0,"Break-even","Profit"))</f>
        <v>Loss</v>
      </c>
      <c r="V557" s="3" t="str">
        <f aca="false">IF(Q557&lt;100,"Low",IF(Q557&lt;=500,"Medium","High"))</f>
        <v>High</v>
      </c>
      <c r="W557" s="3" t="n">
        <f aca="false">D557-C557</f>
        <v>3</v>
      </c>
      <c r="X557" s="3" t="str">
        <f aca="false">TEXT(C557,"mmmm")</f>
        <v>January</v>
      </c>
      <c r="Y557" s="3" t="str">
        <f aca="false">LEFT(G557,1)&amp;MID(G557,FIND(" ",G557)+1,1)</f>
        <v>FB</v>
      </c>
    </row>
    <row r="558" customFormat="false" ht="15" hidden="false" customHeight="false" outlineLevel="0" collapsed="false">
      <c r="A558" s="3" t="n">
        <v>557</v>
      </c>
      <c r="B558" s="3" t="s">
        <v>1661</v>
      </c>
      <c r="C558" s="4" t="s">
        <v>1662</v>
      </c>
      <c r="D558" s="4" t="s">
        <v>1663</v>
      </c>
      <c r="E558" s="3" t="s">
        <v>42</v>
      </c>
      <c r="F558" s="3" t="s">
        <v>1095</v>
      </c>
      <c r="G558" s="3" t="s">
        <v>1096</v>
      </c>
      <c r="H558" s="3" t="s">
        <v>45</v>
      </c>
      <c r="I558" s="3" t="s">
        <v>32</v>
      </c>
      <c r="J558" s="3" t="s">
        <v>873</v>
      </c>
      <c r="K558" s="3" t="s">
        <v>387</v>
      </c>
      <c r="L558" s="3" t="s">
        <v>35</v>
      </c>
      <c r="M558" s="3" t="s">
        <v>269</v>
      </c>
      <c r="N558" s="3" t="s">
        <v>89</v>
      </c>
      <c r="O558" s="3" t="s">
        <v>174</v>
      </c>
      <c r="P558" s="3" t="s">
        <v>270</v>
      </c>
      <c r="Q558" s="5" t="n">
        <v>1335.87</v>
      </c>
      <c r="R558" s="3" t="n">
        <v>5</v>
      </c>
      <c r="S558" s="6" t="n">
        <v>0.1</v>
      </c>
      <c r="T558" s="5" t="n">
        <v>197.41</v>
      </c>
      <c r="U558" s="3" t="str">
        <f aca="false">IF(T558&lt;0,"Loss",IF(T558=0,"Break-even","Profit"))</f>
        <v>Profit</v>
      </c>
      <c r="V558" s="3" t="str">
        <f aca="false">IF(Q558&lt;100,"Low",IF(Q558&lt;=500,"Medium","High"))</f>
        <v>High</v>
      </c>
      <c r="W558" s="3" t="n">
        <f aca="false">D558-C558</f>
        <v>1</v>
      </c>
      <c r="X558" s="3" t="str">
        <f aca="false">TEXT(C558,"mmmm")</f>
        <v>January</v>
      </c>
      <c r="Y558" s="3" t="str">
        <f aca="false">LEFT(G558,1)&amp;MID(G558,FIND(" ",G558)+1,1)</f>
        <v>JS</v>
      </c>
    </row>
    <row r="559" customFormat="false" ht="15" hidden="false" customHeight="false" outlineLevel="0" collapsed="false">
      <c r="A559" s="3" t="n">
        <v>558</v>
      </c>
      <c r="B559" s="3" t="s">
        <v>1664</v>
      </c>
      <c r="C559" s="4" t="s">
        <v>1663</v>
      </c>
      <c r="D559" s="4" t="s">
        <v>1655</v>
      </c>
      <c r="E559" s="3" t="s">
        <v>28</v>
      </c>
      <c r="F559" s="3" t="s">
        <v>647</v>
      </c>
      <c r="G559" s="3" t="s">
        <v>648</v>
      </c>
      <c r="H559" s="3" t="s">
        <v>31</v>
      </c>
      <c r="I559" s="3" t="s">
        <v>32</v>
      </c>
      <c r="J559" s="3" t="s">
        <v>67</v>
      </c>
      <c r="K559" s="3" t="s">
        <v>68</v>
      </c>
      <c r="L559" s="3" t="s">
        <v>69</v>
      </c>
      <c r="M559" s="3" t="s">
        <v>253</v>
      </c>
      <c r="N559" s="3" t="s">
        <v>89</v>
      </c>
      <c r="O559" s="3" t="s">
        <v>90</v>
      </c>
      <c r="P559" s="3" t="s">
        <v>254</v>
      </c>
      <c r="Q559" s="5" t="n">
        <v>2343.23</v>
      </c>
      <c r="R559" s="3" t="n">
        <v>11</v>
      </c>
      <c r="S559" s="6" t="n">
        <v>0</v>
      </c>
      <c r="T559" s="5" t="n">
        <v>126.57</v>
      </c>
      <c r="U559" s="3" t="str">
        <f aca="false">IF(T559&lt;0,"Loss",IF(T559=0,"Break-even","Profit"))</f>
        <v>Profit</v>
      </c>
      <c r="V559" s="3" t="str">
        <f aca="false">IF(Q559&lt;100,"Low",IF(Q559&lt;=500,"Medium","High"))</f>
        <v>High</v>
      </c>
      <c r="W559" s="3" t="n">
        <f aca="false">D559-C559</f>
        <v>3</v>
      </c>
      <c r="X559" s="3" t="str">
        <f aca="false">TEXT(C559,"mmmm")</f>
        <v>February</v>
      </c>
      <c r="Y559" s="3" t="str">
        <f aca="false">LEFT(G559,1)&amp;MID(G559,FIND(" ",G559)+1,1)</f>
        <v>MS</v>
      </c>
    </row>
    <row r="560" customFormat="false" ht="15" hidden="false" customHeight="false" outlineLevel="0" collapsed="false">
      <c r="A560" s="3" t="n">
        <v>559</v>
      </c>
      <c r="B560" s="3" t="s">
        <v>1665</v>
      </c>
      <c r="C560" s="4" t="s">
        <v>1663</v>
      </c>
      <c r="D560" s="4" t="s">
        <v>1666</v>
      </c>
      <c r="E560" s="3" t="s">
        <v>28</v>
      </c>
      <c r="F560" s="3" t="s">
        <v>273</v>
      </c>
      <c r="G560" s="3" t="s">
        <v>274</v>
      </c>
      <c r="H560" s="3" t="s">
        <v>31</v>
      </c>
      <c r="I560" s="3" t="s">
        <v>32</v>
      </c>
      <c r="J560" s="3" t="s">
        <v>201</v>
      </c>
      <c r="K560" s="3" t="s">
        <v>202</v>
      </c>
      <c r="L560" s="3" t="s">
        <v>35</v>
      </c>
      <c r="M560" s="3" t="s">
        <v>149</v>
      </c>
      <c r="N560" s="3" t="s">
        <v>49</v>
      </c>
      <c r="O560" s="3" t="s">
        <v>150</v>
      </c>
      <c r="P560" s="3" t="s">
        <v>151</v>
      </c>
      <c r="Q560" s="5" t="n">
        <v>107.5</v>
      </c>
      <c r="R560" s="3" t="n">
        <v>2</v>
      </c>
      <c r="S560" s="6" t="n">
        <v>0</v>
      </c>
      <c r="T560" s="5" t="n">
        <v>11.98</v>
      </c>
      <c r="U560" s="3" t="str">
        <f aca="false">IF(T560&lt;0,"Loss",IF(T560=0,"Break-even","Profit"))</f>
        <v>Profit</v>
      </c>
      <c r="V560" s="3" t="str">
        <f aca="false">IF(Q560&lt;100,"Low",IF(Q560&lt;=500,"Medium","High"))</f>
        <v>Medium</v>
      </c>
      <c r="W560" s="3" t="n">
        <f aca="false">D560-C560</f>
        <v>4</v>
      </c>
      <c r="X560" s="3" t="str">
        <f aca="false">TEXT(C560,"mmmm")</f>
        <v>February</v>
      </c>
      <c r="Y560" s="3" t="str">
        <f aca="false">LEFT(G560,1)&amp;MID(G560,FIND(" ",G560)+1,1)</f>
        <v>LJ</v>
      </c>
    </row>
    <row r="561" customFormat="false" ht="15" hidden="false" customHeight="false" outlineLevel="0" collapsed="false">
      <c r="A561" s="3" t="n">
        <v>560</v>
      </c>
      <c r="B561" s="3" t="s">
        <v>1667</v>
      </c>
      <c r="C561" s="4" t="s">
        <v>1663</v>
      </c>
      <c r="D561" s="4" t="s">
        <v>1657</v>
      </c>
      <c r="E561" s="3" t="s">
        <v>42</v>
      </c>
      <c r="F561" s="3" t="s">
        <v>1385</v>
      </c>
      <c r="G561" s="3" t="s">
        <v>1386</v>
      </c>
      <c r="H561" s="3" t="s">
        <v>56</v>
      </c>
      <c r="I561" s="3" t="s">
        <v>32</v>
      </c>
      <c r="J561" s="3" t="s">
        <v>148</v>
      </c>
      <c r="K561" s="3" t="s">
        <v>78</v>
      </c>
      <c r="L561" s="3" t="s">
        <v>59</v>
      </c>
      <c r="M561" s="3" t="s">
        <v>404</v>
      </c>
      <c r="N561" s="3" t="s">
        <v>89</v>
      </c>
      <c r="O561" s="3" t="s">
        <v>166</v>
      </c>
      <c r="P561" s="3" t="s">
        <v>405</v>
      </c>
      <c r="Q561" s="5" t="n">
        <v>526.92</v>
      </c>
      <c r="R561" s="3" t="n">
        <v>4</v>
      </c>
      <c r="S561" s="6" t="n">
        <v>0.1</v>
      </c>
      <c r="T561" s="5" t="n">
        <v>34.6</v>
      </c>
      <c r="U561" s="3" t="str">
        <f aca="false">IF(T561&lt;0,"Loss",IF(T561=0,"Break-even","Profit"))</f>
        <v>Profit</v>
      </c>
      <c r="V561" s="3" t="str">
        <f aca="false">IF(Q561&lt;100,"Low",IF(Q561&lt;=500,"Medium","High"))</f>
        <v>High</v>
      </c>
      <c r="W561" s="3" t="n">
        <f aca="false">D561-C561</f>
        <v>2</v>
      </c>
      <c r="X561" s="3" t="str">
        <f aca="false">TEXT(C561,"mmmm")</f>
        <v>February</v>
      </c>
      <c r="Y561" s="3" t="str">
        <f aca="false">LEFT(G561,1)&amp;MID(G561,FIND(" ",G561)+1,1)</f>
        <v>PS</v>
      </c>
    </row>
    <row r="562" customFormat="false" ht="15" hidden="false" customHeight="false" outlineLevel="0" collapsed="false">
      <c r="A562" s="3" t="n">
        <v>561</v>
      </c>
      <c r="B562" s="3" t="s">
        <v>1668</v>
      </c>
      <c r="C562" s="4" t="s">
        <v>1663</v>
      </c>
      <c r="D562" s="4" t="s">
        <v>1666</v>
      </c>
      <c r="E562" s="3" t="s">
        <v>28</v>
      </c>
      <c r="F562" s="3" t="s">
        <v>397</v>
      </c>
      <c r="G562" s="3" t="s">
        <v>398</v>
      </c>
      <c r="H562" s="3" t="s">
        <v>31</v>
      </c>
      <c r="I562" s="3" t="s">
        <v>32</v>
      </c>
      <c r="J562" s="3" t="s">
        <v>663</v>
      </c>
      <c r="K562" s="3" t="s">
        <v>307</v>
      </c>
      <c r="L562" s="3" t="s">
        <v>69</v>
      </c>
      <c r="M562" s="3" t="s">
        <v>209</v>
      </c>
      <c r="N562" s="3" t="s">
        <v>49</v>
      </c>
      <c r="O562" s="3" t="s">
        <v>106</v>
      </c>
      <c r="P562" s="3" t="s">
        <v>210</v>
      </c>
      <c r="Q562" s="5" t="n">
        <v>133.67</v>
      </c>
      <c r="R562" s="3" t="n">
        <v>10</v>
      </c>
      <c r="S562" s="6" t="n">
        <v>0.2</v>
      </c>
      <c r="T562" s="5" t="n">
        <v>-9.74</v>
      </c>
      <c r="U562" s="3" t="str">
        <f aca="false">IF(T562&lt;0,"Loss",IF(T562=0,"Break-even","Profit"))</f>
        <v>Loss</v>
      </c>
      <c r="V562" s="3" t="str">
        <f aca="false">IF(Q562&lt;100,"Low",IF(Q562&lt;=500,"Medium","High"))</f>
        <v>Medium</v>
      </c>
      <c r="W562" s="3" t="n">
        <f aca="false">D562-C562</f>
        <v>4</v>
      </c>
      <c r="X562" s="3" t="str">
        <f aca="false">TEXT(C562,"mmmm")</f>
        <v>February</v>
      </c>
      <c r="Y562" s="3" t="str">
        <f aca="false">LEFT(G562,1)&amp;MID(G562,FIND(" ",G562)+1,1)</f>
        <v>DN</v>
      </c>
    </row>
    <row r="563" customFormat="false" ht="15" hidden="false" customHeight="false" outlineLevel="0" collapsed="false">
      <c r="A563" s="3" t="n">
        <v>562</v>
      </c>
      <c r="B563" s="3" t="s">
        <v>1669</v>
      </c>
      <c r="C563" s="4" t="s">
        <v>1649</v>
      </c>
      <c r="D563" s="4" t="s">
        <v>1666</v>
      </c>
      <c r="E563" s="3" t="s">
        <v>84</v>
      </c>
      <c r="F563" s="3" t="s">
        <v>1670</v>
      </c>
      <c r="G563" s="3" t="s">
        <v>1671</v>
      </c>
      <c r="H563" s="3" t="s">
        <v>45</v>
      </c>
      <c r="I563" s="3" t="s">
        <v>32</v>
      </c>
      <c r="J563" s="3" t="s">
        <v>77</v>
      </c>
      <c r="K563" s="3" t="s">
        <v>78</v>
      </c>
      <c r="L563" s="3" t="s">
        <v>59</v>
      </c>
      <c r="M563" s="3" t="s">
        <v>158</v>
      </c>
      <c r="N563" s="3" t="s">
        <v>49</v>
      </c>
      <c r="O563" s="3" t="s">
        <v>159</v>
      </c>
      <c r="P563" s="3" t="s">
        <v>160</v>
      </c>
      <c r="Q563" s="5" t="n">
        <v>301.42</v>
      </c>
      <c r="R563" s="3" t="n">
        <v>8</v>
      </c>
      <c r="S563" s="6" t="n">
        <v>0</v>
      </c>
      <c r="T563" s="5" t="n">
        <v>-5.15</v>
      </c>
      <c r="U563" s="3" t="str">
        <f aca="false">IF(T563&lt;0,"Loss",IF(T563=0,"Break-even","Profit"))</f>
        <v>Loss</v>
      </c>
      <c r="V563" s="3" t="str">
        <f aca="false">IF(Q563&lt;100,"Low",IF(Q563&lt;=500,"Medium","High"))</f>
        <v>Medium</v>
      </c>
      <c r="W563" s="3" t="n">
        <f aca="false">D563-C563</f>
        <v>3</v>
      </c>
      <c r="X563" s="3" t="str">
        <f aca="false">TEXT(C563,"mmmm")</f>
        <v>February</v>
      </c>
      <c r="Y563" s="3" t="str">
        <f aca="false">LEFT(G563,1)&amp;MID(G563,FIND(" ",G563)+1,1)</f>
        <v>FS</v>
      </c>
    </row>
    <row r="564" customFormat="false" ht="15" hidden="false" customHeight="false" outlineLevel="0" collapsed="false">
      <c r="A564" s="3" t="n">
        <v>563</v>
      </c>
      <c r="B564" s="3" t="s">
        <v>1672</v>
      </c>
      <c r="C564" s="4" t="s">
        <v>1657</v>
      </c>
      <c r="D564" s="4" t="s">
        <v>1673</v>
      </c>
      <c r="E564" s="3" t="s">
        <v>28</v>
      </c>
      <c r="F564" s="3" t="s">
        <v>1674</v>
      </c>
      <c r="G564" s="3" t="s">
        <v>1675</v>
      </c>
      <c r="H564" s="3" t="s">
        <v>31</v>
      </c>
      <c r="I564" s="3" t="s">
        <v>32</v>
      </c>
      <c r="J564" s="3" t="s">
        <v>46</v>
      </c>
      <c r="K564" s="3" t="s">
        <v>47</v>
      </c>
      <c r="L564" s="3" t="s">
        <v>35</v>
      </c>
      <c r="M564" s="3" t="s">
        <v>142</v>
      </c>
      <c r="N564" s="3" t="s">
        <v>49</v>
      </c>
      <c r="O564" s="3" t="s">
        <v>143</v>
      </c>
      <c r="P564" s="3" t="s">
        <v>144</v>
      </c>
      <c r="Q564" s="5" t="n">
        <v>508.12</v>
      </c>
      <c r="R564" s="3" t="n">
        <v>8</v>
      </c>
      <c r="S564" s="6" t="n">
        <v>0.2</v>
      </c>
      <c r="T564" s="5" t="n">
        <v>-69.65</v>
      </c>
      <c r="U564" s="3" t="str">
        <f aca="false">IF(T564&lt;0,"Loss",IF(T564=0,"Break-even","Profit"))</f>
        <v>Loss</v>
      </c>
      <c r="V564" s="3" t="str">
        <f aca="false">IF(Q564&lt;100,"Low",IF(Q564&lt;=500,"Medium","High"))</f>
        <v>High</v>
      </c>
      <c r="W564" s="3" t="n">
        <f aca="false">D564-C564</f>
        <v>4</v>
      </c>
      <c r="X564" s="3" t="str">
        <f aca="false">TEXT(C564,"mmmm")</f>
        <v>February</v>
      </c>
      <c r="Y564" s="3" t="str">
        <f aca="false">LEFT(G564,1)&amp;MID(G564,FIND(" ",G564)+1,1)</f>
        <v>RS</v>
      </c>
    </row>
    <row r="565" customFormat="false" ht="15" hidden="false" customHeight="false" outlineLevel="0" collapsed="false">
      <c r="A565" s="3" t="n">
        <v>564</v>
      </c>
      <c r="B565" s="3" t="s">
        <v>1676</v>
      </c>
      <c r="C565" s="4" t="s">
        <v>1655</v>
      </c>
      <c r="D565" s="4" t="s">
        <v>1677</v>
      </c>
      <c r="E565" s="3" t="s">
        <v>28</v>
      </c>
      <c r="F565" s="3" t="s">
        <v>1613</v>
      </c>
      <c r="G565" s="3" t="s">
        <v>1614</v>
      </c>
      <c r="H565" s="3" t="s">
        <v>31</v>
      </c>
      <c r="I565" s="3" t="s">
        <v>32</v>
      </c>
      <c r="J565" s="3" t="s">
        <v>476</v>
      </c>
      <c r="K565" s="3" t="s">
        <v>366</v>
      </c>
      <c r="L565" s="3" t="s">
        <v>157</v>
      </c>
      <c r="M565" s="3" t="s">
        <v>79</v>
      </c>
      <c r="N565" s="3" t="s">
        <v>49</v>
      </c>
      <c r="O565" s="3" t="s">
        <v>80</v>
      </c>
      <c r="P565" s="3" t="s">
        <v>81</v>
      </c>
      <c r="Q565" s="5" t="n">
        <v>85.75</v>
      </c>
      <c r="R565" s="3" t="n">
        <v>7</v>
      </c>
      <c r="S565" s="6" t="n">
        <v>0</v>
      </c>
      <c r="T565" s="5" t="n">
        <v>12.97</v>
      </c>
      <c r="U565" s="3" t="str">
        <f aca="false">IF(T565&lt;0,"Loss",IF(T565=0,"Break-even","Profit"))</f>
        <v>Profit</v>
      </c>
      <c r="V565" s="3" t="str">
        <f aca="false">IF(Q565&lt;100,"Low",IF(Q565&lt;=500,"Medium","High"))</f>
        <v>Low</v>
      </c>
      <c r="W565" s="3" t="n">
        <f aca="false">D565-C565</f>
        <v>4</v>
      </c>
      <c r="X565" s="3" t="str">
        <f aca="false">TEXT(C565,"mmmm")</f>
        <v>February</v>
      </c>
      <c r="Y565" s="3" t="str">
        <f aca="false">LEFT(G565,1)&amp;MID(G565,FIND(" ",G565)+1,1)</f>
        <v>PN</v>
      </c>
    </row>
    <row r="566" customFormat="false" ht="15" hidden="false" customHeight="false" outlineLevel="0" collapsed="false">
      <c r="A566" s="3" t="n">
        <v>565</v>
      </c>
      <c r="B566" s="3" t="s">
        <v>1678</v>
      </c>
      <c r="C566" s="4" t="s">
        <v>1655</v>
      </c>
      <c r="D566" s="4" t="s">
        <v>1673</v>
      </c>
      <c r="E566" s="3" t="s">
        <v>28</v>
      </c>
      <c r="F566" s="3" t="s">
        <v>362</v>
      </c>
      <c r="G566" s="3" t="s">
        <v>363</v>
      </c>
      <c r="H566" s="3" t="s">
        <v>56</v>
      </c>
      <c r="I566" s="3" t="s">
        <v>32</v>
      </c>
      <c r="J566" s="3" t="s">
        <v>133</v>
      </c>
      <c r="K566" s="3" t="s">
        <v>134</v>
      </c>
      <c r="L566" s="3" t="s">
        <v>69</v>
      </c>
      <c r="M566" s="3" t="s">
        <v>114</v>
      </c>
      <c r="N566" s="3" t="s">
        <v>49</v>
      </c>
      <c r="O566" s="3" t="s">
        <v>61</v>
      </c>
      <c r="P566" s="3" t="s">
        <v>115</v>
      </c>
      <c r="Q566" s="5" t="n">
        <v>82.55</v>
      </c>
      <c r="R566" s="3" t="n">
        <v>8</v>
      </c>
      <c r="S566" s="6" t="n">
        <v>0.3</v>
      </c>
      <c r="T566" s="5" t="n">
        <v>18.94</v>
      </c>
      <c r="U566" s="3" t="str">
        <f aca="false">IF(T566&lt;0,"Loss",IF(T566=0,"Break-even","Profit"))</f>
        <v>Profit</v>
      </c>
      <c r="V566" s="3" t="str">
        <f aca="false">IF(Q566&lt;100,"Low",IF(Q566&lt;=500,"Medium","High"))</f>
        <v>Low</v>
      </c>
      <c r="W566" s="3" t="n">
        <f aca="false">D566-C566</f>
        <v>3</v>
      </c>
      <c r="X566" s="3" t="str">
        <f aca="false">TEXT(C566,"mmmm")</f>
        <v>February</v>
      </c>
      <c r="Y566" s="3" t="str">
        <f aca="false">LEFT(G566,1)&amp;MID(G566,FIND(" ",G566)+1,1)</f>
        <v>WB</v>
      </c>
    </row>
    <row r="567" customFormat="false" ht="15" hidden="false" customHeight="false" outlineLevel="0" collapsed="false">
      <c r="A567" s="3" t="n">
        <v>566</v>
      </c>
      <c r="B567" s="3" t="s">
        <v>1679</v>
      </c>
      <c r="C567" s="4" t="s">
        <v>1666</v>
      </c>
      <c r="D567" s="4" t="s">
        <v>1659</v>
      </c>
      <c r="E567" s="3" t="s">
        <v>42</v>
      </c>
      <c r="F567" s="3" t="s">
        <v>1680</v>
      </c>
      <c r="G567" s="3" t="s">
        <v>1681</v>
      </c>
      <c r="H567" s="3" t="s">
        <v>56</v>
      </c>
      <c r="I567" s="3" t="s">
        <v>32</v>
      </c>
      <c r="J567" s="3" t="s">
        <v>77</v>
      </c>
      <c r="K567" s="3" t="s">
        <v>78</v>
      </c>
      <c r="L567" s="3" t="s">
        <v>59</v>
      </c>
      <c r="M567" s="3" t="s">
        <v>683</v>
      </c>
      <c r="N567" s="3" t="s">
        <v>37</v>
      </c>
      <c r="O567" s="3" t="s">
        <v>136</v>
      </c>
      <c r="P567" s="3" t="s">
        <v>684</v>
      </c>
      <c r="Q567" s="5" t="n">
        <v>17104.39</v>
      </c>
      <c r="R567" s="3" t="n">
        <v>14</v>
      </c>
      <c r="S567" s="6" t="n">
        <v>0</v>
      </c>
      <c r="T567" s="5" t="n">
        <v>5053.24</v>
      </c>
      <c r="U567" s="3" t="str">
        <f aca="false">IF(T567&lt;0,"Loss",IF(T567=0,"Break-even","Profit"))</f>
        <v>Profit</v>
      </c>
      <c r="V567" s="3" t="str">
        <f aca="false">IF(Q567&lt;100,"Low",IF(Q567&lt;=500,"Medium","High"))</f>
        <v>High</v>
      </c>
      <c r="W567" s="3" t="n">
        <f aca="false">D567-C567</f>
        <v>1</v>
      </c>
      <c r="X567" s="3" t="str">
        <f aca="false">TEXT(C567,"mmmm")</f>
        <v>February</v>
      </c>
      <c r="Y567" s="3" t="str">
        <f aca="false">LEFT(G567,1)&amp;MID(G567,FIND(" ",G567)+1,1)</f>
        <v>DM</v>
      </c>
    </row>
    <row r="568" customFormat="false" ht="15" hidden="false" customHeight="false" outlineLevel="0" collapsed="false">
      <c r="A568" s="3" t="n">
        <v>567</v>
      </c>
      <c r="B568" s="3" t="s">
        <v>1682</v>
      </c>
      <c r="C568" s="4" t="s">
        <v>1666</v>
      </c>
      <c r="D568" s="4" t="s">
        <v>1677</v>
      </c>
      <c r="E568" s="3" t="s">
        <v>84</v>
      </c>
      <c r="F568" s="3" t="s">
        <v>934</v>
      </c>
      <c r="G568" s="3" t="s">
        <v>935</v>
      </c>
      <c r="H568" s="3" t="s">
        <v>31</v>
      </c>
      <c r="I568" s="3" t="s">
        <v>32</v>
      </c>
      <c r="J568" s="3" t="s">
        <v>873</v>
      </c>
      <c r="K568" s="3" t="s">
        <v>387</v>
      </c>
      <c r="L568" s="3" t="s">
        <v>35</v>
      </c>
      <c r="M568" s="3" t="s">
        <v>225</v>
      </c>
      <c r="N568" s="3" t="s">
        <v>37</v>
      </c>
      <c r="O568" s="3" t="s">
        <v>196</v>
      </c>
      <c r="P568" s="3" t="s">
        <v>226</v>
      </c>
      <c r="Q568" s="5" t="n">
        <v>13273.48</v>
      </c>
      <c r="R568" s="3" t="n">
        <v>8</v>
      </c>
      <c r="S568" s="6" t="n">
        <v>0.2</v>
      </c>
      <c r="T568" s="5" t="n">
        <v>876.52</v>
      </c>
      <c r="U568" s="3" t="str">
        <f aca="false">IF(T568&lt;0,"Loss",IF(T568=0,"Break-even","Profit"))</f>
        <v>Profit</v>
      </c>
      <c r="V568" s="3" t="str">
        <f aca="false">IF(Q568&lt;100,"Low",IF(Q568&lt;=500,"Medium","High"))</f>
        <v>High</v>
      </c>
      <c r="W568" s="3" t="n">
        <f aca="false">D568-C568</f>
        <v>3</v>
      </c>
      <c r="X568" s="3" t="str">
        <f aca="false">TEXT(C568,"mmmm")</f>
        <v>February</v>
      </c>
      <c r="Y568" s="3" t="str">
        <f aca="false">LEFT(G568,1)&amp;MID(G568,FIND(" ",G568)+1,1)</f>
        <v>PN</v>
      </c>
    </row>
    <row r="569" customFormat="false" ht="15" hidden="false" customHeight="false" outlineLevel="0" collapsed="false">
      <c r="A569" s="3" t="n">
        <v>568</v>
      </c>
      <c r="B569" s="3" t="s">
        <v>1683</v>
      </c>
      <c r="C569" s="4" t="s">
        <v>1659</v>
      </c>
      <c r="D569" s="4" t="s">
        <v>1684</v>
      </c>
      <c r="E569" s="3" t="s">
        <v>84</v>
      </c>
      <c r="F569" s="3" t="s">
        <v>304</v>
      </c>
      <c r="G569" s="3" t="s">
        <v>305</v>
      </c>
      <c r="H569" s="3" t="s">
        <v>45</v>
      </c>
      <c r="I569" s="3" t="s">
        <v>32</v>
      </c>
      <c r="J569" s="3" t="s">
        <v>171</v>
      </c>
      <c r="K569" s="3" t="s">
        <v>172</v>
      </c>
      <c r="L569" s="3" t="s">
        <v>157</v>
      </c>
      <c r="M569" s="3" t="s">
        <v>195</v>
      </c>
      <c r="N569" s="3" t="s">
        <v>37</v>
      </c>
      <c r="O569" s="3" t="s">
        <v>196</v>
      </c>
      <c r="P569" s="3" t="s">
        <v>197</v>
      </c>
      <c r="Q569" s="5" t="n">
        <v>910.48</v>
      </c>
      <c r="R569" s="3" t="n">
        <v>4</v>
      </c>
      <c r="S569" s="6" t="n">
        <v>0.3</v>
      </c>
      <c r="T569" s="5" t="n">
        <v>218.92</v>
      </c>
      <c r="U569" s="3" t="str">
        <f aca="false">IF(T569&lt;0,"Loss",IF(T569=0,"Break-even","Profit"))</f>
        <v>Profit</v>
      </c>
      <c r="V569" s="3" t="str">
        <f aca="false">IF(Q569&lt;100,"Low",IF(Q569&lt;=500,"Medium","High"))</f>
        <v>High</v>
      </c>
      <c r="W569" s="3" t="n">
        <f aca="false">D569-C569</f>
        <v>4</v>
      </c>
      <c r="X569" s="3" t="str">
        <f aca="false">TEXT(C569,"mmmm")</f>
        <v>February</v>
      </c>
      <c r="Y569" s="3" t="str">
        <f aca="false">LEFT(G569,1)&amp;MID(G569,FIND(" ",G569)+1,1)</f>
        <v>DW</v>
      </c>
    </row>
    <row r="570" customFormat="false" ht="15" hidden="false" customHeight="false" outlineLevel="0" collapsed="false">
      <c r="A570" s="3" t="n">
        <v>569</v>
      </c>
      <c r="B570" s="3" t="s">
        <v>1685</v>
      </c>
      <c r="C570" s="4" t="s">
        <v>1673</v>
      </c>
      <c r="D570" s="4" t="s">
        <v>1686</v>
      </c>
      <c r="E570" s="3" t="s">
        <v>28</v>
      </c>
      <c r="F570" s="3" t="s">
        <v>653</v>
      </c>
      <c r="G570" s="3" t="s">
        <v>654</v>
      </c>
      <c r="H570" s="3" t="s">
        <v>56</v>
      </c>
      <c r="I570" s="3" t="s">
        <v>32</v>
      </c>
      <c r="J570" s="3" t="s">
        <v>306</v>
      </c>
      <c r="K570" s="3" t="s">
        <v>307</v>
      </c>
      <c r="L570" s="3" t="s">
        <v>69</v>
      </c>
      <c r="M570" s="3" t="s">
        <v>114</v>
      </c>
      <c r="N570" s="3" t="s">
        <v>49</v>
      </c>
      <c r="O570" s="3" t="s">
        <v>61</v>
      </c>
      <c r="P570" s="3" t="s">
        <v>115</v>
      </c>
      <c r="Q570" s="5" t="n">
        <v>258.63</v>
      </c>
      <c r="R570" s="3" t="n">
        <v>13</v>
      </c>
      <c r="S570" s="6" t="n">
        <v>0</v>
      </c>
      <c r="T570" s="5" t="n">
        <v>77.5</v>
      </c>
      <c r="U570" s="3" t="str">
        <f aca="false">IF(T570&lt;0,"Loss",IF(T570=0,"Break-even","Profit"))</f>
        <v>Profit</v>
      </c>
      <c r="V570" s="3" t="str">
        <f aca="false">IF(Q570&lt;100,"Low",IF(Q570&lt;=500,"Medium","High"))</f>
        <v>Medium</v>
      </c>
      <c r="W570" s="3" t="n">
        <f aca="false">D570-C570</f>
        <v>6</v>
      </c>
      <c r="X570" s="3" t="str">
        <f aca="false">TEXT(C570,"mmmm")</f>
        <v>February</v>
      </c>
      <c r="Y570" s="3" t="str">
        <f aca="false">LEFT(G570,1)&amp;MID(G570,FIND(" ",G570)+1,1)</f>
        <v>MT</v>
      </c>
    </row>
    <row r="571" customFormat="false" ht="15" hidden="false" customHeight="false" outlineLevel="0" collapsed="false">
      <c r="A571" s="3" t="n">
        <v>570</v>
      </c>
      <c r="B571" s="3" t="s">
        <v>1687</v>
      </c>
      <c r="C571" s="4" t="s">
        <v>1677</v>
      </c>
      <c r="D571" s="4" t="s">
        <v>1688</v>
      </c>
      <c r="E571" s="3" t="s">
        <v>28</v>
      </c>
      <c r="F571" s="3" t="s">
        <v>1689</v>
      </c>
      <c r="G571" s="3" t="s">
        <v>1690</v>
      </c>
      <c r="H571" s="3" t="s">
        <v>56</v>
      </c>
      <c r="I571" s="3" t="s">
        <v>32</v>
      </c>
      <c r="J571" s="3" t="s">
        <v>120</v>
      </c>
      <c r="K571" s="3" t="s">
        <v>113</v>
      </c>
      <c r="L571" s="3" t="s">
        <v>69</v>
      </c>
      <c r="M571" s="3" t="s">
        <v>173</v>
      </c>
      <c r="N571" s="3" t="s">
        <v>89</v>
      </c>
      <c r="O571" s="3" t="s">
        <v>174</v>
      </c>
      <c r="P571" s="3" t="s">
        <v>175</v>
      </c>
      <c r="Q571" s="5" t="n">
        <v>2231.58</v>
      </c>
      <c r="R571" s="3" t="n">
        <v>7</v>
      </c>
      <c r="S571" s="6" t="n">
        <v>0.1</v>
      </c>
      <c r="T571" s="5" t="n">
        <v>-231.77</v>
      </c>
      <c r="U571" s="3" t="str">
        <f aca="false">IF(T571&lt;0,"Loss",IF(T571=0,"Break-even","Profit"))</f>
        <v>Loss</v>
      </c>
      <c r="V571" s="3" t="str">
        <f aca="false">IF(Q571&lt;100,"Low",IF(Q571&lt;=500,"Medium","High"))</f>
        <v>High</v>
      </c>
      <c r="W571" s="3" t="n">
        <f aca="false">D571-C571</f>
        <v>6</v>
      </c>
      <c r="X571" s="3" t="str">
        <f aca="false">TEXT(C571,"mmmm")</f>
        <v>February</v>
      </c>
      <c r="Y571" s="3" t="str">
        <f aca="false">LEFT(G571,1)&amp;MID(G571,FIND(" ",G571)+1,1)</f>
        <v>CK</v>
      </c>
    </row>
    <row r="572" customFormat="false" ht="15" hidden="false" customHeight="false" outlineLevel="0" collapsed="false">
      <c r="A572" s="3" t="n">
        <v>571</v>
      </c>
      <c r="B572" s="3" t="s">
        <v>1691</v>
      </c>
      <c r="C572" s="4" t="s">
        <v>1684</v>
      </c>
      <c r="D572" s="4" t="s">
        <v>1686</v>
      </c>
      <c r="E572" s="3" t="s">
        <v>84</v>
      </c>
      <c r="F572" s="3" t="s">
        <v>1692</v>
      </c>
      <c r="G572" s="3" t="s">
        <v>1693</v>
      </c>
      <c r="H572" s="3" t="s">
        <v>56</v>
      </c>
      <c r="I572" s="3" t="s">
        <v>32</v>
      </c>
      <c r="J572" s="3" t="s">
        <v>104</v>
      </c>
      <c r="K572" s="3" t="s">
        <v>96</v>
      </c>
      <c r="L572" s="3" t="s">
        <v>59</v>
      </c>
      <c r="M572" s="3" t="s">
        <v>461</v>
      </c>
      <c r="N572" s="3" t="s">
        <v>37</v>
      </c>
      <c r="O572" s="3" t="s">
        <v>71</v>
      </c>
      <c r="P572" s="3" t="s">
        <v>462</v>
      </c>
      <c r="Q572" s="5" t="n">
        <v>1752.08</v>
      </c>
      <c r="R572" s="3" t="n">
        <v>11</v>
      </c>
      <c r="S572" s="6" t="n">
        <v>0</v>
      </c>
      <c r="T572" s="5" t="n">
        <v>-323.2</v>
      </c>
      <c r="U572" s="3" t="str">
        <f aca="false">IF(T572&lt;0,"Loss",IF(T572=0,"Break-even","Profit"))</f>
        <v>Loss</v>
      </c>
      <c r="V572" s="3" t="str">
        <f aca="false">IF(Q572&lt;100,"Low",IF(Q572&lt;=500,"Medium","High"))</f>
        <v>High</v>
      </c>
      <c r="W572" s="3" t="n">
        <f aca="false">D572-C572</f>
        <v>3</v>
      </c>
      <c r="X572" s="3" t="str">
        <f aca="false">TEXT(C572,"mmmm")</f>
        <v>February</v>
      </c>
      <c r="Y572" s="3" t="str">
        <f aca="false">LEFT(G572,1)&amp;MID(G572,FIND(" ",G572)+1,1)</f>
        <v>SW</v>
      </c>
    </row>
    <row r="573" customFormat="false" ht="15" hidden="false" customHeight="false" outlineLevel="0" collapsed="false">
      <c r="A573" s="3" t="n">
        <v>572</v>
      </c>
      <c r="B573" s="3" t="s">
        <v>1694</v>
      </c>
      <c r="C573" s="4" t="s">
        <v>1684</v>
      </c>
      <c r="D573" s="4" t="s">
        <v>1695</v>
      </c>
      <c r="E573" s="3" t="s">
        <v>42</v>
      </c>
      <c r="F573" s="3" t="s">
        <v>1696</v>
      </c>
      <c r="G573" s="3" t="s">
        <v>1697</v>
      </c>
      <c r="H573" s="3" t="s">
        <v>56</v>
      </c>
      <c r="I573" s="3" t="s">
        <v>32</v>
      </c>
      <c r="J573" s="3" t="s">
        <v>33</v>
      </c>
      <c r="K573" s="3" t="s">
        <v>34</v>
      </c>
      <c r="L573" s="3" t="s">
        <v>35</v>
      </c>
      <c r="M573" s="3" t="s">
        <v>420</v>
      </c>
      <c r="N573" s="3" t="s">
        <v>49</v>
      </c>
      <c r="O573" s="3" t="s">
        <v>80</v>
      </c>
      <c r="P573" s="3" t="s">
        <v>421</v>
      </c>
      <c r="Q573" s="5" t="n">
        <v>104.55</v>
      </c>
      <c r="R573" s="3" t="n">
        <v>1</v>
      </c>
      <c r="S573" s="6" t="n">
        <v>0.4</v>
      </c>
      <c r="T573" s="5" t="n">
        <v>23.12</v>
      </c>
      <c r="U573" s="3" t="str">
        <f aca="false">IF(T573&lt;0,"Loss",IF(T573=0,"Break-even","Profit"))</f>
        <v>Profit</v>
      </c>
      <c r="V573" s="3" t="str">
        <f aca="false">IF(Q573&lt;100,"Low",IF(Q573&lt;=500,"Medium","High"))</f>
        <v>Medium</v>
      </c>
      <c r="W573" s="3" t="n">
        <f aca="false">D573-C573</f>
        <v>2</v>
      </c>
      <c r="X573" s="3" t="str">
        <f aca="false">TEXT(C573,"mmmm")</f>
        <v>February</v>
      </c>
      <c r="Y573" s="3" t="str">
        <f aca="false">LEFT(G573,1)&amp;MID(G573,FIND(" ",G573)+1,1)</f>
        <v>MT</v>
      </c>
    </row>
    <row r="574" customFormat="false" ht="15" hidden="false" customHeight="false" outlineLevel="0" collapsed="false">
      <c r="A574" s="3" t="n">
        <v>573</v>
      </c>
      <c r="B574" s="3" t="s">
        <v>1698</v>
      </c>
      <c r="C574" s="4" t="s">
        <v>1684</v>
      </c>
      <c r="D574" s="4" t="s">
        <v>1699</v>
      </c>
      <c r="E574" s="3" t="s">
        <v>28</v>
      </c>
      <c r="F574" s="3" t="s">
        <v>1700</v>
      </c>
      <c r="G574" s="3" t="s">
        <v>1701</v>
      </c>
      <c r="H574" s="3" t="s">
        <v>45</v>
      </c>
      <c r="I574" s="3" t="s">
        <v>32</v>
      </c>
      <c r="J574" s="3" t="s">
        <v>679</v>
      </c>
      <c r="K574" s="3" t="s">
        <v>202</v>
      </c>
      <c r="L574" s="3" t="s">
        <v>35</v>
      </c>
      <c r="M574" s="3" t="s">
        <v>420</v>
      </c>
      <c r="N574" s="3" t="s">
        <v>49</v>
      </c>
      <c r="O574" s="3" t="s">
        <v>80</v>
      </c>
      <c r="P574" s="3" t="s">
        <v>421</v>
      </c>
      <c r="Q574" s="5" t="n">
        <v>320.83</v>
      </c>
      <c r="R574" s="3" t="n">
        <v>10</v>
      </c>
      <c r="S574" s="6" t="n">
        <v>0</v>
      </c>
      <c r="T574" s="5" t="n">
        <v>104.67</v>
      </c>
      <c r="U574" s="3" t="str">
        <f aca="false">IF(T574&lt;0,"Loss",IF(T574=0,"Break-even","Profit"))</f>
        <v>Profit</v>
      </c>
      <c r="V574" s="3" t="str">
        <f aca="false">IF(Q574&lt;100,"Low",IF(Q574&lt;=500,"Medium","High"))</f>
        <v>Medium</v>
      </c>
      <c r="W574" s="3" t="n">
        <f aca="false">D574-C574</f>
        <v>5</v>
      </c>
      <c r="X574" s="3" t="str">
        <f aca="false">TEXT(C574,"mmmm")</f>
        <v>February</v>
      </c>
      <c r="Y574" s="3" t="str">
        <f aca="false">LEFT(G574,1)&amp;MID(G574,FIND(" ",G574)+1,1)</f>
        <v>AT</v>
      </c>
    </row>
    <row r="575" customFormat="false" ht="15" hidden="false" customHeight="false" outlineLevel="0" collapsed="false">
      <c r="A575" s="3" t="n">
        <v>574</v>
      </c>
      <c r="B575" s="3" t="s">
        <v>1702</v>
      </c>
      <c r="C575" s="4" t="s">
        <v>1703</v>
      </c>
      <c r="D575" s="4" t="s">
        <v>1688</v>
      </c>
      <c r="E575" s="3" t="s">
        <v>84</v>
      </c>
      <c r="F575" s="3" t="s">
        <v>784</v>
      </c>
      <c r="G575" s="3" t="s">
        <v>785</v>
      </c>
      <c r="H575" s="3" t="s">
        <v>31</v>
      </c>
      <c r="I575" s="3" t="s">
        <v>32</v>
      </c>
      <c r="J575" s="3" t="s">
        <v>299</v>
      </c>
      <c r="K575" s="3" t="s">
        <v>189</v>
      </c>
      <c r="L575" s="3" t="s">
        <v>59</v>
      </c>
      <c r="M575" s="3" t="s">
        <v>114</v>
      </c>
      <c r="N575" s="3" t="s">
        <v>49</v>
      </c>
      <c r="O575" s="3" t="s">
        <v>61</v>
      </c>
      <c r="P575" s="3" t="s">
        <v>115</v>
      </c>
      <c r="Q575" s="5" t="n">
        <v>688.97</v>
      </c>
      <c r="R575" s="3" t="n">
        <v>8</v>
      </c>
      <c r="S575" s="6" t="n">
        <v>0</v>
      </c>
      <c r="T575" s="5" t="n">
        <v>-118.33</v>
      </c>
      <c r="U575" s="3" t="str">
        <f aca="false">IF(T575&lt;0,"Loss",IF(T575=0,"Break-even","Profit"))</f>
        <v>Loss</v>
      </c>
      <c r="V575" s="3" t="str">
        <f aca="false">IF(Q575&lt;100,"Low",IF(Q575&lt;=500,"Medium","High"))</f>
        <v>High</v>
      </c>
      <c r="W575" s="3" t="n">
        <f aca="false">D575-C575</f>
        <v>3</v>
      </c>
      <c r="X575" s="3" t="str">
        <f aca="false">TEXT(C575,"mmmm")</f>
        <v>February</v>
      </c>
      <c r="Y575" s="3" t="str">
        <f aca="false">LEFT(G575,1)&amp;MID(G575,FIND(" ",G575)+1,1)</f>
        <v>CR</v>
      </c>
    </row>
    <row r="576" customFormat="false" ht="15" hidden="false" customHeight="false" outlineLevel="0" collapsed="false">
      <c r="A576" s="3" t="n">
        <v>575</v>
      </c>
      <c r="B576" s="3" t="s">
        <v>1704</v>
      </c>
      <c r="C576" s="4" t="s">
        <v>1695</v>
      </c>
      <c r="D576" s="4" t="s">
        <v>1705</v>
      </c>
      <c r="E576" s="3" t="s">
        <v>28</v>
      </c>
      <c r="F576" s="3" t="s">
        <v>412</v>
      </c>
      <c r="G576" s="3" t="s">
        <v>413</v>
      </c>
      <c r="H576" s="3" t="s">
        <v>31</v>
      </c>
      <c r="I576" s="3" t="s">
        <v>32</v>
      </c>
      <c r="J576" s="3" t="s">
        <v>87</v>
      </c>
      <c r="K576" s="3" t="s">
        <v>68</v>
      </c>
      <c r="L576" s="3" t="s">
        <v>69</v>
      </c>
      <c r="M576" s="3" t="s">
        <v>142</v>
      </c>
      <c r="N576" s="3" t="s">
        <v>49</v>
      </c>
      <c r="O576" s="3" t="s">
        <v>143</v>
      </c>
      <c r="P576" s="3" t="s">
        <v>144</v>
      </c>
      <c r="Q576" s="5" t="n">
        <v>389.57</v>
      </c>
      <c r="R576" s="3" t="n">
        <v>4</v>
      </c>
      <c r="S576" s="6" t="n">
        <v>0</v>
      </c>
      <c r="T576" s="5" t="n">
        <v>-58.96</v>
      </c>
      <c r="U576" s="3" t="str">
        <f aca="false">IF(T576&lt;0,"Loss",IF(T576=0,"Break-even","Profit"))</f>
        <v>Loss</v>
      </c>
      <c r="V576" s="3" t="str">
        <f aca="false">IF(Q576&lt;100,"Low",IF(Q576&lt;=500,"Medium","High"))</f>
        <v>Medium</v>
      </c>
      <c r="W576" s="3" t="n">
        <f aca="false">D576-C576</f>
        <v>6</v>
      </c>
      <c r="X576" s="3" t="str">
        <f aca="false">TEXT(C576,"mmmm")</f>
        <v>February</v>
      </c>
      <c r="Y576" s="3" t="str">
        <f aca="false">LEFT(G576,1)&amp;MID(G576,FIND(" ",G576)+1,1)</f>
        <v>LS</v>
      </c>
    </row>
    <row r="577" customFormat="false" ht="15" hidden="false" customHeight="false" outlineLevel="0" collapsed="false">
      <c r="A577" s="3" t="n">
        <v>576</v>
      </c>
      <c r="B577" s="3" t="s">
        <v>1706</v>
      </c>
      <c r="C577" s="4" t="s">
        <v>1686</v>
      </c>
      <c r="D577" s="4" t="s">
        <v>1705</v>
      </c>
      <c r="E577" s="3" t="s">
        <v>28</v>
      </c>
      <c r="F577" s="3" t="s">
        <v>304</v>
      </c>
      <c r="G577" s="3" t="s">
        <v>305</v>
      </c>
      <c r="H577" s="3" t="s">
        <v>56</v>
      </c>
      <c r="I577" s="3" t="s">
        <v>32</v>
      </c>
      <c r="J577" s="3" t="s">
        <v>215</v>
      </c>
      <c r="K577" s="3" t="s">
        <v>34</v>
      </c>
      <c r="L577" s="3" t="s">
        <v>35</v>
      </c>
      <c r="M577" s="3" t="s">
        <v>209</v>
      </c>
      <c r="N577" s="3" t="s">
        <v>49</v>
      </c>
      <c r="O577" s="3" t="s">
        <v>106</v>
      </c>
      <c r="P577" s="3" t="s">
        <v>210</v>
      </c>
      <c r="Q577" s="5" t="n">
        <v>261.98</v>
      </c>
      <c r="R577" s="3" t="n">
        <v>11</v>
      </c>
      <c r="S577" s="6" t="n">
        <v>0</v>
      </c>
      <c r="T577" s="5" t="n">
        <v>4.58</v>
      </c>
      <c r="U577" s="3" t="str">
        <f aca="false">IF(T577&lt;0,"Loss",IF(T577=0,"Break-even","Profit"))</f>
        <v>Profit</v>
      </c>
      <c r="V577" s="3" t="str">
        <f aca="false">IF(Q577&lt;100,"Low",IF(Q577&lt;=500,"Medium","High"))</f>
        <v>Medium</v>
      </c>
      <c r="W577" s="3" t="n">
        <f aca="false">D577-C577</f>
        <v>5</v>
      </c>
      <c r="X577" s="3" t="str">
        <f aca="false">TEXT(C577,"mmmm")</f>
        <v>February</v>
      </c>
      <c r="Y577" s="3" t="str">
        <f aca="false">LEFT(G577,1)&amp;MID(G577,FIND(" ",G577)+1,1)</f>
        <v>DW</v>
      </c>
    </row>
    <row r="578" customFormat="false" ht="15" hidden="false" customHeight="false" outlineLevel="0" collapsed="false">
      <c r="A578" s="3" t="n">
        <v>577</v>
      </c>
      <c r="B578" s="3" t="s">
        <v>1707</v>
      </c>
      <c r="C578" s="4" t="s">
        <v>1686</v>
      </c>
      <c r="D578" s="4" t="s">
        <v>1708</v>
      </c>
      <c r="E578" s="3" t="s">
        <v>84</v>
      </c>
      <c r="F578" s="3" t="s">
        <v>288</v>
      </c>
      <c r="G578" s="3" t="s">
        <v>289</v>
      </c>
      <c r="H578" s="3" t="s">
        <v>56</v>
      </c>
      <c r="I578" s="3" t="s">
        <v>32</v>
      </c>
      <c r="J578" s="3" t="s">
        <v>201</v>
      </c>
      <c r="K578" s="3" t="s">
        <v>202</v>
      </c>
      <c r="L578" s="3" t="s">
        <v>35</v>
      </c>
      <c r="M578" s="3" t="s">
        <v>149</v>
      </c>
      <c r="N578" s="3" t="s">
        <v>49</v>
      </c>
      <c r="O578" s="3" t="s">
        <v>150</v>
      </c>
      <c r="P578" s="3" t="s">
        <v>151</v>
      </c>
      <c r="Q578" s="5" t="n">
        <v>719.42</v>
      </c>
      <c r="R578" s="3" t="n">
        <v>14</v>
      </c>
      <c r="S578" s="6" t="n">
        <v>0.5</v>
      </c>
      <c r="T578" s="5" t="n">
        <v>147.93</v>
      </c>
      <c r="U578" s="3" t="str">
        <f aca="false">IF(T578&lt;0,"Loss",IF(T578=0,"Break-even","Profit"))</f>
        <v>Profit</v>
      </c>
      <c r="V578" s="3" t="str">
        <f aca="false">IF(Q578&lt;100,"Low",IF(Q578&lt;=500,"Medium","High"))</f>
        <v>High</v>
      </c>
      <c r="W578" s="3" t="n">
        <f aca="false">D578-C578</f>
        <v>3</v>
      </c>
      <c r="X578" s="3" t="str">
        <f aca="false">TEXT(C578,"mmmm")</f>
        <v>February</v>
      </c>
      <c r="Y578" s="3" t="str">
        <f aca="false">LEFT(G578,1)&amp;MID(G578,FIND(" ",G578)+1,1)</f>
        <v>JJ</v>
      </c>
    </row>
    <row r="579" customFormat="false" ht="15" hidden="false" customHeight="false" outlineLevel="0" collapsed="false">
      <c r="A579" s="3" t="n">
        <v>578</v>
      </c>
      <c r="B579" s="3" t="s">
        <v>1709</v>
      </c>
      <c r="C579" s="4" t="s">
        <v>1688</v>
      </c>
      <c r="D579" s="4" t="s">
        <v>1710</v>
      </c>
      <c r="E579" s="3" t="s">
        <v>28</v>
      </c>
      <c r="F579" s="3" t="s">
        <v>228</v>
      </c>
      <c r="G579" s="3" t="s">
        <v>229</v>
      </c>
      <c r="H579" s="3" t="s">
        <v>45</v>
      </c>
      <c r="I579" s="3" t="s">
        <v>32</v>
      </c>
      <c r="J579" s="3" t="s">
        <v>148</v>
      </c>
      <c r="K579" s="3" t="s">
        <v>78</v>
      </c>
      <c r="L579" s="3" t="s">
        <v>59</v>
      </c>
      <c r="M579" s="3" t="s">
        <v>461</v>
      </c>
      <c r="N579" s="3" t="s">
        <v>37</v>
      </c>
      <c r="O579" s="3" t="s">
        <v>71</v>
      </c>
      <c r="P579" s="3" t="s">
        <v>462</v>
      </c>
      <c r="Q579" s="5" t="n">
        <v>8410.45</v>
      </c>
      <c r="R579" s="3" t="n">
        <v>8</v>
      </c>
      <c r="S579" s="6" t="n">
        <v>0.1</v>
      </c>
      <c r="T579" s="5" t="n">
        <v>1315.46</v>
      </c>
      <c r="U579" s="3" t="str">
        <f aca="false">IF(T579&lt;0,"Loss",IF(T579=0,"Break-even","Profit"))</f>
        <v>Profit</v>
      </c>
      <c r="V579" s="3" t="str">
        <f aca="false">IF(Q579&lt;100,"Low",IF(Q579&lt;=500,"Medium","High"))</f>
        <v>High</v>
      </c>
      <c r="W579" s="3" t="n">
        <f aca="false">D579-C579</f>
        <v>7</v>
      </c>
      <c r="X579" s="3" t="str">
        <f aca="false">TEXT(C579,"mmmm")</f>
        <v>February</v>
      </c>
      <c r="Y579" s="3" t="str">
        <f aca="false">LEFT(G579,1)&amp;MID(G579,FIND(" ",G579)+1,1)</f>
        <v>ST</v>
      </c>
    </row>
    <row r="580" customFormat="false" ht="15" hidden="false" customHeight="false" outlineLevel="0" collapsed="false">
      <c r="A580" s="3" t="n">
        <v>579</v>
      </c>
      <c r="B580" s="3" t="s">
        <v>1711</v>
      </c>
      <c r="C580" s="4" t="s">
        <v>1699</v>
      </c>
      <c r="D580" s="4" t="s">
        <v>1712</v>
      </c>
      <c r="E580" s="3" t="s">
        <v>28</v>
      </c>
      <c r="F580" s="3" t="s">
        <v>1002</v>
      </c>
      <c r="G580" s="3" t="s">
        <v>1003</v>
      </c>
      <c r="H580" s="3" t="s">
        <v>45</v>
      </c>
      <c r="I580" s="3" t="s">
        <v>32</v>
      </c>
      <c r="J580" s="3" t="s">
        <v>663</v>
      </c>
      <c r="K580" s="3" t="s">
        <v>307</v>
      </c>
      <c r="L580" s="3" t="s">
        <v>69</v>
      </c>
      <c r="M580" s="3" t="s">
        <v>127</v>
      </c>
      <c r="N580" s="3" t="s">
        <v>49</v>
      </c>
      <c r="O580" s="3" t="s">
        <v>61</v>
      </c>
      <c r="P580" s="3" t="s">
        <v>128</v>
      </c>
      <c r="Q580" s="5" t="n">
        <v>466.39</v>
      </c>
      <c r="R580" s="3" t="n">
        <v>5</v>
      </c>
      <c r="S580" s="6" t="n">
        <v>0</v>
      </c>
      <c r="T580" s="5" t="n">
        <v>103.13</v>
      </c>
      <c r="U580" s="3" t="str">
        <f aca="false">IF(T580&lt;0,"Loss",IF(T580=0,"Break-even","Profit"))</f>
        <v>Profit</v>
      </c>
      <c r="V580" s="3" t="str">
        <f aca="false">IF(Q580&lt;100,"Low",IF(Q580&lt;=500,"Medium","High"))</f>
        <v>Medium</v>
      </c>
      <c r="W580" s="3" t="n">
        <f aca="false">D580-C580</f>
        <v>5</v>
      </c>
      <c r="X580" s="3" t="str">
        <f aca="false">TEXT(C580,"mmmm")</f>
        <v>February</v>
      </c>
      <c r="Y580" s="3" t="str">
        <f aca="false">LEFT(G580,1)&amp;MID(G580,FIND(" ",G580)+1,1)</f>
        <v>JN</v>
      </c>
    </row>
    <row r="581" customFormat="false" ht="15" hidden="false" customHeight="false" outlineLevel="0" collapsed="false">
      <c r="A581" s="3" t="n">
        <v>580</v>
      </c>
      <c r="B581" s="3" t="s">
        <v>1713</v>
      </c>
      <c r="C581" s="4" t="s">
        <v>1699</v>
      </c>
      <c r="D581" s="4" t="s">
        <v>1705</v>
      </c>
      <c r="E581" s="3" t="s">
        <v>84</v>
      </c>
      <c r="F581" s="3" t="s">
        <v>1714</v>
      </c>
      <c r="G581" s="3" t="s">
        <v>1715</v>
      </c>
      <c r="H581" s="3" t="s">
        <v>45</v>
      </c>
      <c r="I581" s="3" t="s">
        <v>32</v>
      </c>
      <c r="J581" s="3" t="s">
        <v>148</v>
      </c>
      <c r="K581" s="3" t="s">
        <v>78</v>
      </c>
      <c r="L581" s="3" t="s">
        <v>59</v>
      </c>
      <c r="M581" s="3" t="s">
        <v>290</v>
      </c>
      <c r="N581" s="3" t="s">
        <v>37</v>
      </c>
      <c r="O581" s="3" t="s">
        <v>38</v>
      </c>
      <c r="P581" s="3" t="s">
        <v>291</v>
      </c>
      <c r="Q581" s="5" t="n">
        <v>890.34</v>
      </c>
      <c r="R581" s="3" t="n">
        <v>14</v>
      </c>
      <c r="S581" s="6" t="n">
        <v>0</v>
      </c>
      <c r="T581" s="5" t="n">
        <v>-80.48</v>
      </c>
      <c r="U581" s="3" t="str">
        <f aca="false">IF(T581&lt;0,"Loss",IF(T581=0,"Break-even","Profit"))</f>
        <v>Loss</v>
      </c>
      <c r="V581" s="3" t="str">
        <f aca="false">IF(Q581&lt;100,"Low",IF(Q581&lt;=500,"Medium","High"))</f>
        <v>High</v>
      </c>
      <c r="W581" s="3" t="n">
        <f aca="false">D581-C581</f>
        <v>3</v>
      </c>
      <c r="X581" s="3" t="str">
        <f aca="false">TEXT(C581,"mmmm")</f>
        <v>February</v>
      </c>
      <c r="Y581" s="3" t="str">
        <f aca="false">LEFT(G581,1)&amp;MID(G581,FIND(" ",G581)+1,1)</f>
        <v>AD</v>
      </c>
    </row>
    <row r="582" customFormat="false" ht="15" hidden="false" customHeight="false" outlineLevel="0" collapsed="false">
      <c r="A582" s="3" t="n">
        <v>581</v>
      </c>
      <c r="B582" s="3" t="s">
        <v>1716</v>
      </c>
      <c r="C582" s="4" t="s">
        <v>1708</v>
      </c>
      <c r="D582" s="4" t="s">
        <v>1712</v>
      </c>
      <c r="E582" s="3" t="s">
        <v>84</v>
      </c>
      <c r="F582" s="3" t="s">
        <v>310</v>
      </c>
      <c r="G582" s="3" t="s">
        <v>311</v>
      </c>
      <c r="H582" s="3" t="s">
        <v>56</v>
      </c>
      <c r="I582" s="3" t="s">
        <v>32</v>
      </c>
      <c r="J582" s="3" t="s">
        <v>77</v>
      </c>
      <c r="K582" s="3" t="s">
        <v>78</v>
      </c>
      <c r="L582" s="3" t="s">
        <v>59</v>
      </c>
      <c r="M582" s="3" t="s">
        <v>347</v>
      </c>
      <c r="N582" s="3" t="s">
        <v>49</v>
      </c>
      <c r="O582" s="3" t="s">
        <v>220</v>
      </c>
      <c r="P582" s="3" t="s">
        <v>348</v>
      </c>
      <c r="Q582" s="5" t="n">
        <v>103.77</v>
      </c>
      <c r="R582" s="3" t="n">
        <v>10</v>
      </c>
      <c r="S582" s="6" t="n">
        <v>0</v>
      </c>
      <c r="T582" s="5" t="n">
        <v>30.43</v>
      </c>
      <c r="U582" s="3" t="str">
        <f aca="false">IF(T582&lt;0,"Loss",IF(T582=0,"Break-even","Profit"))</f>
        <v>Profit</v>
      </c>
      <c r="V582" s="3" t="str">
        <f aca="false">IF(Q582&lt;100,"Low",IF(Q582&lt;=500,"Medium","High"))</f>
        <v>Medium</v>
      </c>
      <c r="W582" s="3" t="n">
        <f aca="false">D582-C582</f>
        <v>4</v>
      </c>
      <c r="X582" s="3" t="str">
        <f aca="false">TEXT(C582,"mmmm")</f>
        <v>February</v>
      </c>
      <c r="Y582" s="3" t="str">
        <f aca="false">LEFT(G582,1)&amp;MID(G582,FIND(" ",G582)+1,1)</f>
        <v>FD</v>
      </c>
    </row>
    <row r="583" customFormat="false" ht="15" hidden="false" customHeight="false" outlineLevel="0" collapsed="false">
      <c r="A583" s="3" t="n">
        <v>582</v>
      </c>
      <c r="B583" s="3" t="s">
        <v>1717</v>
      </c>
      <c r="C583" s="4" t="s">
        <v>1718</v>
      </c>
      <c r="D583" s="4" t="s">
        <v>1719</v>
      </c>
      <c r="E583" s="3" t="s">
        <v>84</v>
      </c>
      <c r="F583" s="3" t="s">
        <v>653</v>
      </c>
      <c r="G583" s="3" t="s">
        <v>654</v>
      </c>
      <c r="H583" s="3" t="s">
        <v>45</v>
      </c>
      <c r="I583" s="3" t="s">
        <v>32</v>
      </c>
      <c r="J583" s="3" t="s">
        <v>616</v>
      </c>
      <c r="K583" s="3" t="s">
        <v>156</v>
      </c>
      <c r="L583" s="3" t="s">
        <v>157</v>
      </c>
      <c r="M583" s="3" t="s">
        <v>114</v>
      </c>
      <c r="N583" s="3" t="s">
        <v>49</v>
      </c>
      <c r="O583" s="3" t="s">
        <v>61</v>
      </c>
      <c r="P583" s="3" t="s">
        <v>115</v>
      </c>
      <c r="Q583" s="5" t="n">
        <v>98.34</v>
      </c>
      <c r="R583" s="3" t="n">
        <v>7</v>
      </c>
      <c r="S583" s="6" t="n">
        <v>0.5</v>
      </c>
      <c r="T583" s="5" t="n">
        <v>-10</v>
      </c>
      <c r="U583" s="3" t="str">
        <f aca="false">IF(T583&lt;0,"Loss",IF(T583=0,"Break-even","Profit"))</f>
        <v>Loss</v>
      </c>
      <c r="V583" s="3" t="str">
        <f aca="false">IF(Q583&lt;100,"Low",IF(Q583&lt;=500,"Medium","High"))</f>
        <v>Low</v>
      </c>
      <c r="W583" s="3" t="n">
        <f aca="false">D583-C583</f>
        <v>2</v>
      </c>
      <c r="X583" s="3" t="str">
        <f aca="false">TEXT(C583,"mmmm")</f>
        <v>February</v>
      </c>
      <c r="Y583" s="3" t="str">
        <f aca="false">LEFT(G583,1)&amp;MID(G583,FIND(" ",G583)+1,1)</f>
        <v>MT</v>
      </c>
    </row>
    <row r="584" customFormat="false" ht="15" hidden="false" customHeight="false" outlineLevel="0" collapsed="false">
      <c r="A584" s="3" t="n">
        <v>583</v>
      </c>
      <c r="B584" s="3" t="s">
        <v>1720</v>
      </c>
      <c r="C584" s="4" t="s">
        <v>1718</v>
      </c>
      <c r="D584" s="4" t="s">
        <v>1721</v>
      </c>
      <c r="E584" s="3" t="s">
        <v>28</v>
      </c>
      <c r="F584" s="3" t="s">
        <v>1722</v>
      </c>
      <c r="G584" s="3" t="s">
        <v>1723</v>
      </c>
      <c r="H584" s="3" t="s">
        <v>31</v>
      </c>
      <c r="I584" s="3" t="s">
        <v>32</v>
      </c>
      <c r="J584" s="3" t="s">
        <v>133</v>
      </c>
      <c r="K584" s="3" t="s">
        <v>134</v>
      </c>
      <c r="L584" s="3" t="s">
        <v>69</v>
      </c>
      <c r="M584" s="3" t="s">
        <v>121</v>
      </c>
      <c r="N584" s="3" t="s">
        <v>49</v>
      </c>
      <c r="O584" s="3" t="s">
        <v>50</v>
      </c>
      <c r="P584" s="3" t="s">
        <v>122</v>
      </c>
      <c r="Q584" s="5" t="n">
        <v>209.23</v>
      </c>
      <c r="R584" s="3" t="n">
        <v>3</v>
      </c>
      <c r="S584" s="6" t="n">
        <v>0</v>
      </c>
      <c r="T584" s="5" t="n">
        <v>1.89</v>
      </c>
      <c r="U584" s="3" t="str">
        <f aca="false">IF(T584&lt;0,"Loss",IF(T584=0,"Break-even","Profit"))</f>
        <v>Profit</v>
      </c>
      <c r="V584" s="3" t="str">
        <f aca="false">IF(Q584&lt;100,"Low",IF(Q584&lt;=500,"Medium","High"))</f>
        <v>Medium</v>
      </c>
      <c r="W584" s="3" t="n">
        <f aca="false">D584-C584</f>
        <v>5</v>
      </c>
      <c r="X584" s="3" t="str">
        <f aca="false">TEXT(C584,"mmmm")</f>
        <v>February</v>
      </c>
      <c r="Y584" s="3" t="str">
        <f aca="false">LEFT(G584,1)&amp;MID(G584,FIND(" ",G584)+1,1)</f>
        <v>MK</v>
      </c>
    </row>
    <row r="585" customFormat="false" ht="15" hidden="false" customHeight="false" outlineLevel="0" collapsed="false">
      <c r="A585" s="3" t="n">
        <v>584</v>
      </c>
      <c r="B585" s="3" t="s">
        <v>1724</v>
      </c>
      <c r="C585" s="4" t="s">
        <v>1719</v>
      </c>
      <c r="D585" s="4" t="s">
        <v>1725</v>
      </c>
      <c r="E585" s="3" t="s">
        <v>28</v>
      </c>
      <c r="F585" s="3" t="s">
        <v>1726</v>
      </c>
      <c r="G585" s="3" t="s">
        <v>1727</v>
      </c>
      <c r="H585" s="3" t="s">
        <v>56</v>
      </c>
      <c r="I585" s="3" t="s">
        <v>32</v>
      </c>
      <c r="J585" s="3" t="s">
        <v>148</v>
      </c>
      <c r="K585" s="3" t="s">
        <v>78</v>
      </c>
      <c r="L585" s="3" t="s">
        <v>59</v>
      </c>
      <c r="M585" s="3" t="s">
        <v>48</v>
      </c>
      <c r="N585" s="3" t="s">
        <v>49</v>
      </c>
      <c r="O585" s="3" t="s">
        <v>50</v>
      </c>
      <c r="P585" s="3" t="s">
        <v>51</v>
      </c>
      <c r="Q585" s="5" t="n">
        <v>297.39</v>
      </c>
      <c r="R585" s="3" t="n">
        <v>4</v>
      </c>
      <c r="S585" s="6" t="n">
        <v>0</v>
      </c>
      <c r="T585" s="5" t="n">
        <v>-1.12</v>
      </c>
      <c r="U585" s="3" t="str">
        <f aca="false">IF(T585&lt;0,"Loss",IF(T585=0,"Break-even","Profit"))</f>
        <v>Loss</v>
      </c>
      <c r="V585" s="3" t="str">
        <f aca="false">IF(Q585&lt;100,"Low",IF(Q585&lt;=500,"Medium","High"))</f>
        <v>Medium</v>
      </c>
      <c r="W585" s="3" t="n">
        <f aca="false">D585-C585</f>
        <v>6</v>
      </c>
      <c r="X585" s="3" t="str">
        <f aca="false">TEXT(C585,"mmmm")</f>
        <v>February</v>
      </c>
      <c r="Y585" s="3" t="str">
        <f aca="false">LEFT(G585,1)&amp;MID(G585,FIND(" ",G585)+1,1)</f>
        <v>FM</v>
      </c>
    </row>
    <row r="586" customFormat="false" ht="15" hidden="false" customHeight="false" outlineLevel="0" collapsed="false">
      <c r="A586" s="3" t="n">
        <v>585</v>
      </c>
      <c r="B586" s="3" t="s">
        <v>1728</v>
      </c>
      <c r="C586" s="4" t="s">
        <v>1719</v>
      </c>
      <c r="D586" s="4" t="s">
        <v>1710</v>
      </c>
      <c r="E586" s="3" t="s">
        <v>84</v>
      </c>
      <c r="F586" s="3" t="s">
        <v>332</v>
      </c>
      <c r="G586" s="3" t="s">
        <v>333</v>
      </c>
      <c r="H586" s="3" t="s">
        <v>45</v>
      </c>
      <c r="I586" s="3" t="s">
        <v>32</v>
      </c>
      <c r="J586" s="3" t="s">
        <v>548</v>
      </c>
      <c r="K586" s="3" t="s">
        <v>244</v>
      </c>
      <c r="L586" s="3" t="s">
        <v>157</v>
      </c>
      <c r="M586" s="3" t="s">
        <v>347</v>
      </c>
      <c r="N586" s="3" t="s">
        <v>49</v>
      </c>
      <c r="O586" s="3" t="s">
        <v>220</v>
      </c>
      <c r="P586" s="3" t="s">
        <v>348</v>
      </c>
      <c r="Q586" s="5" t="n">
        <v>309.38</v>
      </c>
      <c r="R586" s="3" t="n">
        <v>4</v>
      </c>
      <c r="S586" s="6" t="n">
        <v>0.2</v>
      </c>
      <c r="T586" s="5" t="n">
        <v>-38.96</v>
      </c>
      <c r="U586" s="3" t="str">
        <f aca="false">IF(T586&lt;0,"Loss",IF(T586=0,"Break-even","Profit"))</f>
        <v>Loss</v>
      </c>
      <c r="V586" s="3" t="str">
        <f aca="false">IF(Q586&lt;100,"Low",IF(Q586&lt;=500,"Medium","High"))</f>
        <v>Medium</v>
      </c>
      <c r="W586" s="3" t="n">
        <f aca="false">D586-C586</f>
        <v>2</v>
      </c>
      <c r="X586" s="3" t="str">
        <f aca="false">TEXT(C586,"mmmm")</f>
        <v>February</v>
      </c>
      <c r="Y586" s="3" t="str">
        <f aca="false">LEFT(G586,1)&amp;MID(G586,FIND(" ",G586)+1,1)</f>
        <v>AM</v>
      </c>
    </row>
    <row r="587" customFormat="false" ht="15" hidden="false" customHeight="false" outlineLevel="0" collapsed="false">
      <c r="A587" s="3" t="n">
        <v>586</v>
      </c>
      <c r="B587" s="3" t="s">
        <v>1729</v>
      </c>
      <c r="C587" s="4" t="s">
        <v>1712</v>
      </c>
      <c r="D587" s="4" t="s">
        <v>1721</v>
      </c>
      <c r="E587" s="3" t="s">
        <v>84</v>
      </c>
      <c r="F587" s="3" t="s">
        <v>768</v>
      </c>
      <c r="G587" s="3" t="s">
        <v>769</v>
      </c>
      <c r="H587" s="3" t="s">
        <v>45</v>
      </c>
      <c r="I587" s="3" t="s">
        <v>32</v>
      </c>
      <c r="J587" s="3" t="s">
        <v>95</v>
      </c>
      <c r="K587" s="3" t="s">
        <v>96</v>
      </c>
      <c r="L587" s="3" t="s">
        <v>59</v>
      </c>
      <c r="M587" s="3" t="s">
        <v>195</v>
      </c>
      <c r="N587" s="3" t="s">
        <v>37</v>
      </c>
      <c r="O587" s="3" t="s">
        <v>196</v>
      </c>
      <c r="P587" s="3" t="s">
        <v>197</v>
      </c>
      <c r="Q587" s="5" t="n">
        <v>15646.12</v>
      </c>
      <c r="R587" s="3" t="n">
        <v>12</v>
      </c>
      <c r="S587" s="6" t="n">
        <v>0.1</v>
      </c>
      <c r="T587" s="5" t="n">
        <v>706.24</v>
      </c>
      <c r="U587" s="3" t="str">
        <f aca="false">IF(T587&lt;0,"Loss",IF(T587=0,"Break-even","Profit"))</f>
        <v>Profit</v>
      </c>
      <c r="V587" s="3" t="str">
        <f aca="false">IF(Q587&lt;100,"Low",IF(Q587&lt;=500,"Medium","High"))</f>
        <v>High</v>
      </c>
      <c r="W587" s="3" t="n">
        <f aca="false">D587-C587</f>
        <v>2</v>
      </c>
      <c r="X587" s="3" t="str">
        <f aca="false">TEXT(C587,"mmmm")</f>
        <v>February</v>
      </c>
      <c r="Y587" s="3" t="str">
        <f aca="false">LEFT(G587,1)&amp;MID(G587,FIND(" ",G587)+1,1)</f>
        <v>OC</v>
      </c>
    </row>
    <row r="588" customFormat="false" ht="15" hidden="false" customHeight="false" outlineLevel="0" collapsed="false">
      <c r="A588" s="3" t="n">
        <v>587</v>
      </c>
      <c r="B588" s="3" t="s">
        <v>1730</v>
      </c>
      <c r="C588" s="4" t="s">
        <v>1710</v>
      </c>
      <c r="D588" s="4" t="s">
        <v>1731</v>
      </c>
      <c r="E588" s="3" t="s">
        <v>28</v>
      </c>
      <c r="F588" s="3" t="s">
        <v>1722</v>
      </c>
      <c r="G588" s="3" t="s">
        <v>1723</v>
      </c>
      <c r="H588" s="3" t="s">
        <v>56</v>
      </c>
      <c r="I588" s="3" t="s">
        <v>32</v>
      </c>
      <c r="J588" s="3" t="s">
        <v>46</v>
      </c>
      <c r="K588" s="3" t="s">
        <v>47</v>
      </c>
      <c r="L588" s="3" t="s">
        <v>35</v>
      </c>
      <c r="M588" s="3" t="s">
        <v>70</v>
      </c>
      <c r="N588" s="3" t="s">
        <v>37</v>
      </c>
      <c r="O588" s="3" t="s">
        <v>71</v>
      </c>
      <c r="P588" s="3" t="s">
        <v>72</v>
      </c>
      <c r="Q588" s="5" t="n">
        <v>838.83</v>
      </c>
      <c r="R588" s="3" t="n">
        <v>13</v>
      </c>
      <c r="S588" s="6" t="n">
        <v>0</v>
      </c>
      <c r="T588" s="5" t="n">
        <v>27.9</v>
      </c>
      <c r="U588" s="3" t="str">
        <f aca="false">IF(T588&lt;0,"Loss",IF(T588=0,"Break-even","Profit"))</f>
        <v>Profit</v>
      </c>
      <c r="V588" s="3" t="str">
        <f aca="false">IF(Q588&lt;100,"Low",IF(Q588&lt;=500,"Medium","High"))</f>
        <v>High</v>
      </c>
      <c r="W588" s="3" t="n">
        <f aca="false">D588-C588</f>
        <v>5</v>
      </c>
      <c r="X588" s="3" t="str">
        <f aca="false">TEXT(C588,"mmmm")</f>
        <v>February</v>
      </c>
      <c r="Y588" s="3" t="str">
        <f aca="false">LEFT(G588,1)&amp;MID(G588,FIND(" ",G588)+1,1)</f>
        <v>MK</v>
      </c>
    </row>
    <row r="589" customFormat="false" ht="15" hidden="false" customHeight="false" outlineLevel="0" collapsed="false">
      <c r="A589" s="3" t="n">
        <v>588</v>
      </c>
      <c r="B589" s="3" t="s">
        <v>1732</v>
      </c>
      <c r="C589" s="4" t="s">
        <v>1710</v>
      </c>
      <c r="D589" s="4" t="s">
        <v>1733</v>
      </c>
      <c r="E589" s="3" t="s">
        <v>28</v>
      </c>
      <c r="F589" s="3" t="s">
        <v>490</v>
      </c>
      <c r="G589" s="3" t="s">
        <v>491</v>
      </c>
      <c r="H589" s="3" t="s">
        <v>45</v>
      </c>
      <c r="I589" s="3" t="s">
        <v>32</v>
      </c>
      <c r="J589" s="3" t="s">
        <v>616</v>
      </c>
      <c r="K589" s="3" t="s">
        <v>156</v>
      </c>
      <c r="L589" s="3" t="s">
        <v>157</v>
      </c>
      <c r="M589" s="3" t="s">
        <v>659</v>
      </c>
      <c r="N589" s="3" t="s">
        <v>89</v>
      </c>
      <c r="O589" s="3" t="s">
        <v>323</v>
      </c>
      <c r="P589" s="3" t="s">
        <v>660</v>
      </c>
      <c r="Q589" s="5" t="n">
        <v>4476.15</v>
      </c>
      <c r="R589" s="3" t="n">
        <v>8</v>
      </c>
      <c r="S589" s="6" t="n">
        <v>0.3</v>
      </c>
      <c r="T589" s="5" t="n">
        <v>-1130.25</v>
      </c>
      <c r="U589" s="3" t="str">
        <f aca="false">IF(T589&lt;0,"Loss",IF(T589=0,"Break-even","Profit"))</f>
        <v>Loss</v>
      </c>
      <c r="V589" s="3" t="str">
        <f aca="false">IF(Q589&lt;100,"Low",IF(Q589&lt;=500,"Medium","High"))</f>
        <v>High</v>
      </c>
      <c r="W589" s="3" t="n">
        <f aca="false">D589-C589</f>
        <v>7</v>
      </c>
      <c r="X589" s="3" t="str">
        <f aca="false">TEXT(C589,"mmmm")</f>
        <v>February</v>
      </c>
      <c r="Y589" s="3" t="str">
        <f aca="false">LEFT(G589,1)&amp;MID(G589,FIND(" ",G589)+1,1)</f>
        <v>WM</v>
      </c>
    </row>
    <row r="590" customFormat="false" ht="15" hidden="false" customHeight="false" outlineLevel="0" collapsed="false">
      <c r="A590" s="3" t="n">
        <v>589</v>
      </c>
      <c r="B590" s="3" t="s">
        <v>1734</v>
      </c>
      <c r="C590" s="4" t="s">
        <v>1721</v>
      </c>
      <c r="D590" s="4" t="s">
        <v>1733</v>
      </c>
      <c r="E590" s="3" t="s">
        <v>28</v>
      </c>
      <c r="F590" s="3" t="s">
        <v>1735</v>
      </c>
      <c r="G590" s="3" t="s">
        <v>1736</v>
      </c>
      <c r="H590" s="3" t="s">
        <v>56</v>
      </c>
      <c r="I590" s="3" t="s">
        <v>32</v>
      </c>
      <c r="J590" s="3" t="s">
        <v>67</v>
      </c>
      <c r="K590" s="3" t="s">
        <v>68</v>
      </c>
      <c r="L590" s="3" t="s">
        <v>69</v>
      </c>
      <c r="M590" s="3" t="s">
        <v>404</v>
      </c>
      <c r="N590" s="3" t="s">
        <v>89</v>
      </c>
      <c r="O590" s="3" t="s">
        <v>166</v>
      </c>
      <c r="P590" s="3" t="s">
        <v>405</v>
      </c>
      <c r="Q590" s="5" t="n">
        <v>10286.16</v>
      </c>
      <c r="R590" s="3" t="n">
        <v>14</v>
      </c>
      <c r="S590" s="6" t="n">
        <v>0.2</v>
      </c>
      <c r="T590" s="5" t="n">
        <v>1013.58</v>
      </c>
      <c r="U590" s="3" t="str">
        <f aca="false">IF(T590&lt;0,"Loss",IF(T590=0,"Break-even","Profit"))</f>
        <v>Profit</v>
      </c>
      <c r="V590" s="3" t="str">
        <f aca="false">IF(Q590&lt;100,"Low",IF(Q590&lt;=500,"Medium","High"))</f>
        <v>High</v>
      </c>
      <c r="W590" s="3" t="n">
        <f aca="false">D590-C590</f>
        <v>6</v>
      </c>
      <c r="X590" s="3" t="str">
        <f aca="false">TEXT(C590,"mmmm")</f>
        <v>February</v>
      </c>
      <c r="Y590" s="3" t="str">
        <f aca="false">LEFT(G590,1)&amp;MID(G590,FIND(" ",G590)+1,1)</f>
        <v>CG</v>
      </c>
    </row>
    <row r="591" customFormat="false" ht="15" hidden="false" customHeight="false" outlineLevel="0" collapsed="false">
      <c r="A591" s="3" t="n">
        <v>590</v>
      </c>
      <c r="B591" s="3" t="s">
        <v>1737</v>
      </c>
      <c r="C591" s="4" t="s">
        <v>1738</v>
      </c>
      <c r="D591" s="4" t="s">
        <v>1725</v>
      </c>
      <c r="E591" s="3" t="s">
        <v>42</v>
      </c>
      <c r="F591" s="3" t="s">
        <v>426</v>
      </c>
      <c r="G591" s="3" t="s">
        <v>427</v>
      </c>
      <c r="H591" s="3" t="s">
        <v>45</v>
      </c>
      <c r="I591" s="3" t="s">
        <v>32</v>
      </c>
      <c r="J591" s="3" t="s">
        <v>476</v>
      </c>
      <c r="K591" s="3" t="s">
        <v>366</v>
      </c>
      <c r="L591" s="3" t="s">
        <v>157</v>
      </c>
      <c r="M591" s="3" t="s">
        <v>253</v>
      </c>
      <c r="N591" s="3" t="s">
        <v>89</v>
      </c>
      <c r="O591" s="3" t="s">
        <v>90</v>
      </c>
      <c r="P591" s="3" t="s">
        <v>254</v>
      </c>
      <c r="Q591" s="5" t="n">
        <v>5894.73</v>
      </c>
      <c r="R591" s="3" t="n">
        <v>9</v>
      </c>
      <c r="S591" s="6" t="n">
        <v>0</v>
      </c>
      <c r="T591" s="5" t="n">
        <v>190.38</v>
      </c>
      <c r="U591" s="3" t="str">
        <f aca="false">IF(T591&lt;0,"Loss",IF(T591=0,"Break-even","Profit"))</f>
        <v>Profit</v>
      </c>
      <c r="V591" s="3" t="str">
        <f aca="false">IF(Q591&lt;100,"Low",IF(Q591&lt;=500,"Medium","High"))</f>
        <v>High</v>
      </c>
      <c r="W591" s="3" t="n">
        <f aca="false">D591-C591</f>
        <v>2</v>
      </c>
      <c r="X591" s="3" t="str">
        <f aca="false">TEXT(C591,"mmmm")</f>
        <v>February</v>
      </c>
      <c r="Y591" s="3" t="str">
        <f aca="false">LEFT(G591,1)&amp;MID(G591,FIND(" ",G591)+1,1)</f>
        <v>JG</v>
      </c>
    </row>
    <row r="592" customFormat="false" ht="15" hidden="false" customHeight="false" outlineLevel="0" collapsed="false">
      <c r="A592" s="3" t="n">
        <v>591</v>
      </c>
      <c r="B592" s="3" t="s">
        <v>1739</v>
      </c>
      <c r="C592" s="4" t="s">
        <v>1738</v>
      </c>
      <c r="D592" s="4" t="s">
        <v>1733</v>
      </c>
      <c r="E592" s="3" t="s">
        <v>28</v>
      </c>
      <c r="F592" s="3" t="s">
        <v>310</v>
      </c>
      <c r="G592" s="3" t="s">
        <v>311</v>
      </c>
      <c r="H592" s="3" t="s">
        <v>56</v>
      </c>
      <c r="I592" s="3" t="s">
        <v>32</v>
      </c>
      <c r="J592" s="3" t="s">
        <v>243</v>
      </c>
      <c r="K592" s="3" t="s">
        <v>244</v>
      </c>
      <c r="L592" s="3" t="s">
        <v>157</v>
      </c>
      <c r="M592" s="3" t="s">
        <v>404</v>
      </c>
      <c r="N592" s="3" t="s">
        <v>89</v>
      </c>
      <c r="O592" s="3" t="s">
        <v>166</v>
      </c>
      <c r="P592" s="3" t="s">
        <v>405</v>
      </c>
      <c r="Q592" s="5" t="n">
        <v>4684.52</v>
      </c>
      <c r="R592" s="3" t="n">
        <v>9</v>
      </c>
      <c r="S592" s="6" t="n">
        <v>0</v>
      </c>
      <c r="T592" s="5" t="n">
        <v>914.53</v>
      </c>
      <c r="U592" s="3" t="str">
        <f aca="false">IF(T592&lt;0,"Loss",IF(T592=0,"Break-even","Profit"))</f>
        <v>Profit</v>
      </c>
      <c r="V592" s="3" t="str">
        <f aca="false">IF(Q592&lt;100,"Low",IF(Q592&lt;=500,"Medium","High"))</f>
        <v>High</v>
      </c>
      <c r="W592" s="3" t="n">
        <f aca="false">D592-C592</f>
        <v>5</v>
      </c>
      <c r="X592" s="3" t="str">
        <f aca="false">TEXT(C592,"mmmm")</f>
        <v>February</v>
      </c>
      <c r="Y592" s="3" t="str">
        <f aca="false">LEFT(G592,1)&amp;MID(G592,FIND(" ",G592)+1,1)</f>
        <v>FD</v>
      </c>
    </row>
    <row r="593" customFormat="false" ht="15" hidden="false" customHeight="false" outlineLevel="0" collapsed="false">
      <c r="A593" s="3" t="n">
        <v>592</v>
      </c>
      <c r="B593" s="3" t="s">
        <v>1740</v>
      </c>
      <c r="C593" s="4" t="s">
        <v>1738</v>
      </c>
      <c r="D593" s="4" t="s">
        <v>1731</v>
      </c>
      <c r="E593" s="3" t="s">
        <v>84</v>
      </c>
      <c r="F593" s="3" t="s">
        <v>1741</v>
      </c>
      <c r="G593" s="3" t="s">
        <v>1742</v>
      </c>
      <c r="H593" s="3" t="s">
        <v>56</v>
      </c>
      <c r="I593" s="3" t="s">
        <v>32</v>
      </c>
      <c r="J593" s="3" t="s">
        <v>120</v>
      </c>
      <c r="K593" s="3" t="s">
        <v>113</v>
      </c>
      <c r="L593" s="3" t="s">
        <v>69</v>
      </c>
      <c r="M593" s="3" t="s">
        <v>300</v>
      </c>
      <c r="N593" s="3" t="s">
        <v>49</v>
      </c>
      <c r="O593" s="3" t="s">
        <v>143</v>
      </c>
      <c r="P593" s="3" t="s">
        <v>301</v>
      </c>
      <c r="Q593" s="5" t="n">
        <v>156.95</v>
      </c>
      <c r="R593" s="3" t="n">
        <v>3</v>
      </c>
      <c r="S593" s="6" t="n">
        <v>0.4</v>
      </c>
      <c r="T593" s="5" t="n">
        <v>-26.43</v>
      </c>
      <c r="U593" s="3" t="str">
        <f aca="false">IF(T593&lt;0,"Loss",IF(T593=0,"Break-even","Profit"))</f>
        <v>Loss</v>
      </c>
      <c r="V593" s="3" t="str">
        <f aca="false">IF(Q593&lt;100,"Low",IF(Q593&lt;=500,"Medium","High"))</f>
        <v>Medium</v>
      </c>
      <c r="W593" s="3" t="n">
        <f aca="false">D593-C593</f>
        <v>3</v>
      </c>
      <c r="X593" s="3" t="str">
        <f aca="false">TEXT(C593,"mmmm")</f>
        <v>February</v>
      </c>
      <c r="Y593" s="3" t="str">
        <f aca="false">LEFT(G593,1)&amp;MID(G593,FIND(" ",G593)+1,1)</f>
        <v>WW</v>
      </c>
    </row>
    <row r="594" customFormat="false" ht="15" hidden="false" customHeight="false" outlineLevel="0" collapsed="false">
      <c r="A594" s="3" t="n">
        <v>593</v>
      </c>
      <c r="B594" s="3" t="s">
        <v>1743</v>
      </c>
      <c r="C594" s="4" t="s">
        <v>1738</v>
      </c>
      <c r="D594" s="4" t="s">
        <v>1733</v>
      </c>
      <c r="E594" s="3" t="s">
        <v>28</v>
      </c>
      <c r="F594" s="3" t="s">
        <v>131</v>
      </c>
      <c r="G594" s="3" t="s">
        <v>132</v>
      </c>
      <c r="H594" s="3" t="s">
        <v>56</v>
      </c>
      <c r="I594" s="3" t="s">
        <v>32</v>
      </c>
      <c r="J594" s="3" t="s">
        <v>171</v>
      </c>
      <c r="K594" s="3" t="s">
        <v>172</v>
      </c>
      <c r="L594" s="3" t="s">
        <v>157</v>
      </c>
      <c r="M594" s="3" t="s">
        <v>237</v>
      </c>
      <c r="N594" s="3" t="s">
        <v>49</v>
      </c>
      <c r="O594" s="3" t="s">
        <v>220</v>
      </c>
      <c r="P594" s="3" t="s">
        <v>238</v>
      </c>
      <c r="Q594" s="5" t="n">
        <v>209.28</v>
      </c>
      <c r="R594" s="3" t="n">
        <v>13</v>
      </c>
      <c r="S594" s="6" t="n">
        <v>0.4</v>
      </c>
      <c r="T594" s="5" t="n">
        <v>4.63</v>
      </c>
      <c r="U594" s="3" t="str">
        <f aca="false">IF(T594&lt;0,"Loss",IF(T594=0,"Break-even","Profit"))</f>
        <v>Profit</v>
      </c>
      <c r="V594" s="3" t="str">
        <f aca="false">IF(Q594&lt;100,"Low",IF(Q594&lt;=500,"Medium","High"))</f>
        <v>Medium</v>
      </c>
      <c r="W594" s="3" t="n">
        <f aca="false">D594-C594</f>
        <v>5</v>
      </c>
      <c r="X594" s="3" t="str">
        <f aca="false">TEXT(C594,"mmmm")</f>
        <v>February</v>
      </c>
      <c r="Y594" s="3" t="str">
        <f aca="false">LEFT(G594,1)&amp;MID(G594,FIND(" ",G594)+1,1)</f>
        <v>JM</v>
      </c>
    </row>
    <row r="595" customFormat="false" ht="15" hidden="false" customHeight="false" outlineLevel="0" collapsed="false">
      <c r="A595" s="3" t="n">
        <v>594</v>
      </c>
      <c r="B595" s="3" t="s">
        <v>1744</v>
      </c>
      <c r="C595" s="4" t="s">
        <v>1738</v>
      </c>
      <c r="D595" s="4" t="s">
        <v>1745</v>
      </c>
      <c r="E595" s="3" t="s">
        <v>28</v>
      </c>
      <c r="F595" s="3" t="s">
        <v>691</v>
      </c>
      <c r="G595" s="3" t="s">
        <v>692</v>
      </c>
      <c r="H595" s="3" t="s">
        <v>45</v>
      </c>
      <c r="I595" s="3" t="s">
        <v>32</v>
      </c>
      <c r="J595" s="3" t="s">
        <v>663</v>
      </c>
      <c r="K595" s="3" t="s">
        <v>307</v>
      </c>
      <c r="L595" s="3" t="s">
        <v>69</v>
      </c>
      <c r="M595" s="3" t="s">
        <v>149</v>
      </c>
      <c r="N595" s="3" t="s">
        <v>49</v>
      </c>
      <c r="O595" s="3" t="s">
        <v>150</v>
      </c>
      <c r="P595" s="3" t="s">
        <v>151</v>
      </c>
      <c r="Q595" s="5" t="n">
        <v>53.8</v>
      </c>
      <c r="R595" s="3" t="n">
        <v>1</v>
      </c>
      <c r="S595" s="6" t="n">
        <v>0.5</v>
      </c>
      <c r="T595" s="5" t="n">
        <v>-18.09</v>
      </c>
      <c r="U595" s="3" t="str">
        <f aca="false">IF(T595&lt;0,"Loss",IF(T595=0,"Break-even","Profit"))</f>
        <v>Loss</v>
      </c>
      <c r="V595" s="3" t="str">
        <f aca="false">IF(Q595&lt;100,"Low",IF(Q595&lt;=500,"Medium","High"))</f>
        <v>Low</v>
      </c>
      <c r="W595" s="3" t="n">
        <f aca="false">D595-C595</f>
        <v>7</v>
      </c>
      <c r="X595" s="3" t="str">
        <f aca="false">TEXT(C595,"mmmm")</f>
        <v>February</v>
      </c>
      <c r="Y595" s="3" t="str">
        <f aca="false">LEFT(G595,1)&amp;MID(G595,FIND(" ",G595)+1,1)</f>
        <v>MB</v>
      </c>
    </row>
    <row r="596" customFormat="false" ht="15" hidden="false" customHeight="false" outlineLevel="0" collapsed="false">
      <c r="A596" s="3" t="n">
        <v>595</v>
      </c>
      <c r="B596" s="3" t="s">
        <v>1746</v>
      </c>
      <c r="C596" s="4" t="s">
        <v>1738</v>
      </c>
      <c r="D596" s="4" t="s">
        <v>1747</v>
      </c>
      <c r="E596" s="3" t="s">
        <v>28</v>
      </c>
      <c r="F596" s="3" t="s">
        <v>1748</v>
      </c>
      <c r="G596" s="3" t="s">
        <v>1749</v>
      </c>
      <c r="H596" s="3" t="s">
        <v>31</v>
      </c>
      <c r="I596" s="3" t="s">
        <v>32</v>
      </c>
      <c r="J596" s="3" t="s">
        <v>365</v>
      </c>
      <c r="K596" s="3" t="s">
        <v>366</v>
      </c>
      <c r="L596" s="3" t="s">
        <v>157</v>
      </c>
      <c r="M596" s="3" t="s">
        <v>259</v>
      </c>
      <c r="N596" s="3" t="s">
        <v>89</v>
      </c>
      <c r="O596" s="3" t="s">
        <v>174</v>
      </c>
      <c r="P596" s="3" t="s">
        <v>260</v>
      </c>
      <c r="Q596" s="5" t="n">
        <v>7788.67</v>
      </c>
      <c r="R596" s="3" t="n">
        <v>11</v>
      </c>
      <c r="S596" s="6" t="n">
        <v>0.3</v>
      </c>
      <c r="T596" s="5" t="n">
        <v>1033.53</v>
      </c>
      <c r="U596" s="3" t="str">
        <f aca="false">IF(T596&lt;0,"Loss",IF(T596=0,"Break-even","Profit"))</f>
        <v>Profit</v>
      </c>
      <c r="V596" s="3" t="str">
        <f aca="false">IF(Q596&lt;100,"Low",IF(Q596&lt;=500,"Medium","High"))</f>
        <v>High</v>
      </c>
      <c r="W596" s="3" t="n">
        <f aca="false">D596-C596</f>
        <v>6</v>
      </c>
      <c r="X596" s="3" t="str">
        <f aca="false">TEXT(C596,"mmmm")</f>
        <v>February</v>
      </c>
      <c r="Y596" s="3" t="str">
        <f aca="false">LEFT(G596,1)&amp;MID(G596,FIND(" ",G596)+1,1)</f>
        <v>MN</v>
      </c>
    </row>
    <row r="597" customFormat="false" ht="15" hidden="false" customHeight="false" outlineLevel="0" collapsed="false">
      <c r="A597" s="3" t="n">
        <v>596</v>
      </c>
      <c r="B597" s="3" t="s">
        <v>1750</v>
      </c>
      <c r="C597" s="4" t="s">
        <v>1751</v>
      </c>
      <c r="D597" s="4" t="s">
        <v>1747</v>
      </c>
      <c r="E597" s="3" t="s">
        <v>28</v>
      </c>
      <c r="F597" s="3" t="s">
        <v>1288</v>
      </c>
      <c r="G597" s="3" t="s">
        <v>1289</v>
      </c>
      <c r="H597" s="3" t="s">
        <v>56</v>
      </c>
      <c r="I597" s="3" t="s">
        <v>32</v>
      </c>
      <c r="J597" s="3" t="s">
        <v>201</v>
      </c>
      <c r="K597" s="3" t="s">
        <v>202</v>
      </c>
      <c r="L597" s="3" t="s">
        <v>35</v>
      </c>
      <c r="M597" s="3" t="s">
        <v>300</v>
      </c>
      <c r="N597" s="3" t="s">
        <v>49</v>
      </c>
      <c r="O597" s="3" t="s">
        <v>143</v>
      </c>
      <c r="P597" s="3" t="s">
        <v>301</v>
      </c>
      <c r="Q597" s="5" t="n">
        <v>26.41</v>
      </c>
      <c r="R597" s="3" t="n">
        <v>4</v>
      </c>
      <c r="S597" s="6" t="n">
        <v>0.2</v>
      </c>
      <c r="T597" s="5" t="n">
        <v>6.44</v>
      </c>
      <c r="U597" s="3" t="str">
        <f aca="false">IF(T597&lt;0,"Loss",IF(T597=0,"Break-even","Profit"))</f>
        <v>Profit</v>
      </c>
      <c r="V597" s="3" t="str">
        <f aca="false">IF(Q597&lt;100,"Low",IF(Q597&lt;=500,"Medium","High"))</f>
        <v>Low</v>
      </c>
      <c r="W597" s="3" t="n">
        <f aca="false">D597-C597</f>
        <v>5</v>
      </c>
      <c r="X597" s="3" t="str">
        <f aca="false">TEXT(C597,"mmmm")</f>
        <v>February</v>
      </c>
      <c r="Y597" s="3" t="str">
        <f aca="false">LEFT(G597,1)&amp;MID(G597,FIND(" ",G597)+1,1)</f>
        <v>LT</v>
      </c>
    </row>
    <row r="598" customFormat="false" ht="15" hidden="false" customHeight="false" outlineLevel="0" collapsed="false">
      <c r="A598" s="3" t="n">
        <v>597</v>
      </c>
      <c r="B598" s="3" t="s">
        <v>1752</v>
      </c>
      <c r="C598" s="4" t="s">
        <v>1731</v>
      </c>
      <c r="D598" s="4" t="s">
        <v>1753</v>
      </c>
      <c r="E598" s="3" t="s">
        <v>28</v>
      </c>
      <c r="F598" s="3" t="s">
        <v>1754</v>
      </c>
      <c r="G598" s="3" t="s">
        <v>1755</v>
      </c>
      <c r="H598" s="3" t="s">
        <v>45</v>
      </c>
      <c r="I598" s="3" t="s">
        <v>32</v>
      </c>
      <c r="J598" s="3" t="s">
        <v>188</v>
      </c>
      <c r="K598" s="3" t="s">
        <v>189</v>
      </c>
      <c r="L598" s="3" t="s">
        <v>59</v>
      </c>
      <c r="M598" s="3" t="s">
        <v>165</v>
      </c>
      <c r="N598" s="3" t="s">
        <v>89</v>
      </c>
      <c r="O598" s="3" t="s">
        <v>166</v>
      </c>
      <c r="P598" s="3" t="s">
        <v>167</v>
      </c>
      <c r="Q598" s="5" t="n">
        <v>8047.86</v>
      </c>
      <c r="R598" s="3" t="n">
        <v>11</v>
      </c>
      <c r="S598" s="6" t="n">
        <v>0.1</v>
      </c>
      <c r="T598" s="5" t="n">
        <v>286.98</v>
      </c>
      <c r="U598" s="3" t="str">
        <f aca="false">IF(T598&lt;0,"Loss",IF(T598=0,"Break-even","Profit"))</f>
        <v>Profit</v>
      </c>
      <c r="V598" s="3" t="str">
        <f aca="false">IF(Q598&lt;100,"Low",IF(Q598&lt;=500,"Medium","High"))</f>
        <v>High</v>
      </c>
      <c r="W598" s="3" t="n">
        <f aca="false">D598-C598</f>
        <v>7</v>
      </c>
      <c r="X598" s="3" t="str">
        <f aca="false">TEXT(C598,"mmmm")</f>
        <v>February</v>
      </c>
      <c r="Y598" s="3" t="str">
        <f aca="false">LEFT(G598,1)&amp;MID(G598,FIND(" ",G598)+1,1)</f>
        <v>LR</v>
      </c>
    </row>
    <row r="599" customFormat="false" ht="15" hidden="false" customHeight="false" outlineLevel="0" collapsed="false">
      <c r="A599" s="3" t="n">
        <v>598</v>
      </c>
      <c r="B599" s="3" t="s">
        <v>1756</v>
      </c>
      <c r="C599" s="4" t="s">
        <v>1757</v>
      </c>
      <c r="D599" s="4" t="s">
        <v>1753</v>
      </c>
      <c r="E599" s="3" t="s">
        <v>28</v>
      </c>
      <c r="F599" s="3" t="s">
        <v>246</v>
      </c>
      <c r="G599" s="3" t="s">
        <v>247</v>
      </c>
      <c r="H599" s="3" t="s">
        <v>56</v>
      </c>
      <c r="I599" s="3" t="s">
        <v>32</v>
      </c>
      <c r="J599" s="3" t="s">
        <v>299</v>
      </c>
      <c r="K599" s="3" t="s">
        <v>189</v>
      </c>
      <c r="L599" s="3" t="s">
        <v>59</v>
      </c>
      <c r="M599" s="3" t="s">
        <v>79</v>
      </c>
      <c r="N599" s="3" t="s">
        <v>49</v>
      </c>
      <c r="O599" s="3" t="s">
        <v>80</v>
      </c>
      <c r="P599" s="3" t="s">
        <v>81</v>
      </c>
      <c r="Q599" s="5" t="n">
        <v>146.74</v>
      </c>
      <c r="R599" s="3" t="n">
        <v>2</v>
      </c>
      <c r="S599" s="6" t="n">
        <v>0</v>
      </c>
      <c r="T599" s="5" t="n">
        <v>13.43</v>
      </c>
      <c r="U599" s="3" t="str">
        <f aca="false">IF(T599&lt;0,"Loss",IF(T599=0,"Break-even","Profit"))</f>
        <v>Profit</v>
      </c>
      <c r="V599" s="3" t="str">
        <f aca="false">IF(Q599&lt;100,"Low",IF(Q599&lt;=500,"Medium","High"))</f>
        <v>Medium</v>
      </c>
      <c r="W599" s="3" t="n">
        <f aca="false">D599-C599</f>
        <v>6</v>
      </c>
      <c r="X599" s="3" t="str">
        <f aca="false">TEXT(C599,"mmmm")</f>
        <v>February</v>
      </c>
      <c r="Y599" s="3" t="str">
        <f aca="false">LEFT(G599,1)&amp;MID(G599,FIND(" ",G599)+1,1)</f>
        <v>JN</v>
      </c>
    </row>
    <row r="600" customFormat="false" ht="15" hidden="false" customHeight="false" outlineLevel="0" collapsed="false">
      <c r="A600" s="3" t="n">
        <v>599</v>
      </c>
      <c r="B600" s="3" t="s">
        <v>1758</v>
      </c>
      <c r="C600" s="4" t="s">
        <v>1733</v>
      </c>
      <c r="D600" s="4" t="s">
        <v>1745</v>
      </c>
      <c r="E600" s="3" t="s">
        <v>42</v>
      </c>
      <c r="F600" s="3" t="s">
        <v>350</v>
      </c>
      <c r="G600" s="3" t="s">
        <v>351</v>
      </c>
      <c r="H600" s="3" t="s">
        <v>56</v>
      </c>
      <c r="I600" s="3" t="s">
        <v>32</v>
      </c>
      <c r="J600" s="3" t="s">
        <v>67</v>
      </c>
      <c r="K600" s="3" t="s">
        <v>68</v>
      </c>
      <c r="L600" s="3" t="s">
        <v>69</v>
      </c>
      <c r="M600" s="3" t="s">
        <v>36</v>
      </c>
      <c r="N600" s="3" t="s">
        <v>37</v>
      </c>
      <c r="O600" s="3" t="s">
        <v>38</v>
      </c>
      <c r="P600" s="3" t="s">
        <v>39</v>
      </c>
      <c r="Q600" s="5" t="n">
        <v>4329.63</v>
      </c>
      <c r="R600" s="3" t="n">
        <v>13</v>
      </c>
      <c r="S600" s="6" t="n">
        <v>0.1</v>
      </c>
      <c r="T600" s="5" t="n">
        <v>-525.19</v>
      </c>
      <c r="U600" s="3" t="str">
        <f aca="false">IF(T600&lt;0,"Loss",IF(T600=0,"Break-even","Profit"))</f>
        <v>Loss</v>
      </c>
      <c r="V600" s="3" t="str">
        <f aca="false">IF(Q600&lt;100,"Low",IF(Q600&lt;=500,"Medium","High"))</f>
        <v>High</v>
      </c>
      <c r="W600" s="3" t="n">
        <f aca="false">D600-C600</f>
        <v>2</v>
      </c>
      <c r="X600" s="3" t="str">
        <f aca="false">TEXT(C600,"mmmm")</f>
        <v>February</v>
      </c>
      <c r="Y600" s="3" t="str">
        <f aca="false">LEFT(G600,1)&amp;MID(G600,FIND(" ",G600)+1,1)</f>
        <v>PA</v>
      </c>
    </row>
    <row r="601" customFormat="false" ht="15" hidden="false" customHeight="false" outlineLevel="0" collapsed="false">
      <c r="A601" s="3" t="n">
        <v>600</v>
      </c>
      <c r="B601" s="3" t="s">
        <v>1759</v>
      </c>
      <c r="C601" s="4" t="s">
        <v>1733</v>
      </c>
      <c r="D601" s="4" t="s">
        <v>1760</v>
      </c>
      <c r="E601" s="3" t="s">
        <v>28</v>
      </c>
      <c r="F601" s="3" t="s">
        <v>1165</v>
      </c>
      <c r="G601" s="3" t="s">
        <v>1166</v>
      </c>
      <c r="H601" s="3" t="s">
        <v>56</v>
      </c>
      <c r="I601" s="3" t="s">
        <v>32</v>
      </c>
      <c r="J601" s="3" t="s">
        <v>215</v>
      </c>
      <c r="K601" s="3" t="s">
        <v>34</v>
      </c>
      <c r="L601" s="3" t="s">
        <v>35</v>
      </c>
      <c r="M601" s="3" t="s">
        <v>149</v>
      </c>
      <c r="N601" s="3" t="s">
        <v>49</v>
      </c>
      <c r="O601" s="3" t="s">
        <v>150</v>
      </c>
      <c r="P601" s="3" t="s">
        <v>151</v>
      </c>
      <c r="Q601" s="5" t="n">
        <v>717.41</v>
      </c>
      <c r="R601" s="3" t="n">
        <v>7</v>
      </c>
      <c r="S601" s="6" t="n">
        <v>0</v>
      </c>
      <c r="T601" s="5" t="n">
        <v>-49.3</v>
      </c>
      <c r="U601" s="3" t="str">
        <f aca="false">IF(T601&lt;0,"Loss",IF(T601=0,"Break-even","Profit"))</f>
        <v>Loss</v>
      </c>
      <c r="V601" s="3" t="str">
        <f aca="false">IF(Q601&lt;100,"Low",IF(Q601&lt;=500,"Medium","High"))</f>
        <v>High</v>
      </c>
      <c r="W601" s="3" t="n">
        <f aca="false">D601-C601</f>
        <v>3</v>
      </c>
      <c r="X601" s="3" t="str">
        <f aca="false">TEXT(C601,"mmmm")</f>
        <v>February</v>
      </c>
      <c r="Y601" s="3" t="str">
        <f aca="false">LEFT(G601,1)&amp;MID(G601,FIND(" ",G601)+1,1)</f>
        <v>ER</v>
      </c>
    </row>
    <row r="602" customFormat="false" ht="15" hidden="false" customHeight="false" outlineLevel="0" collapsed="false">
      <c r="A602" s="3" t="n">
        <v>601</v>
      </c>
      <c r="B602" s="3" t="s">
        <v>1761</v>
      </c>
      <c r="C602" s="4" t="s">
        <v>1733</v>
      </c>
      <c r="D602" s="4" t="s">
        <v>1762</v>
      </c>
      <c r="E602" s="3" t="s">
        <v>28</v>
      </c>
      <c r="F602" s="3" t="s">
        <v>267</v>
      </c>
      <c r="G602" s="3" t="s">
        <v>268</v>
      </c>
      <c r="H602" s="3" t="s">
        <v>56</v>
      </c>
      <c r="I602" s="3" t="s">
        <v>32</v>
      </c>
      <c r="J602" s="3" t="s">
        <v>77</v>
      </c>
      <c r="K602" s="3" t="s">
        <v>78</v>
      </c>
      <c r="L602" s="3" t="s">
        <v>59</v>
      </c>
      <c r="M602" s="3" t="s">
        <v>290</v>
      </c>
      <c r="N602" s="3" t="s">
        <v>37</v>
      </c>
      <c r="O602" s="3" t="s">
        <v>38</v>
      </c>
      <c r="P602" s="3" t="s">
        <v>291</v>
      </c>
      <c r="Q602" s="5" t="n">
        <v>8426</v>
      </c>
      <c r="R602" s="3" t="n">
        <v>10</v>
      </c>
      <c r="S602" s="6" t="n">
        <v>0.3</v>
      </c>
      <c r="T602" s="5" t="n">
        <v>-1143.09</v>
      </c>
      <c r="U602" s="3" t="str">
        <f aca="false">IF(T602&lt;0,"Loss",IF(T602=0,"Break-even","Profit"))</f>
        <v>Loss</v>
      </c>
      <c r="V602" s="3" t="str">
        <f aca="false">IF(Q602&lt;100,"Low",IF(Q602&lt;=500,"Medium","High"))</f>
        <v>High</v>
      </c>
      <c r="W602" s="3" t="n">
        <f aca="false">D602-C602</f>
        <v>6</v>
      </c>
      <c r="X602" s="3" t="str">
        <f aca="false">TEXT(C602,"mmmm")</f>
        <v>February</v>
      </c>
      <c r="Y602" s="3" t="str">
        <f aca="false">LEFT(G602,1)&amp;MID(G602,FIND(" ",G602)+1,1)</f>
        <v>MA</v>
      </c>
    </row>
    <row r="603" customFormat="false" ht="15" hidden="false" customHeight="false" outlineLevel="0" collapsed="false">
      <c r="A603" s="3" t="n">
        <v>602</v>
      </c>
      <c r="B603" s="3" t="s">
        <v>1763</v>
      </c>
      <c r="C603" s="4" t="s">
        <v>1733</v>
      </c>
      <c r="D603" s="4" t="s">
        <v>1747</v>
      </c>
      <c r="E603" s="3" t="s">
        <v>42</v>
      </c>
      <c r="F603" s="3" t="s">
        <v>1194</v>
      </c>
      <c r="G603" s="3" t="s">
        <v>1195</v>
      </c>
      <c r="H603" s="3" t="s">
        <v>56</v>
      </c>
      <c r="I603" s="3" t="s">
        <v>32</v>
      </c>
      <c r="J603" s="3" t="s">
        <v>120</v>
      </c>
      <c r="K603" s="3" t="s">
        <v>113</v>
      </c>
      <c r="L603" s="3" t="s">
        <v>69</v>
      </c>
      <c r="M603" s="3" t="s">
        <v>195</v>
      </c>
      <c r="N603" s="3" t="s">
        <v>37</v>
      </c>
      <c r="O603" s="3" t="s">
        <v>196</v>
      </c>
      <c r="P603" s="3" t="s">
        <v>197</v>
      </c>
      <c r="Q603" s="5" t="n">
        <v>13248.33</v>
      </c>
      <c r="R603" s="3" t="n">
        <v>9</v>
      </c>
      <c r="S603" s="6" t="n">
        <v>0.1</v>
      </c>
      <c r="T603" s="5" t="n">
        <v>441.88</v>
      </c>
      <c r="U603" s="3" t="str">
        <f aca="false">IF(T603&lt;0,"Loss",IF(T603=0,"Break-even","Profit"))</f>
        <v>Profit</v>
      </c>
      <c r="V603" s="3" t="str">
        <f aca="false">IF(Q603&lt;100,"Low",IF(Q603&lt;=500,"Medium","High"))</f>
        <v>High</v>
      </c>
      <c r="W603" s="3" t="n">
        <f aca="false">D603-C603</f>
        <v>1</v>
      </c>
      <c r="X603" s="3" t="str">
        <f aca="false">TEXT(C603,"mmmm")</f>
        <v>February</v>
      </c>
      <c r="Y603" s="3" t="str">
        <f aca="false">LEFT(G603,1)&amp;MID(G603,FIND(" ",G603)+1,1)</f>
        <v>JK</v>
      </c>
    </row>
    <row r="604" customFormat="false" ht="15" hidden="false" customHeight="false" outlineLevel="0" collapsed="false">
      <c r="A604" s="3" t="n">
        <v>603</v>
      </c>
      <c r="B604" s="3" t="s">
        <v>1764</v>
      </c>
      <c r="C604" s="4" t="s">
        <v>1747</v>
      </c>
      <c r="D604" s="4" t="s">
        <v>1753</v>
      </c>
      <c r="E604" s="3" t="s">
        <v>28</v>
      </c>
      <c r="F604" s="3" t="s">
        <v>1765</v>
      </c>
      <c r="G604" s="3" t="s">
        <v>1766</v>
      </c>
      <c r="H604" s="3" t="s">
        <v>56</v>
      </c>
      <c r="I604" s="3" t="s">
        <v>32</v>
      </c>
      <c r="J604" s="3" t="s">
        <v>171</v>
      </c>
      <c r="K604" s="3" t="s">
        <v>172</v>
      </c>
      <c r="L604" s="3" t="s">
        <v>157</v>
      </c>
      <c r="M604" s="3" t="s">
        <v>237</v>
      </c>
      <c r="N604" s="3" t="s">
        <v>49</v>
      </c>
      <c r="O604" s="3" t="s">
        <v>220</v>
      </c>
      <c r="P604" s="3" t="s">
        <v>238</v>
      </c>
      <c r="Q604" s="5" t="n">
        <v>295.07</v>
      </c>
      <c r="R604" s="3" t="n">
        <v>4</v>
      </c>
      <c r="S604" s="6" t="n">
        <v>0.2</v>
      </c>
      <c r="T604" s="5" t="n">
        <v>52</v>
      </c>
      <c r="U604" s="3" t="str">
        <f aca="false">IF(T604&lt;0,"Loss",IF(T604=0,"Break-even","Profit"))</f>
        <v>Profit</v>
      </c>
      <c r="V604" s="3" t="str">
        <f aca="false">IF(Q604&lt;100,"Low",IF(Q604&lt;=500,"Medium","High"))</f>
        <v>Medium</v>
      </c>
      <c r="W604" s="3" t="n">
        <f aca="false">D604-C604</f>
        <v>4</v>
      </c>
      <c r="X604" s="3" t="str">
        <f aca="false">TEXT(C604,"mmmm")</f>
        <v>February</v>
      </c>
      <c r="Y604" s="3" t="str">
        <f aca="false">LEFT(G604,1)&amp;MID(G604,FIND(" ",G604)+1,1)</f>
        <v>AM</v>
      </c>
    </row>
    <row r="605" customFormat="false" ht="15" hidden="false" customHeight="false" outlineLevel="0" collapsed="false">
      <c r="A605" s="3" t="n">
        <v>604</v>
      </c>
      <c r="B605" s="3" t="s">
        <v>1767</v>
      </c>
      <c r="C605" s="4" t="s">
        <v>1745</v>
      </c>
      <c r="D605" s="4" t="s">
        <v>1768</v>
      </c>
      <c r="E605" s="3" t="s">
        <v>28</v>
      </c>
      <c r="F605" s="3" t="s">
        <v>1735</v>
      </c>
      <c r="G605" s="3" t="s">
        <v>1736</v>
      </c>
      <c r="H605" s="3" t="s">
        <v>31</v>
      </c>
      <c r="I605" s="3" t="s">
        <v>32</v>
      </c>
      <c r="J605" s="3" t="s">
        <v>215</v>
      </c>
      <c r="K605" s="3" t="s">
        <v>34</v>
      </c>
      <c r="L605" s="3" t="s">
        <v>35</v>
      </c>
      <c r="M605" s="3" t="s">
        <v>280</v>
      </c>
      <c r="N605" s="3" t="s">
        <v>89</v>
      </c>
      <c r="O605" s="3" t="s">
        <v>166</v>
      </c>
      <c r="P605" s="3" t="s">
        <v>281</v>
      </c>
      <c r="Q605" s="5" t="n">
        <v>837.34</v>
      </c>
      <c r="R605" s="3" t="n">
        <v>3</v>
      </c>
      <c r="S605" s="6" t="n">
        <v>0.2</v>
      </c>
      <c r="T605" s="5" t="n">
        <v>186.63</v>
      </c>
      <c r="U605" s="3" t="str">
        <f aca="false">IF(T605&lt;0,"Loss",IF(T605=0,"Break-even","Profit"))</f>
        <v>Profit</v>
      </c>
      <c r="V605" s="3" t="str">
        <f aca="false">IF(Q605&lt;100,"Low",IF(Q605&lt;=500,"Medium","High"))</f>
        <v>High</v>
      </c>
      <c r="W605" s="3" t="n">
        <f aca="false">D605-C605</f>
        <v>6</v>
      </c>
      <c r="X605" s="3" t="str">
        <f aca="false">TEXT(C605,"mmmm")</f>
        <v>March</v>
      </c>
      <c r="Y605" s="3" t="str">
        <f aca="false">LEFT(G605,1)&amp;MID(G605,FIND(" ",G605)+1,1)</f>
        <v>CG</v>
      </c>
    </row>
    <row r="606" customFormat="false" ht="15" hidden="false" customHeight="false" outlineLevel="0" collapsed="false">
      <c r="A606" s="3" t="n">
        <v>605</v>
      </c>
      <c r="B606" s="3" t="s">
        <v>1769</v>
      </c>
      <c r="C606" s="4" t="s">
        <v>1745</v>
      </c>
      <c r="D606" s="4" t="s">
        <v>1753</v>
      </c>
      <c r="E606" s="3" t="s">
        <v>28</v>
      </c>
      <c r="F606" s="3" t="s">
        <v>1498</v>
      </c>
      <c r="G606" s="3" t="s">
        <v>1499</v>
      </c>
      <c r="H606" s="3" t="s">
        <v>31</v>
      </c>
      <c r="I606" s="3" t="s">
        <v>32</v>
      </c>
      <c r="J606" s="3" t="s">
        <v>873</v>
      </c>
      <c r="K606" s="3" t="s">
        <v>387</v>
      </c>
      <c r="L606" s="3" t="s">
        <v>35</v>
      </c>
      <c r="M606" s="3" t="s">
        <v>559</v>
      </c>
      <c r="N606" s="3" t="s">
        <v>37</v>
      </c>
      <c r="O606" s="3" t="s">
        <v>38</v>
      </c>
      <c r="P606" s="3" t="s">
        <v>560</v>
      </c>
      <c r="Q606" s="5" t="n">
        <v>1462.71</v>
      </c>
      <c r="R606" s="3" t="n">
        <v>2</v>
      </c>
      <c r="S606" s="6" t="n">
        <v>0</v>
      </c>
      <c r="T606" s="5" t="n">
        <v>-103.41</v>
      </c>
      <c r="U606" s="3" t="str">
        <f aca="false">IF(T606&lt;0,"Loss",IF(T606=0,"Break-even","Profit"))</f>
        <v>Loss</v>
      </c>
      <c r="V606" s="3" t="str">
        <f aca="false">IF(Q606&lt;100,"Low",IF(Q606&lt;=500,"Medium","High"))</f>
        <v>High</v>
      </c>
      <c r="W606" s="3" t="n">
        <f aca="false">D606-C606</f>
        <v>3</v>
      </c>
      <c r="X606" s="3" t="str">
        <f aca="false">TEXT(C606,"mmmm")</f>
        <v>March</v>
      </c>
      <c r="Y606" s="3" t="str">
        <f aca="false">LEFT(G606,1)&amp;MID(G606,FIND(" ",G606)+1,1)</f>
        <v>SJ</v>
      </c>
    </row>
    <row r="607" customFormat="false" ht="15" hidden="false" customHeight="false" outlineLevel="0" collapsed="false">
      <c r="A607" s="3" t="n">
        <v>606</v>
      </c>
      <c r="B607" s="3" t="s">
        <v>1770</v>
      </c>
      <c r="C607" s="4" t="s">
        <v>1760</v>
      </c>
      <c r="D607" s="4" t="s">
        <v>1771</v>
      </c>
      <c r="E607" s="3" t="s">
        <v>84</v>
      </c>
      <c r="F607" s="3" t="s">
        <v>1772</v>
      </c>
      <c r="G607" s="3" t="s">
        <v>1773</v>
      </c>
      <c r="H607" s="3" t="s">
        <v>56</v>
      </c>
      <c r="I607" s="3" t="s">
        <v>32</v>
      </c>
      <c r="J607" s="3" t="s">
        <v>548</v>
      </c>
      <c r="K607" s="3" t="s">
        <v>244</v>
      </c>
      <c r="L607" s="3" t="s">
        <v>157</v>
      </c>
      <c r="M607" s="3" t="s">
        <v>316</v>
      </c>
      <c r="N607" s="3" t="s">
        <v>49</v>
      </c>
      <c r="O607" s="3" t="s">
        <v>143</v>
      </c>
      <c r="P607" s="3" t="s">
        <v>317</v>
      </c>
      <c r="Q607" s="5" t="n">
        <v>605.31</v>
      </c>
      <c r="R607" s="3" t="n">
        <v>14</v>
      </c>
      <c r="S607" s="6" t="n">
        <v>0.2</v>
      </c>
      <c r="T607" s="5" t="n">
        <v>-83.19</v>
      </c>
      <c r="U607" s="3" t="str">
        <f aca="false">IF(T607&lt;0,"Loss",IF(T607=0,"Break-even","Profit"))</f>
        <v>Loss</v>
      </c>
      <c r="V607" s="3" t="str">
        <f aca="false">IF(Q607&lt;100,"Low",IF(Q607&lt;=500,"Medium","High"))</f>
        <v>High</v>
      </c>
      <c r="W607" s="3" t="n">
        <f aca="false">D607-C607</f>
        <v>4</v>
      </c>
      <c r="X607" s="3" t="str">
        <f aca="false">TEXT(C607,"mmmm")</f>
        <v>March</v>
      </c>
      <c r="Y607" s="3" t="str">
        <f aca="false">LEFT(G607,1)&amp;MID(G607,FIND(" ",G607)+1,1)</f>
        <v>RC</v>
      </c>
    </row>
    <row r="608" customFormat="false" ht="15" hidden="false" customHeight="false" outlineLevel="0" collapsed="false">
      <c r="A608" s="3" t="n">
        <v>607</v>
      </c>
      <c r="B608" s="3" t="s">
        <v>1774</v>
      </c>
      <c r="C608" s="4" t="s">
        <v>1760</v>
      </c>
      <c r="D608" s="4" t="s">
        <v>1768</v>
      </c>
      <c r="E608" s="3" t="s">
        <v>28</v>
      </c>
      <c r="F608" s="3" t="s">
        <v>1775</v>
      </c>
      <c r="G608" s="3" t="s">
        <v>1776</v>
      </c>
      <c r="H608" s="3" t="s">
        <v>56</v>
      </c>
      <c r="I608" s="3" t="s">
        <v>32</v>
      </c>
      <c r="J608" s="3" t="s">
        <v>386</v>
      </c>
      <c r="K608" s="3" t="s">
        <v>387</v>
      </c>
      <c r="L608" s="3" t="s">
        <v>35</v>
      </c>
      <c r="M608" s="3" t="s">
        <v>79</v>
      </c>
      <c r="N608" s="3" t="s">
        <v>49</v>
      </c>
      <c r="O608" s="3" t="s">
        <v>80</v>
      </c>
      <c r="P608" s="3" t="s">
        <v>81</v>
      </c>
      <c r="Q608" s="5" t="n">
        <v>591.8</v>
      </c>
      <c r="R608" s="3" t="n">
        <v>6</v>
      </c>
      <c r="S608" s="6" t="n">
        <v>0</v>
      </c>
      <c r="T608" s="5" t="n">
        <v>-24.79</v>
      </c>
      <c r="U608" s="3" t="str">
        <f aca="false">IF(T608&lt;0,"Loss",IF(T608=0,"Break-even","Profit"))</f>
        <v>Loss</v>
      </c>
      <c r="V608" s="3" t="str">
        <f aca="false">IF(Q608&lt;100,"Low",IF(Q608&lt;=500,"Medium","High"))</f>
        <v>High</v>
      </c>
      <c r="W608" s="3" t="n">
        <f aca="false">D608-C608</f>
        <v>5</v>
      </c>
      <c r="X608" s="3" t="str">
        <f aca="false">TEXT(C608,"mmmm")</f>
        <v>March</v>
      </c>
      <c r="Y608" s="3" t="str">
        <f aca="false">LEFT(G608,1)&amp;MID(G608,FIND(" ",G608)+1,1)</f>
        <v>LA</v>
      </c>
    </row>
    <row r="609" customFormat="false" ht="15" hidden="false" customHeight="false" outlineLevel="0" collapsed="false">
      <c r="A609" s="3" t="n">
        <v>608</v>
      </c>
      <c r="B609" s="3" t="s">
        <v>1777</v>
      </c>
      <c r="C609" s="4" t="s">
        <v>1778</v>
      </c>
      <c r="D609" s="4" t="s">
        <v>1768</v>
      </c>
      <c r="E609" s="3" t="s">
        <v>84</v>
      </c>
      <c r="F609" s="3" t="s">
        <v>953</v>
      </c>
      <c r="G609" s="3" t="s">
        <v>954</v>
      </c>
      <c r="H609" s="3" t="s">
        <v>56</v>
      </c>
      <c r="I609" s="3" t="s">
        <v>32</v>
      </c>
      <c r="J609" s="3" t="s">
        <v>148</v>
      </c>
      <c r="K609" s="3" t="s">
        <v>78</v>
      </c>
      <c r="L609" s="3" t="s">
        <v>59</v>
      </c>
      <c r="M609" s="3" t="s">
        <v>149</v>
      </c>
      <c r="N609" s="3" t="s">
        <v>49</v>
      </c>
      <c r="O609" s="3" t="s">
        <v>150</v>
      </c>
      <c r="P609" s="3" t="s">
        <v>151</v>
      </c>
      <c r="Q609" s="5" t="n">
        <v>149.4</v>
      </c>
      <c r="R609" s="3" t="n">
        <v>2</v>
      </c>
      <c r="S609" s="6" t="n">
        <v>0.1</v>
      </c>
      <c r="T609" s="5" t="n">
        <v>-15.75</v>
      </c>
      <c r="U609" s="3" t="str">
        <f aca="false">IF(T609&lt;0,"Loss",IF(T609=0,"Break-even","Profit"))</f>
        <v>Loss</v>
      </c>
      <c r="V609" s="3" t="str">
        <f aca="false">IF(Q609&lt;100,"Low",IF(Q609&lt;=500,"Medium","High"))</f>
        <v>Medium</v>
      </c>
      <c r="W609" s="3" t="n">
        <f aca="false">D609-C609</f>
        <v>4</v>
      </c>
      <c r="X609" s="3" t="str">
        <f aca="false">TEXT(C609,"mmmm")</f>
        <v>March</v>
      </c>
      <c r="Y609" s="3" t="str">
        <f aca="false">LEFT(G609,1)&amp;MID(G609,FIND(" ",G609)+1,1)</f>
        <v>CB</v>
      </c>
    </row>
    <row r="610" customFormat="false" ht="15" hidden="false" customHeight="false" outlineLevel="0" collapsed="false">
      <c r="A610" s="3" t="n">
        <v>609</v>
      </c>
      <c r="B610" s="3" t="s">
        <v>1779</v>
      </c>
      <c r="C610" s="4" t="s">
        <v>1762</v>
      </c>
      <c r="D610" s="4" t="s">
        <v>1780</v>
      </c>
      <c r="E610" s="3" t="s">
        <v>28</v>
      </c>
      <c r="F610" s="3" t="s">
        <v>732</v>
      </c>
      <c r="G610" s="3" t="s">
        <v>733</v>
      </c>
      <c r="H610" s="3" t="s">
        <v>56</v>
      </c>
      <c r="I610" s="3" t="s">
        <v>32</v>
      </c>
      <c r="J610" s="3" t="s">
        <v>155</v>
      </c>
      <c r="K610" s="3" t="s">
        <v>156</v>
      </c>
      <c r="L610" s="3" t="s">
        <v>157</v>
      </c>
      <c r="M610" s="3" t="s">
        <v>316</v>
      </c>
      <c r="N610" s="3" t="s">
        <v>49</v>
      </c>
      <c r="O610" s="3" t="s">
        <v>143</v>
      </c>
      <c r="P610" s="3" t="s">
        <v>317</v>
      </c>
      <c r="Q610" s="5" t="n">
        <v>401.74</v>
      </c>
      <c r="R610" s="3" t="n">
        <v>6</v>
      </c>
      <c r="S610" s="6" t="n">
        <v>0</v>
      </c>
      <c r="T610" s="5" t="n">
        <v>-34.2</v>
      </c>
      <c r="U610" s="3" t="str">
        <f aca="false">IF(T610&lt;0,"Loss",IF(T610=0,"Break-even","Profit"))</f>
        <v>Loss</v>
      </c>
      <c r="V610" s="3" t="str">
        <f aca="false">IF(Q610&lt;100,"Low",IF(Q610&lt;=500,"Medium","High"))</f>
        <v>Medium</v>
      </c>
      <c r="W610" s="3" t="n">
        <f aca="false">D610-C610</f>
        <v>6</v>
      </c>
      <c r="X610" s="3" t="str">
        <f aca="false">TEXT(C610,"mmmm")</f>
        <v>March</v>
      </c>
      <c r="Y610" s="3" t="str">
        <f aca="false">LEFT(G610,1)&amp;MID(G610,FIND(" ",G610)+1,1)</f>
        <v>LM</v>
      </c>
    </row>
    <row r="611" customFormat="false" ht="15" hidden="false" customHeight="false" outlineLevel="0" collapsed="false">
      <c r="A611" s="3" t="n">
        <v>610</v>
      </c>
      <c r="B611" s="3" t="s">
        <v>1781</v>
      </c>
      <c r="C611" s="4" t="s">
        <v>1762</v>
      </c>
      <c r="D611" s="4" t="s">
        <v>1782</v>
      </c>
      <c r="E611" s="3" t="s">
        <v>84</v>
      </c>
      <c r="F611" s="3" t="s">
        <v>1335</v>
      </c>
      <c r="G611" s="3" t="s">
        <v>1336</v>
      </c>
      <c r="H611" s="3" t="s">
        <v>56</v>
      </c>
      <c r="I611" s="3" t="s">
        <v>32</v>
      </c>
      <c r="J611" s="3" t="s">
        <v>476</v>
      </c>
      <c r="K611" s="3" t="s">
        <v>366</v>
      </c>
      <c r="L611" s="3" t="s">
        <v>157</v>
      </c>
      <c r="M611" s="3" t="s">
        <v>88</v>
      </c>
      <c r="N611" s="3" t="s">
        <v>89</v>
      </c>
      <c r="O611" s="3" t="s">
        <v>90</v>
      </c>
      <c r="P611" s="3" t="s">
        <v>91</v>
      </c>
      <c r="Q611" s="5" t="n">
        <v>1976.3</v>
      </c>
      <c r="R611" s="3" t="n">
        <v>14</v>
      </c>
      <c r="S611" s="6" t="n">
        <v>0.1</v>
      </c>
      <c r="T611" s="5" t="n">
        <v>-187.04</v>
      </c>
      <c r="U611" s="3" t="str">
        <f aca="false">IF(T611&lt;0,"Loss",IF(T611=0,"Break-even","Profit"))</f>
        <v>Loss</v>
      </c>
      <c r="V611" s="3" t="str">
        <f aca="false">IF(Q611&lt;100,"Low",IF(Q611&lt;=500,"Medium","High"))</f>
        <v>High</v>
      </c>
      <c r="W611" s="3" t="n">
        <f aca="false">D611-C611</f>
        <v>3</v>
      </c>
      <c r="X611" s="3" t="str">
        <f aca="false">TEXT(C611,"mmmm")</f>
        <v>March</v>
      </c>
      <c r="Y611" s="3" t="str">
        <f aca="false">LEFT(G611,1)&amp;MID(G611,FIND(" ",G611)+1,1)</f>
        <v>AK</v>
      </c>
    </row>
    <row r="612" customFormat="false" ht="15" hidden="false" customHeight="false" outlineLevel="0" collapsed="false">
      <c r="A612" s="3" t="n">
        <v>611</v>
      </c>
      <c r="B612" s="3" t="s">
        <v>1783</v>
      </c>
      <c r="C612" s="4" t="s">
        <v>1771</v>
      </c>
      <c r="D612" s="4" t="s">
        <v>1782</v>
      </c>
      <c r="E612" s="3" t="s">
        <v>84</v>
      </c>
      <c r="F612" s="3" t="s">
        <v>900</v>
      </c>
      <c r="G612" s="3" t="s">
        <v>901</v>
      </c>
      <c r="H612" s="3" t="s">
        <v>31</v>
      </c>
      <c r="I612" s="3" t="s">
        <v>32</v>
      </c>
      <c r="J612" s="3" t="s">
        <v>77</v>
      </c>
      <c r="K612" s="3" t="s">
        <v>78</v>
      </c>
      <c r="L612" s="3" t="s">
        <v>59</v>
      </c>
      <c r="M612" s="3" t="s">
        <v>105</v>
      </c>
      <c r="N612" s="3" t="s">
        <v>49</v>
      </c>
      <c r="O612" s="3" t="s">
        <v>106</v>
      </c>
      <c r="P612" s="3" t="s">
        <v>107</v>
      </c>
      <c r="Q612" s="5" t="n">
        <v>501.07</v>
      </c>
      <c r="R612" s="3" t="n">
        <v>5</v>
      </c>
      <c r="S612" s="6" t="n">
        <v>0.1</v>
      </c>
      <c r="T612" s="5" t="n">
        <v>150.16</v>
      </c>
      <c r="U612" s="3" t="str">
        <f aca="false">IF(T612&lt;0,"Loss",IF(T612=0,"Break-even","Profit"))</f>
        <v>Profit</v>
      </c>
      <c r="V612" s="3" t="str">
        <f aca="false">IF(Q612&lt;100,"Low",IF(Q612&lt;=500,"Medium","High"))</f>
        <v>High</v>
      </c>
      <c r="W612" s="3" t="n">
        <f aca="false">D612-C612</f>
        <v>2</v>
      </c>
      <c r="X612" s="3" t="str">
        <f aca="false">TEXT(C612,"mmmm")</f>
        <v>March</v>
      </c>
      <c r="Y612" s="3" t="str">
        <f aca="false">LEFT(G612,1)&amp;MID(G612,FIND(" ",G612)+1,1)</f>
        <v>JM</v>
      </c>
    </row>
    <row r="613" customFormat="false" ht="15" hidden="false" customHeight="false" outlineLevel="0" collapsed="false">
      <c r="A613" s="3" t="n">
        <v>612</v>
      </c>
      <c r="B613" s="3" t="s">
        <v>1784</v>
      </c>
      <c r="C613" s="4" t="s">
        <v>1768</v>
      </c>
      <c r="D613" s="4" t="s">
        <v>1785</v>
      </c>
      <c r="E613" s="3" t="s">
        <v>28</v>
      </c>
      <c r="F613" s="3" t="s">
        <v>720</v>
      </c>
      <c r="G613" s="3" t="s">
        <v>721</v>
      </c>
      <c r="H613" s="3" t="s">
        <v>45</v>
      </c>
      <c r="I613" s="3" t="s">
        <v>32</v>
      </c>
      <c r="J613" s="3" t="s">
        <v>873</v>
      </c>
      <c r="K613" s="3" t="s">
        <v>387</v>
      </c>
      <c r="L613" s="3" t="s">
        <v>35</v>
      </c>
      <c r="M613" s="3" t="s">
        <v>88</v>
      </c>
      <c r="N613" s="3" t="s">
        <v>89</v>
      </c>
      <c r="O613" s="3" t="s">
        <v>90</v>
      </c>
      <c r="P613" s="3" t="s">
        <v>91</v>
      </c>
      <c r="Q613" s="5" t="n">
        <v>3858.65</v>
      </c>
      <c r="R613" s="3" t="n">
        <v>6</v>
      </c>
      <c r="S613" s="6" t="n">
        <v>0</v>
      </c>
      <c r="T613" s="5" t="n">
        <v>10.98</v>
      </c>
      <c r="U613" s="3" t="str">
        <f aca="false">IF(T613&lt;0,"Loss",IF(T613=0,"Break-even","Profit"))</f>
        <v>Profit</v>
      </c>
      <c r="V613" s="3" t="str">
        <f aca="false">IF(Q613&lt;100,"Low",IF(Q613&lt;=500,"Medium","High"))</f>
        <v>High</v>
      </c>
      <c r="W613" s="3" t="n">
        <f aca="false">D613-C613</f>
        <v>3</v>
      </c>
      <c r="X613" s="3" t="str">
        <f aca="false">TEXT(C613,"mmmm")</f>
        <v>March</v>
      </c>
      <c r="Y613" s="3" t="str">
        <f aca="false">LEFT(G613,1)&amp;MID(G613,FIND(" ",G613)+1,1)</f>
        <v>LJ</v>
      </c>
    </row>
    <row r="614" customFormat="false" ht="15" hidden="false" customHeight="false" outlineLevel="0" collapsed="false">
      <c r="A614" s="3" t="n">
        <v>613</v>
      </c>
      <c r="B614" s="3" t="s">
        <v>1786</v>
      </c>
      <c r="C614" s="4" t="s">
        <v>1782</v>
      </c>
      <c r="D614" s="4" t="s">
        <v>1787</v>
      </c>
      <c r="E614" s="3" t="s">
        <v>28</v>
      </c>
      <c r="F614" s="3" t="s">
        <v>1788</v>
      </c>
      <c r="G614" s="3" t="s">
        <v>1789</v>
      </c>
      <c r="H614" s="3" t="s">
        <v>45</v>
      </c>
      <c r="I614" s="3" t="s">
        <v>32</v>
      </c>
      <c r="J614" s="3" t="s">
        <v>306</v>
      </c>
      <c r="K614" s="3" t="s">
        <v>307</v>
      </c>
      <c r="L614" s="3" t="s">
        <v>69</v>
      </c>
      <c r="M614" s="3" t="s">
        <v>165</v>
      </c>
      <c r="N614" s="3" t="s">
        <v>89</v>
      </c>
      <c r="O614" s="3" t="s">
        <v>166</v>
      </c>
      <c r="P614" s="3" t="s">
        <v>167</v>
      </c>
      <c r="Q614" s="5" t="n">
        <v>1151.08</v>
      </c>
      <c r="R614" s="3" t="n">
        <v>4</v>
      </c>
      <c r="S614" s="6" t="n">
        <v>0</v>
      </c>
      <c r="T614" s="5" t="n">
        <v>-126.56</v>
      </c>
      <c r="U614" s="3" t="str">
        <f aca="false">IF(T614&lt;0,"Loss",IF(T614=0,"Break-even","Profit"))</f>
        <v>Loss</v>
      </c>
      <c r="V614" s="3" t="str">
        <f aca="false">IF(Q614&lt;100,"Low",IF(Q614&lt;=500,"Medium","High"))</f>
        <v>High</v>
      </c>
      <c r="W614" s="3" t="n">
        <f aca="false">D614-C614</f>
        <v>4</v>
      </c>
      <c r="X614" s="3" t="str">
        <f aca="false">TEXT(C614,"mmmm")</f>
        <v>March</v>
      </c>
      <c r="Y614" s="3" t="str">
        <f aca="false">LEFT(G614,1)&amp;MID(G614,FIND(" ",G614)+1,1)</f>
        <v>EJ</v>
      </c>
    </row>
    <row r="615" customFormat="false" ht="15" hidden="false" customHeight="false" outlineLevel="0" collapsed="false">
      <c r="A615" s="3" t="n">
        <v>614</v>
      </c>
      <c r="B615" s="3" t="s">
        <v>1790</v>
      </c>
      <c r="C615" s="4" t="s">
        <v>1785</v>
      </c>
      <c r="D615" s="4" t="s">
        <v>1787</v>
      </c>
      <c r="E615" s="3" t="s">
        <v>84</v>
      </c>
      <c r="F615" s="3" t="s">
        <v>293</v>
      </c>
      <c r="G615" s="3" t="s">
        <v>294</v>
      </c>
      <c r="H615" s="3" t="s">
        <v>56</v>
      </c>
      <c r="I615" s="3" t="s">
        <v>32</v>
      </c>
      <c r="J615" s="3" t="s">
        <v>77</v>
      </c>
      <c r="K615" s="3" t="s">
        <v>78</v>
      </c>
      <c r="L615" s="3" t="s">
        <v>59</v>
      </c>
      <c r="M615" s="3" t="s">
        <v>48</v>
      </c>
      <c r="N615" s="3" t="s">
        <v>49</v>
      </c>
      <c r="O615" s="3" t="s">
        <v>50</v>
      </c>
      <c r="P615" s="3" t="s">
        <v>51</v>
      </c>
      <c r="Q615" s="5" t="n">
        <v>939.78</v>
      </c>
      <c r="R615" s="3" t="n">
        <v>12</v>
      </c>
      <c r="S615" s="6" t="n">
        <v>0.1</v>
      </c>
      <c r="T615" s="5" t="n">
        <v>-23.57</v>
      </c>
      <c r="U615" s="3" t="str">
        <f aca="false">IF(T615&lt;0,"Loss",IF(T615=0,"Break-even","Profit"))</f>
        <v>Loss</v>
      </c>
      <c r="V615" s="3" t="str">
        <f aca="false">IF(Q615&lt;100,"Low",IF(Q615&lt;=500,"Medium","High"))</f>
        <v>High</v>
      </c>
      <c r="W615" s="3" t="n">
        <f aca="false">D615-C615</f>
        <v>2</v>
      </c>
      <c r="X615" s="3" t="str">
        <f aca="false">TEXT(C615,"mmmm")</f>
        <v>March</v>
      </c>
      <c r="Y615" s="3" t="str">
        <f aca="false">LEFT(G615,1)&amp;MID(G615,FIND(" ",G615)+1,1)</f>
        <v>LB</v>
      </c>
    </row>
    <row r="616" customFormat="false" ht="15" hidden="false" customHeight="false" outlineLevel="0" collapsed="false">
      <c r="A616" s="3" t="n">
        <v>615</v>
      </c>
      <c r="B616" s="3" t="s">
        <v>1791</v>
      </c>
      <c r="C616" s="4" t="s">
        <v>1785</v>
      </c>
      <c r="D616" s="4" t="s">
        <v>1792</v>
      </c>
      <c r="E616" s="3" t="s">
        <v>28</v>
      </c>
      <c r="F616" s="3" t="s">
        <v>908</v>
      </c>
      <c r="G616" s="3" t="s">
        <v>909</v>
      </c>
      <c r="H616" s="3" t="s">
        <v>31</v>
      </c>
      <c r="I616" s="3" t="s">
        <v>32</v>
      </c>
      <c r="J616" s="3" t="s">
        <v>87</v>
      </c>
      <c r="K616" s="3" t="s">
        <v>68</v>
      </c>
      <c r="L616" s="3" t="s">
        <v>69</v>
      </c>
      <c r="M616" s="3" t="s">
        <v>420</v>
      </c>
      <c r="N616" s="3" t="s">
        <v>49</v>
      </c>
      <c r="O616" s="3" t="s">
        <v>80</v>
      </c>
      <c r="P616" s="3" t="s">
        <v>421</v>
      </c>
      <c r="Q616" s="5" t="n">
        <v>158.7</v>
      </c>
      <c r="R616" s="3" t="n">
        <v>11</v>
      </c>
      <c r="S616" s="6" t="n">
        <v>0.4</v>
      </c>
      <c r="T616" s="5" t="n">
        <v>-42.27</v>
      </c>
      <c r="U616" s="3" t="str">
        <f aca="false">IF(T616&lt;0,"Loss",IF(T616=0,"Break-even","Profit"))</f>
        <v>Loss</v>
      </c>
      <c r="V616" s="3" t="str">
        <f aca="false">IF(Q616&lt;100,"Low",IF(Q616&lt;=500,"Medium","High"))</f>
        <v>Medium</v>
      </c>
      <c r="W616" s="3" t="n">
        <f aca="false">D616-C616</f>
        <v>7</v>
      </c>
      <c r="X616" s="3" t="str">
        <f aca="false">TEXT(C616,"mmmm")</f>
        <v>March</v>
      </c>
      <c r="Y616" s="3" t="str">
        <f aca="false">LEFT(G616,1)&amp;MID(G616,FIND(" ",G616)+1,1)</f>
        <v>JM</v>
      </c>
    </row>
    <row r="617" customFormat="false" ht="15" hidden="false" customHeight="false" outlineLevel="0" collapsed="false">
      <c r="A617" s="3" t="n">
        <v>616</v>
      </c>
      <c r="B617" s="3" t="s">
        <v>1793</v>
      </c>
      <c r="C617" s="4" t="s">
        <v>1780</v>
      </c>
      <c r="D617" s="4" t="s">
        <v>1787</v>
      </c>
      <c r="E617" s="3" t="s">
        <v>42</v>
      </c>
      <c r="F617" s="3" t="s">
        <v>1325</v>
      </c>
      <c r="G617" s="3" t="s">
        <v>1326</v>
      </c>
      <c r="H617" s="3" t="s">
        <v>56</v>
      </c>
      <c r="I617" s="3" t="s">
        <v>32</v>
      </c>
      <c r="J617" s="3" t="s">
        <v>365</v>
      </c>
      <c r="K617" s="3" t="s">
        <v>366</v>
      </c>
      <c r="L617" s="3" t="s">
        <v>157</v>
      </c>
      <c r="M617" s="3" t="s">
        <v>173</v>
      </c>
      <c r="N617" s="3" t="s">
        <v>89</v>
      </c>
      <c r="O617" s="3" t="s">
        <v>174</v>
      </c>
      <c r="P617" s="3" t="s">
        <v>175</v>
      </c>
      <c r="Q617" s="5" t="n">
        <v>7986.09</v>
      </c>
      <c r="R617" s="3" t="n">
        <v>13</v>
      </c>
      <c r="S617" s="6" t="n">
        <v>0.4</v>
      </c>
      <c r="T617" s="5" t="n">
        <v>-1371.19</v>
      </c>
      <c r="U617" s="3" t="str">
        <f aca="false">IF(T617&lt;0,"Loss",IF(T617=0,"Break-even","Profit"))</f>
        <v>Loss</v>
      </c>
      <c r="V617" s="3" t="str">
        <f aca="false">IF(Q617&lt;100,"Low",IF(Q617&lt;=500,"Medium","High"))</f>
        <v>High</v>
      </c>
      <c r="W617" s="3" t="n">
        <f aca="false">D617-C617</f>
        <v>1</v>
      </c>
      <c r="X617" s="3" t="str">
        <f aca="false">TEXT(C617,"mmmm")</f>
        <v>March</v>
      </c>
      <c r="Y617" s="3" t="str">
        <f aca="false">LEFT(G617,1)&amp;MID(G617,FIND(" ",G617)+1,1)</f>
        <v>MT</v>
      </c>
    </row>
    <row r="618" customFormat="false" ht="15" hidden="false" customHeight="false" outlineLevel="0" collapsed="false">
      <c r="A618" s="3" t="n">
        <v>617</v>
      </c>
      <c r="B618" s="3" t="s">
        <v>1794</v>
      </c>
      <c r="C618" s="4" t="s">
        <v>1780</v>
      </c>
      <c r="D618" s="4" t="s">
        <v>1795</v>
      </c>
      <c r="E618" s="3" t="s">
        <v>28</v>
      </c>
      <c r="F618" s="3" t="s">
        <v>1270</v>
      </c>
      <c r="G618" s="3" t="s">
        <v>1271</v>
      </c>
      <c r="H618" s="3" t="s">
        <v>45</v>
      </c>
      <c r="I618" s="3" t="s">
        <v>32</v>
      </c>
      <c r="J618" s="3" t="s">
        <v>315</v>
      </c>
      <c r="K618" s="3" t="s">
        <v>58</v>
      </c>
      <c r="L618" s="3" t="s">
        <v>59</v>
      </c>
      <c r="M618" s="3" t="s">
        <v>280</v>
      </c>
      <c r="N618" s="3" t="s">
        <v>89</v>
      </c>
      <c r="O618" s="3" t="s">
        <v>166</v>
      </c>
      <c r="P618" s="3" t="s">
        <v>281</v>
      </c>
      <c r="Q618" s="5" t="n">
        <v>312.58</v>
      </c>
      <c r="R618" s="3" t="n">
        <v>7</v>
      </c>
      <c r="S618" s="6" t="n">
        <v>0.2</v>
      </c>
      <c r="T618" s="5" t="n">
        <v>-37</v>
      </c>
      <c r="U618" s="3" t="str">
        <f aca="false">IF(T618&lt;0,"Loss",IF(T618=0,"Break-even","Profit"))</f>
        <v>Loss</v>
      </c>
      <c r="V618" s="3" t="str">
        <f aca="false">IF(Q618&lt;100,"Low",IF(Q618&lt;=500,"Medium","High"))</f>
        <v>Medium</v>
      </c>
      <c r="W618" s="3" t="n">
        <f aca="false">D618-C618</f>
        <v>7</v>
      </c>
      <c r="X618" s="3" t="str">
        <f aca="false">TEXT(C618,"mmmm")</f>
        <v>March</v>
      </c>
      <c r="Y618" s="3" t="str">
        <f aca="false">LEFT(G618,1)&amp;MID(G618,FIND(" ",G618)+1,1)</f>
        <v>RM</v>
      </c>
    </row>
    <row r="619" customFormat="false" ht="15" hidden="false" customHeight="false" outlineLevel="0" collapsed="false">
      <c r="A619" s="3" t="n">
        <v>618</v>
      </c>
      <c r="B619" s="3" t="s">
        <v>1796</v>
      </c>
      <c r="C619" s="4" t="s">
        <v>1787</v>
      </c>
      <c r="D619" s="4" t="s">
        <v>1792</v>
      </c>
      <c r="E619" s="3" t="s">
        <v>28</v>
      </c>
      <c r="F619" s="3" t="s">
        <v>1092</v>
      </c>
      <c r="G619" s="3" t="s">
        <v>1093</v>
      </c>
      <c r="H619" s="3" t="s">
        <v>45</v>
      </c>
      <c r="I619" s="3" t="s">
        <v>32</v>
      </c>
      <c r="J619" s="3" t="s">
        <v>299</v>
      </c>
      <c r="K619" s="3" t="s">
        <v>189</v>
      </c>
      <c r="L619" s="3" t="s">
        <v>59</v>
      </c>
      <c r="M619" s="3" t="s">
        <v>237</v>
      </c>
      <c r="N619" s="3" t="s">
        <v>49</v>
      </c>
      <c r="O619" s="3" t="s">
        <v>220</v>
      </c>
      <c r="P619" s="3" t="s">
        <v>238</v>
      </c>
      <c r="Q619" s="5" t="n">
        <v>20.85</v>
      </c>
      <c r="R619" s="3" t="n">
        <v>4</v>
      </c>
      <c r="S619" s="6" t="n">
        <v>0</v>
      </c>
      <c r="T619" s="5" t="n">
        <v>7.02</v>
      </c>
      <c r="U619" s="3" t="str">
        <f aca="false">IF(T619&lt;0,"Loss",IF(T619=0,"Break-even","Profit"))</f>
        <v>Profit</v>
      </c>
      <c r="V619" s="3" t="str">
        <f aca="false">IF(Q619&lt;100,"Low",IF(Q619&lt;=500,"Medium","High"))</f>
        <v>Low</v>
      </c>
      <c r="W619" s="3" t="n">
        <f aca="false">D619-C619</f>
        <v>5</v>
      </c>
      <c r="X619" s="3" t="str">
        <f aca="false">TEXT(C619,"mmmm")</f>
        <v>March</v>
      </c>
      <c r="Y619" s="3" t="str">
        <f aca="false">LEFT(G619,1)&amp;MID(G619,FIND(" ",G619)+1,1)</f>
        <v>DC</v>
      </c>
    </row>
    <row r="620" customFormat="false" ht="15" hidden="false" customHeight="false" outlineLevel="0" collapsed="false">
      <c r="A620" s="3" t="n">
        <v>619</v>
      </c>
      <c r="B620" s="3" t="s">
        <v>1797</v>
      </c>
      <c r="C620" s="4" t="s">
        <v>1787</v>
      </c>
      <c r="D620" s="4" t="s">
        <v>1792</v>
      </c>
      <c r="E620" s="3" t="s">
        <v>28</v>
      </c>
      <c r="F620" s="3" t="s">
        <v>686</v>
      </c>
      <c r="G620" s="3" t="s">
        <v>687</v>
      </c>
      <c r="H620" s="3" t="s">
        <v>56</v>
      </c>
      <c r="I620" s="3" t="s">
        <v>32</v>
      </c>
      <c r="J620" s="3" t="s">
        <v>33</v>
      </c>
      <c r="K620" s="3" t="s">
        <v>34</v>
      </c>
      <c r="L620" s="3" t="s">
        <v>35</v>
      </c>
      <c r="M620" s="3" t="s">
        <v>322</v>
      </c>
      <c r="N620" s="3" t="s">
        <v>89</v>
      </c>
      <c r="O620" s="3" t="s">
        <v>323</v>
      </c>
      <c r="P620" s="3" t="s">
        <v>324</v>
      </c>
      <c r="Q620" s="5" t="n">
        <v>88.87</v>
      </c>
      <c r="R620" s="3" t="n">
        <v>2</v>
      </c>
      <c r="S620" s="6" t="n">
        <v>0</v>
      </c>
      <c r="T620" s="5" t="n">
        <v>-16.81</v>
      </c>
      <c r="U620" s="3" t="str">
        <f aca="false">IF(T620&lt;0,"Loss",IF(T620=0,"Break-even","Profit"))</f>
        <v>Loss</v>
      </c>
      <c r="V620" s="3" t="str">
        <f aca="false">IF(Q620&lt;100,"Low",IF(Q620&lt;=500,"Medium","High"))</f>
        <v>Low</v>
      </c>
      <c r="W620" s="3" t="n">
        <f aca="false">D620-C620</f>
        <v>5</v>
      </c>
      <c r="X620" s="3" t="str">
        <f aca="false">TEXT(C620,"mmmm")</f>
        <v>March</v>
      </c>
      <c r="Y620" s="3" t="str">
        <f aca="false">LEFT(G620,1)&amp;MID(G620,FIND(" ",G620)+1,1)</f>
        <v>EN</v>
      </c>
    </row>
    <row r="621" customFormat="false" ht="15" hidden="false" customHeight="false" outlineLevel="0" collapsed="false">
      <c r="A621" s="3" t="n">
        <v>620</v>
      </c>
      <c r="B621" s="3" t="s">
        <v>1798</v>
      </c>
      <c r="C621" s="4" t="s">
        <v>1787</v>
      </c>
      <c r="D621" s="4" t="s">
        <v>1792</v>
      </c>
      <c r="E621" s="3" t="s">
        <v>28</v>
      </c>
      <c r="F621" s="3" t="s">
        <v>1239</v>
      </c>
      <c r="G621" s="3" t="s">
        <v>1240</v>
      </c>
      <c r="H621" s="3" t="s">
        <v>45</v>
      </c>
      <c r="I621" s="3" t="s">
        <v>32</v>
      </c>
      <c r="J621" s="3" t="s">
        <v>243</v>
      </c>
      <c r="K621" s="3" t="s">
        <v>244</v>
      </c>
      <c r="L621" s="3" t="s">
        <v>157</v>
      </c>
      <c r="M621" s="3" t="s">
        <v>290</v>
      </c>
      <c r="N621" s="3" t="s">
        <v>37</v>
      </c>
      <c r="O621" s="3" t="s">
        <v>38</v>
      </c>
      <c r="P621" s="3" t="s">
        <v>291</v>
      </c>
      <c r="Q621" s="5" t="n">
        <v>11505.32</v>
      </c>
      <c r="R621" s="3" t="n">
        <v>7</v>
      </c>
      <c r="S621" s="6" t="n">
        <v>0</v>
      </c>
      <c r="T621" s="5" t="n">
        <v>127.13</v>
      </c>
      <c r="U621" s="3" t="str">
        <f aca="false">IF(T621&lt;0,"Loss",IF(T621=0,"Break-even","Profit"))</f>
        <v>Profit</v>
      </c>
      <c r="V621" s="3" t="str">
        <f aca="false">IF(Q621&lt;100,"Low",IF(Q621&lt;=500,"Medium","High"))</f>
        <v>High</v>
      </c>
      <c r="W621" s="3" t="n">
        <f aca="false">D621-C621</f>
        <v>5</v>
      </c>
      <c r="X621" s="3" t="str">
        <f aca="false">TEXT(C621,"mmmm")</f>
        <v>March</v>
      </c>
      <c r="Y621" s="3" t="str">
        <f aca="false">LEFT(G621,1)&amp;MID(G621,FIND(" ",G621)+1,1)</f>
        <v>JK</v>
      </c>
    </row>
    <row r="622" customFormat="false" ht="15" hidden="false" customHeight="false" outlineLevel="0" collapsed="false">
      <c r="A622" s="3" t="n">
        <v>621</v>
      </c>
      <c r="B622" s="3" t="s">
        <v>1799</v>
      </c>
      <c r="C622" s="4" t="s">
        <v>1800</v>
      </c>
      <c r="D622" s="4" t="s">
        <v>1801</v>
      </c>
      <c r="E622" s="3" t="s">
        <v>28</v>
      </c>
      <c r="F622" s="3" t="s">
        <v>1802</v>
      </c>
      <c r="G622" s="3" t="s">
        <v>1803</v>
      </c>
      <c r="H622" s="3" t="s">
        <v>45</v>
      </c>
      <c r="I622" s="3" t="s">
        <v>32</v>
      </c>
      <c r="J622" s="3" t="s">
        <v>306</v>
      </c>
      <c r="K622" s="3" t="s">
        <v>307</v>
      </c>
      <c r="L622" s="3" t="s">
        <v>69</v>
      </c>
      <c r="M622" s="3" t="s">
        <v>219</v>
      </c>
      <c r="N622" s="3" t="s">
        <v>49</v>
      </c>
      <c r="O622" s="3" t="s">
        <v>220</v>
      </c>
      <c r="P622" s="3" t="s">
        <v>221</v>
      </c>
      <c r="Q622" s="5" t="n">
        <v>817.14</v>
      </c>
      <c r="R622" s="3" t="n">
        <v>14</v>
      </c>
      <c r="S622" s="6" t="n">
        <v>0</v>
      </c>
      <c r="T622" s="5" t="n">
        <v>-123.52</v>
      </c>
      <c r="U622" s="3" t="str">
        <f aca="false">IF(T622&lt;0,"Loss",IF(T622=0,"Break-even","Profit"))</f>
        <v>Loss</v>
      </c>
      <c r="V622" s="3" t="str">
        <f aca="false">IF(Q622&lt;100,"Low",IF(Q622&lt;=500,"Medium","High"))</f>
        <v>High</v>
      </c>
      <c r="W622" s="3" t="n">
        <f aca="false">D622-C622</f>
        <v>6</v>
      </c>
      <c r="X622" s="3" t="str">
        <f aca="false">TEXT(C622,"mmmm")</f>
        <v>March</v>
      </c>
      <c r="Y622" s="3" t="str">
        <f aca="false">LEFT(G622,1)&amp;MID(G622,FIND(" ",G622)+1,1)</f>
        <v>AJ</v>
      </c>
    </row>
    <row r="623" customFormat="false" ht="15" hidden="false" customHeight="false" outlineLevel="0" collapsed="false">
      <c r="A623" s="3" t="n">
        <v>622</v>
      </c>
      <c r="B623" s="3" t="s">
        <v>1620</v>
      </c>
      <c r="C623" s="4" t="s">
        <v>1800</v>
      </c>
      <c r="D623" s="4" t="s">
        <v>1801</v>
      </c>
      <c r="E623" s="3" t="s">
        <v>28</v>
      </c>
      <c r="F623" s="3" t="s">
        <v>1310</v>
      </c>
      <c r="G623" s="3" t="s">
        <v>1311</v>
      </c>
      <c r="H623" s="3" t="s">
        <v>45</v>
      </c>
      <c r="I623" s="3" t="s">
        <v>32</v>
      </c>
      <c r="J623" s="3" t="s">
        <v>299</v>
      </c>
      <c r="K623" s="3" t="s">
        <v>189</v>
      </c>
      <c r="L623" s="3" t="s">
        <v>59</v>
      </c>
      <c r="M623" s="3" t="s">
        <v>225</v>
      </c>
      <c r="N623" s="3" t="s">
        <v>37</v>
      </c>
      <c r="O623" s="3" t="s">
        <v>196</v>
      </c>
      <c r="P623" s="3" t="s">
        <v>226</v>
      </c>
      <c r="Q623" s="5" t="n">
        <v>10531.02</v>
      </c>
      <c r="R623" s="3" t="n">
        <v>11</v>
      </c>
      <c r="S623" s="6" t="n">
        <v>0</v>
      </c>
      <c r="T623" s="5" t="n">
        <v>520.44</v>
      </c>
      <c r="U623" s="3" t="str">
        <f aca="false">IF(T623&lt;0,"Loss",IF(T623=0,"Break-even","Profit"))</f>
        <v>Profit</v>
      </c>
      <c r="V623" s="3" t="str">
        <f aca="false">IF(Q623&lt;100,"Low",IF(Q623&lt;=500,"Medium","High"))</f>
        <v>High</v>
      </c>
      <c r="W623" s="3" t="n">
        <f aca="false">D623-C623</f>
        <v>6</v>
      </c>
      <c r="X623" s="3" t="str">
        <f aca="false">TEXT(C623,"mmmm")</f>
        <v>March</v>
      </c>
      <c r="Y623" s="3" t="str">
        <f aca="false">LEFT(G623,1)&amp;MID(G623,FIND(" ",G623)+1,1)</f>
        <v>DM</v>
      </c>
    </row>
    <row r="624" customFormat="false" ht="15" hidden="false" customHeight="false" outlineLevel="0" collapsed="false">
      <c r="A624" s="3" t="n">
        <v>623</v>
      </c>
      <c r="B624" s="3" t="s">
        <v>1650</v>
      </c>
      <c r="C624" s="4" t="s">
        <v>1800</v>
      </c>
      <c r="D624" s="4" t="s">
        <v>1804</v>
      </c>
      <c r="E624" s="3" t="s">
        <v>84</v>
      </c>
      <c r="F624" s="3" t="s">
        <v>905</v>
      </c>
      <c r="G624" s="3" t="s">
        <v>906</v>
      </c>
      <c r="H624" s="3" t="s">
        <v>45</v>
      </c>
      <c r="I624" s="3" t="s">
        <v>32</v>
      </c>
      <c r="J624" s="3" t="s">
        <v>306</v>
      </c>
      <c r="K624" s="3" t="s">
        <v>307</v>
      </c>
      <c r="L624" s="3" t="s">
        <v>69</v>
      </c>
      <c r="M624" s="3" t="s">
        <v>316</v>
      </c>
      <c r="N624" s="3" t="s">
        <v>49</v>
      </c>
      <c r="O624" s="3" t="s">
        <v>143</v>
      </c>
      <c r="P624" s="3" t="s">
        <v>317</v>
      </c>
      <c r="Q624" s="5" t="n">
        <v>367.98</v>
      </c>
      <c r="R624" s="3" t="n">
        <v>6</v>
      </c>
      <c r="S624" s="6" t="n">
        <v>0</v>
      </c>
      <c r="T624" s="5" t="n">
        <v>50.9</v>
      </c>
      <c r="U624" s="3" t="str">
        <f aca="false">IF(T624&lt;0,"Loss",IF(T624=0,"Break-even","Profit"))</f>
        <v>Profit</v>
      </c>
      <c r="V624" s="3" t="str">
        <f aca="false">IF(Q624&lt;100,"Low",IF(Q624&lt;=500,"Medium","High"))</f>
        <v>Medium</v>
      </c>
      <c r="W624" s="3" t="n">
        <f aca="false">D624-C624</f>
        <v>3</v>
      </c>
      <c r="X624" s="3" t="str">
        <f aca="false">TEXT(C624,"mmmm")</f>
        <v>March</v>
      </c>
      <c r="Y624" s="3" t="str">
        <f aca="false">LEFT(G624,1)&amp;MID(G624,FIND(" ",G624)+1,1)</f>
        <v>SB</v>
      </c>
    </row>
    <row r="625" customFormat="false" ht="15" hidden="false" customHeight="false" outlineLevel="0" collapsed="false">
      <c r="A625" s="3" t="n">
        <v>624</v>
      </c>
      <c r="B625" s="3" t="s">
        <v>1805</v>
      </c>
      <c r="C625" s="4" t="s">
        <v>1806</v>
      </c>
      <c r="D625" s="4" t="s">
        <v>1795</v>
      </c>
      <c r="E625" s="3" t="s">
        <v>28</v>
      </c>
      <c r="F625" s="3" t="s">
        <v>479</v>
      </c>
      <c r="G625" s="3" t="s">
        <v>480</v>
      </c>
      <c r="H625" s="3" t="s">
        <v>45</v>
      </c>
      <c r="I625" s="3" t="s">
        <v>32</v>
      </c>
      <c r="J625" s="3" t="s">
        <v>133</v>
      </c>
      <c r="K625" s="3" t="s">
        <v>134</v>
      </c>
      <c r="L625" s="3" t="s">
        <v>69</v>
      </c>
      <c r="M625" s="3" t="s">
        <v>659</v>
      </c>
      <c r="N625" s="3" t="s">
        <v>89</v>
      </c>
      <c r="O625" s="3" t="s">
        <v>323</v>
      </c>
      <c r="P625" s="3" t="s">
        <v>660</v>
      </c>
      <c r="Q625" s="5" t="n">
        <v>3404.8</v>
      </c>
      <c r="R625" s="3" t="n">
        <v>11</v>
      </c>
      <c r="S625" s="6" t="n">
        <v>0</v>
      </c>
      <c r="T625" s="5" t="n">
        <v>-132.14</v>
      </c>
      <c r="U625" s="3" t="str">
        <f aca="false">IF(T625&lt;0,"Loss",IF(T625=0,"Break-even","Profit"))</f>
        <v>Loss</v>
      </c>
      <c r="V625" s="3" t="str">
        <f aca="false">IF(Q625&lt;100,"Low",IF(Q625&lt;=500,"Medium","High"))</f>
        <v>High</v>
      </c>
      <c r="W625" s="3" t="n">
        <f aca="false">D625-C625</f>
        <v>3</v>
      </c>
      <c r="X625" s="3" t="str">
        <f aca="false">TEXT(C625,"mmmm")</f>
        <v>March</v>
      </c>
      <c r="Y625" s="3" t="str">
        <f aca="false">LEFT(G625,1)&amp;MID(G625,FIND(" ",G625)+1,1)</f>
        <v>MK</v>
      </c>
    </row>
    <row r="626" customFormat="false" ht="15" hidden="false" customHeight="false" outlineLevel="0" collapsed="false">
      <c r="A626" s="3" t="n">
        <v>625</v>
      </c>
      <c r="B626" s="3" t="s">
        <v>1743</v>
      </c>
      <c r="C626" s="4" t="s">
        <v>1804</v>
      </c>
      <c r="D626" s="4" t="s">
        <v>1795</v>
      </c>
      <c r="E626" s="3" t="s">
        <v>42</v>
      </c>
      <c r="F626" s="3" t="s">
        <v>568</v>
      </c>
      <c r="G626" s="3" t="s">
        <v>569</v>
      </c>
      <c r="H626" s="3" t="s">
        <v>45</v>
      </c>
      <c r="I626" s="3" t="s">
        <v>32</v>
      </c>
      <c r="J626" s="3" t="s">
        <v>365</v>
      </c>
      <c r="K626" s="3" t="s">
        <v>366</v>
      </c>
      <c r="L626" s="3" t="s">
        <v>157</v>
      </c>
      <c r="M626" s="3" t="s">
        <v>290</v>
      </c>
      <c r="N626" s="3" t="s">
        <v>37</v>
      </c>
      <c r="O626" s="3" t="s">
        <v>38</v>
      </c>
      <c r="P626" s="3" t="s">
        <v>291</v>
      </c>
      <c r="Q626" s="5" t="n">
        <v>1157.53</v>
      </c>
      <c r="R626" s="3" t="n">
        <v>1</v>
      </c>
      <c r="S626" s="6" t="n">
        <v>0.4</v>
      </c>
      <c r="T626" s="5" t="n">
        <v>-55.3</v>
      </c>
      <c r="U626" s="3" t="str">
        <f aca="false">IF(T626&lt;0,"Loss",IF(T626=0,"Break-even","Profit"))</f>
        <v>Loss</v>
      </c>
      <c r="V626" s="3" t="str">
        <f aca="false">IF(Q626&lt;100,"Low",IF(Q626&lt;=500,"Medium","High"))</f>
        <v>High</v>
      </c>
      <c r="W626" s="3" t="n">
        <f aca="false">D626-C626</f>
        <v>2</v>
      </c>
      <c r="X626" s="3" t="str">
        <f aca="false">TEXT(C626,"mmmm")</f>
        <v>March</v>
      </c>
      <c r="Y626" s="3" t="str">
        <f aca="false">LEFT(G626,1)&amp;MID(G626,FIND(" ",G626)+1,1)</f>
        <v>JT</v>
      </c>
    </row>
    <row r="627" customFormat="false" ht="15" hidden="false" customHeight="false" outlineLevel="0" collapsed="false">
      <c r="A627" s="3" t="n">
        <v>626</v>
      </c>
      <c r="B627" s="3" t="s">
        <v>1694</v>
      </c>
      <c r="C627" s="4" t="s">
        <v>1804</v>
      </c>
      <c r="D627" s="4" t="s">
        <v>1807</v>
      </c>
      <c r="E627" s="3" t="s">
        <v>28</v>
      </c>
      <c r="F627" s="3" t="s">
        <v>1775</v>
      </c>
      <c r="G627" s="3" t="s">
        <v>1776</v>
      </c>
      <c r="H627" s="3" t="s">
        <v>45</v>
      </c>
      <c r="I627" s="3" t="s">
        <v>32</v>
      </c>
      <c r="J627" s="3" t="s">
        <v>57</v>
      </c>
      <c r="K627" s="3" t="s">
        <v>58</v>
      </c>
      <c r="L627" s="3" t="s">
        <v>59</v>
      </c>
      <c r="M627" s="3" t="s">
        <v>683</v>
      </c>
      <c r="N627" s="3" t="s">
        <v>37</v>
      </c>
      <c r="O627" s="3" t="s">
        <v>136</v>
      </c>
      <c r="P627" s="3" t="s">
        <v>684</v>
      </c>
      <c r="Q627" s="5" t="n">
        <v>17812.03</v>
      </c>
      <c r="R627" s="3" t="n">
        <v>12</v>
      </c>
      <c r="S627" s="6" t="n">
        <v>0.1</v>
      </c>
      <c r="T627" s="5" t="n">
        <v>-4259.59</v>
      </c>
      <c r="U627" s="3" t="str">
        <f aca="false">IF(T627&lt;0,"Loss",IF(T627=0,"Break-even","Profit"))</f>
        <v>Loss</v>
      </c>
      <c r="V627" s="3" t="str">
        <f aca="false">IF(Q627&lt;100,"Low",IF(Q627&lt;=500,"Medium","High"))</f>
        <v>High</v>
      </c>
      <c r="W627" s="3" t="n">
        <f aca="false">D627-C627</f>
        <v>4</v>
      </c>
      <c r="X627" s="3" t="str">
        <f aca="false">TEXT(C627,"mmmm")</f>
        <v>March</v>
      </c>
      <c r="Y627" s="3" t="str">
        <f aca="false">LEFT(G627,1)&amp;MID(G627,FIND(" ",G627)+1,1)</f>
        <v>LA</v>
      </c>
    </row>
    <row r="628" customFormat="false" ht="15" hidden="false" customHeight="false" outlineLevel="0" collapsed="false">
      <c r="A628" s="3" t="n">
        <v>627</v>
      </c>
      <c r="B628" s="3" t="s">
        <v>1808</v>
      </c>
      <c r="C628" s="4" t="s">
        <v>1804</v>
      </c>
      <c r="D628" s="4" t="s">
        <v>1809</v>
      </c>
      <c r="E628" s="3" t="s">
        <v>28</v>
      </c>
      <c r="F628" s="3" t="s">
        <v>920</v>
      </c>
      <c r="G628" s="3" t="s">
        <v>921</v>
      </c>
      <c r="H628" s="3" t="s">
        <v>31</v>
      </c>
      <c r="I628" s="3" t="s">
        <v>32</v>
      </c>
      <c r="J628" s="3" t="s">
        <v>285</v>
      </c>
      <c r="K628" s="3" t="s">
        <v>202</v>
      </c>
      <c r="L628" s="3" t="s">
        <v>35</v>
      </c>
      <c r="M628" s="3" t="s">
        <v>48</v>
      </c>
      <c r="N628" s="3" t="s">
        <v>49</v>
      </c>
      <c r="O628" s="3" t="s">
        <v>50</v>
      </c>
      <c r="P628" s="3" t="s">
        <v>51</v>
      </c>
      <c r="Q628" s="5" t="n">
        <v>1397.36</v>
      </c>
      <c r="R628" s="3" t="n">
        <v>13</v>
      </c>
      <c r="S628" s="6" t="n">
        <v>0.2</v>
      </c>
      <c r="T628" s="5" t="n">
        <v>62.62</v>
      </c>
      <c r="U628" s="3" t="str">
        <f aca="false">IF(T628&lt;0,"Loss",IF(T628=0,"Break-even","Profit"))</f>
        <v>Profit</v>
      </c>
      <c r="V628" s="3" t="str">
        <f aca="false">IF(Q628&lt;100,"Low",IF(Q628&lt;=500,"Medium","High"))</f>
        <v>High</v>
      </c>
      <c r="W628" s="3" t="n">
        <f aca="false">D628-C628</f>
        <v>7</v>
      </c>
      <c r="X628" s="3" t="str">
        <f aca="false">TEXT(C628,"mmmm")</f>
        <v>March</v>
      </c>
      <c r="Y628" s="3" t="str">
        <f aca="false">LEFT(G628,1)&amp;MID(G628,FIND(" ",G628)+1,1)</f>
        <v>JJ</v>
      </c>
    </row>
    <row r="629" customFormat="false" ht="15" hidden="false" customHeight="false" outlineLevel="0" collapsed="false">
      <c r="A629" s="3" t="n">
        <v>628</v>
      </c>
      <c r="B629" s="3" t="s">
        <v>1585</v>
      </c>
      <c r="C629" s="4" t="s">
        <v>1795</v>
      </c>
      <c r="D629" s="4" t="s">
        <v>1810</v>
      </c>
      <c r="E629" s="3" t="s">
        <v>28</v>
      </c>
      <c r="F629" s="3" t="s">
        <v>1765</v>
      </c>
      <c r="G629" s="3" t="s">
        <v>1766</v>
      </c>
      <c r="H629" s="3" t="s">
        <v>56</v>
      </c>
      <c r="I629" s="3" t="s">
        <v>32</v>
      </c>
      <c r="J629" s="3" t="s">
        <v>148</v>
      </c>
      <c r="K629" s="3" t="s">
        <v>78</v>
      </c>
      <c r="L629" s="3" t="s">
        <v>59</v>
      </c>
      <c r="M629" s="3" t="s">
        <v>142</v>
      </c>
      <c r="N629" s="3" t="s">
        <v>49</v>
      </c>
      <c r="O629" s="3" t="s">
        <v>143</v>
      </c>
      <c r="P629" s="3" t="s">
        <v>144</v>
      </c>
      <c r="Q629" s="5" t="n">
        <v>703.11</v>
      </c>
      <c r="R629" s="3" t="n">
        <v>7</v>
      </c>
      <c r="S629" s="6" t="n">
        <v>0.2</v>
      </c>
      <c r="T629" s="5" t="n">
        <v>94.25</v>
      </c>
      <c r="U629" s="3" t="str">
        <f aca="false">IF(T629&lt;0,"Loss",IF(T629=0,"Break-even","Profit"))</f>
        <v>Profit</v>
      </c>
      <c r="V629" s="3" t="str">
        <f aca="false">IF(Q629&lt;100,"Low",IF(Q629&lt;=500,"Medium","High"))</f>
        <v>High</v>
      </c>
      <c r="W629" s="3" t="n">
        <f aca="false">D629-C629</f>
        <v>3</v>
      </c>
      <c r="X629" s="3" t="str">
        <f aca="false">TEXT(C629,"mmmm")</f>
        <v>March</v>
      </c>
      <c r="Y629" s="3" t="str">
        <f aca="false">LEFT(G629,1)&amp;MID(G629,FIND(" ",G629)+1,1)</f>
        <v>AM</v>
      </c>
    </row>
    <row r="630" customFormat="false" ht="15" hidden="false" customHeight="false" outlineLevel="0" collapsed="false">
      <c r="A630" s="3" t="n">
        <v>629</v>
      </c>
      <c r="B630" s="3" t="s">
        <v>1811</v>
      </c>
      <c r="C630" s="4" t="s">
        <v>1801</v>
      </c>
      <c r="D630" s="4" t="s">
        <v>1810</v>
      </c>
      <c r="E630" s="3" t="s">
        <v>84</v>
      </c>
      <c r="F630" s="3" t="s">
        <v>1812</v>
      </c>
      <c r="G630" s="3" t="s">
        <v>1813</v>
      </c>
      <c r="H630" s="3" t="s">
        <v>45</v>
      </c>
      <c r="I630" s="3" t="s">
        <v>32</v>
      </c>
      <c r="J630" s="3" t="s">
        <v>208</v>
      </c>
      <c r="K630" s="3" t="s">
        <v>134</v>
      </c>
      <c r="L630" s="3" t="s">
        <v>69</v>
      </c>
      <c r="M630" s="3" t="s">
        <v>470</v>
      </c>
      <c r="N630" s="3" t="s">
        <v>49</v>
      </c>
      <c r="O630" s="3" t="s">
        <v>159</v>
      </c>
      <c r="P630" s="3" t="s">
        <v>471</v>
      </c>
      <c r="Q630" s="5" t="n">
        <v>110.66</v>
      </c>
      <c r="R630" s="3" t="n">
        <v>1</v>
      </c>
      <c r="S630" s="6" t="n">
        <v>0.2</v>
      </c>
      <c r="T630" s="5" t="n">
        <v>-19.31</v>
      </c>
      <c r="U630" s="3" t="str">
        <f aca="false">IF(T630&lt;0,"Loss",IF(T630=0,"Break-even","Profit"))</f>
        <v>Loss</v>
      </c>
      <c r="V630" s="3" t="str">
        <f aca="false">IF(Q630&lt;100,"Low",IF(Q630&lt;=500,"Medium","High"))</f>
        <v>Medium</v>
      </c>
      <c r="W630" s="3" t="n">
        <f aca="false">D630-C630</f>
        <v>2</v>
      </c>
      <c r="X630" s="3" t="str">
        <f aca="false">TEXT(C630,"mmmm")</f>
        <v>March</v>
      </c>
      <c r="Y630" s="3" t="str">
        <f aca="false">LEFT(G630,1)&amp;MID(G630,FIND(" ",G630)+1,1)</f>
        <v>FG</v>
      </c>
    </row>
    <row r="631" customFormat="false" ht="15" hidden="false" customHeight="false" outlineLevel="0" collapsed="false">
      <c r="A631" s="3" t="n">
        <v>630</v>
      </c>
      <c r="B631" s="3" t="s">
        <v>1814</v>
      </c>
      <c r="C631" s="4" t="s">
        <v>1801</v>
      </c>
      <c r="D631" s="4" t="s">
        <v>1815</v>
      </c>
      <c r="E631" s="3" t="s">
        <v>28</v>
      </c>
      <c r="F631" s="3" t="s">
        <v>182</v>
      </c>
      <c r="G631" s="3" t="s">
        <v>183</v>
      </c>
      <c r="H631" s="3" t="s">
        <v>56</v>
      </c>
      <c r="I631" s="3" t="s">
        <v>32</v>
      </c>
      <c r="J631" s="3" t="s">
        <v>285</v>
      </c>
      <c r="K631" s="3" t="s">
        <v>202</v>
      </c>
      <c r="L631" s="3" t="s">
        <v>35</v>
      </c>
      <c r="M631" s="3" t="s">
        <v>404</v>
      </c>
      <c r="N631" s="3" t="s">
        <v>89</v>
      </c>
      <c r="O631" s="3" t="s">
        <v>166</v>
      </c>
      <c r="P631" s="3" t="s">
        <v>405</v>
      </c>
      <c r="Q631" s="5" t="n">
        <v>6229.12</v>
      </c>
      <c r="R631" s="3" t="n">
        <v>10</v>
      </c>
      <c r="S631" s="6" t="n">
        <v>0</v>
      </c>
      <c r="T631" s="5" t="n">
        <v>1244.72</v>
      </c>
      <c r="U631" s="3" t="str">
        <f aca="false">IF(T631&lt;0,"Loss",IF(T631=0,"Break-even","Profit"))</f>
        <v>Profit</v>
      </c>
      <c r="V631" s="3" t="str">
        <f aca="false">IF(Q631&lt;100,"Low",IF(Q631&lt;=500,"Medium","High"))</f>
        <v>High</v>
      </c>
      <c r="W631" s="3" t="n">
        <f aca="false">D631-C631</f>
        <v>6</v>
      </c>
      <c r="X631" s="3" t="str">
        <f aca="false">TEXT(C631,"mmmm")</f>
        <v>March</v>
      </c>
      <c r="Y631" s="3" t="str">
        <f aca="false">LEFT(G631,1)&amp;MID(G631,FIND(" ",G631)+1,1)</f>
        <v>CN</v>
      </c>
    </row>
    <row r="632" customFormat="false" ht="15" hidden="false" customHeight="false" outlineLevel="0" collapsed="false">
      <c r="A632" s="3" t="n">
        <v>631</v>
      </c>
      <c r="B632" s="3" t="s">
        <v>1816</v>
      </c>
      <c r="C632" s="4" t="s">
        <v>1801</v>
      </c>
      <c r="D632" s="4" t="s">
        <v>1817</v>
      </c>
      <c r="E632" s="3" t="s">
        <v>28</v>
      </c>
      <c r="F632" s="3" t="s">
        <v>169</v>
      </c>
      <c r="G632" s="3" t="s">
        <v>170</v>
      </c>
      <c r="H632" s="3" t="s">
        <v>31</v>
      </c>
      <c r="I632" s="3" t="s">
        <v>32</v>
      </c>
      <c r="J632" s="3" t="s">
        <v>57</v>
      </c>
      <c r="K632" s="3" t="s">
        <v>58</v>
      </c>
      <c r="L632" s="3" t="s">
        <v>59</v>
      </c>
      <c r="M632" s="3" t="s">
        <v>322</v>
      </c>
      <c r="N632" s="3" t="s">
        <v>89</v>
      </c>
      <c r="O632" s="3" t="s">
        <v>323</v>
      </c>
      <c r="P632" s="3" t="s">
        <v>324</v>
      </c>
      <c r="Q632" s="5" t="n">
        <v>2879.52</v>
      </c>
      <c r="R632" s="3" t="n">
        <v>10</v>
      </c>
      <c r="S632" s="6" t="n">
        <v>0</v>
      </c>
      <c r="T632" s="5" t="n">
        <v>489.18</v>
      </c>
      <c r="U632" s="3" t="str">
        <f aca="false">IF(T632&lt;0,"Loss",IF(T632=0,"Break-even","Profit"))</f>
        <v>Profit</v>
      </c>
      <c r="V632" s="3" t="str">
        <f aca="false">IF(Q632&lt;100,"Low",IF(Q632&lt;=500,"Medium","High"))</f>
        <v>High</v>
      </c>
      <c r="W632" s="3" t="n">
        <f aca="false">D632-C632</f>
        <v>5</v>
      </c>
      <c r="X632" s="3" t="str">
        <f aca="false">TEXT(C632,"mmmm")</f>
        <v>March</v>
      </c>
      <c r="Y632" s="3" t="str">
        <f aca="false">LEFT(G632,1)&amp;MID(G632,FIND(" ",G632)+1,1)</f>
        <v>PK</v>
      </c>
    </row>
    <row r="633" customFormat="false" ht="15" hidden="false" customHeight="false" outlineLevel="0" collapsed="false">
      <c r="A633" s="3" t="n">
        <v>632</v>
      </c>
      <c r="B633" s="3" t="s">
        <v>1818</v>
      </c>
      <c r="C633" s="4" t="s">
        <v>1810</v>
      </c>
      <c r="D633" s="4" t="s">
        <v>1817</v>
      </c>
      <c r="E633" s="3" t="s">
        <v>84</v>
      </c>
      <c r="F633" s="3" t="s">
        <v>199</v>
      </c>
      <c r="G633" s="3" t="s">
        <v>200</v>
      </c>
      <c r="H633" s="3" t="s">
        <v>56</v>
      </c>
      <c r="I633" s="3" t="s">
        <v>32</v>
      </c>
      <c r="J633" s="3" t="s">
        <v>315</v>
      </c>
      <c r="K633" s="3" t="s">
        <v>58</v>
      </c>
      <c r="L633" s="3" t="s">
        <v>59</v>
      </c>
      <c r="M633" s="3" t="s">
        <v>190</v>
      </c>
      <c r="N633" s="3" t="s">
        <v>49</v>
      </c>
      <c r="O633" s="3" t="s">
        <v>150</v>
      </c>
      <c r="P633" s="3" t="s">
        <v>191</v>
      </c>
      <c r="Q633" s="5" t="n">
        <v>319.49</v>
      </c>
      <c r="R633" s="3" t="n">
        <v>6</v>
      </c>
      <c r="S633" s="6" t="n">
        <v>0</v>
      </c>
      <c r="T633" s="5" t="n">
        <v>67.81</v>
      </c>
      <c r="U633" s="3" t="str">
        <f aca="false">IF(T633&lt;0,"Loss",IF(T633=0,"Break-even","Profit"))</f>
        <v>Profit</v>
      </c>
      <c r="V633" s="3" t="str">
        <f aca="false">IF(Q633&lt;100,"Low",IF(Q633&lt;=500,"Medium","High"))</f>
        <v>Medium</v>
      </c>
      <c r="W633" s="3" t="n">
        <f aca="false">D633-C633</f>
        <v>3</v>
      </c>
      <c r="X633" s="3" t="str">
        <f aca="false">TEXT(C633,"mmmm")</f>
        <v>March</v>
      </c>
      <c r="Y633" s="3" t="str">
        <f aca="false">LEFT(G633,1)&amp;MID(G633,FIND(" ",G633)+1,1)</f>
        <v>MK</v>
      </c>
    </row>
    <row r="634" customFormat="false" ht="15" hidden="false" customHeight="false" outlineLevel="0" collapsed="false">
      <c r="A634" s="3" t="n">
        <v>633</v>
      </c>
      <c r="B634" s="3" t="s">
        <v>1636</v>
      </c>
      <c r="C634" s="4" t="s">
        <v>1819</v>
      </c>
      <c r="D634" s="4" t="s">
        <v>1819</v>
      </c>
      <c r="E634" s="3" t="s">
        <v>53</v>
      </c>
      <c r="F634" s="3" t="s">
        <v>1446</v>
      </c>
      <c r="G634" s="3" t="s">
        <v>1447</v>
      </c>
      <c r="H634" s="3" t="s">
        <v>45</v>
      </c>
      <c r="I634" s="3" t="s">
        <v>32</v>
      </c>
      <c r="J634" s="3" t="s">
        <v>814</v>
      </c>
      <c r="K634" s="3" t="s">
        <v>156</v>
      </c>
      <c r="L634" s="3" t="s">
        <v>157</v>
      </c>
      <c r="M634" s="3" t="s">
        <v>290</v>
      </c>
      <c r="N634" s="3" t="s">
        <v>37</v>
      </c>
      <c r="O634" s="3" t="s">
        <v>38</v>
      </c>
      <c r="P634" s="3" t="s">
        <v>291</v>
      </c>
      <c r="Q634" s="5" t="n">
        <v>10852.96</v>
      </c>
      <c r="R634" s="3" t="n">
        <v>10</v>
      </c>
      <c r="S634" s="6" t="n">
        <v>0</v>
      </c>
      <c r="T634" s="5" t="n">
        <v>-2130.57</v>
      </c>
      <c r="U634" s="3" t="str">
        <f aca="false">IF(T634&lt;0,"Loss",IF(T634=0,"Break-even","Profit"))</f>
        <v>Loss</v>
      </c>
      <c r="V634" s="3" t="str">
        <f aca="false">IF(Q634&lt;100,"Low",IF(Q634&lt;=500,"Medium","High"))</f>
        <v>High</v>
      </c>
      <c r="W634" s="3" t="n">
        <f aca="false">D634-C634</f>
        <v>0</v>
      </c>
      <c r="X634" s="3" t="str">
        <f aca="false">TEXT(C634,"mmmm")</f>
        <v>March</v>
      </c>
      <c r="Y634" s="3" t="str">
        <f aca="false">LEFT(G634,1)&amp;MID(G634,FIND(" ",G634)+1,1)</f>
        <v>JJ</v>
      </c>
    </row>
    <row r="635" customFormat="false" ht="15" hidden="false" customHeight="false" outlineLevel="0" collapsed="false">
      <c r="A635" s="3" t="n">
        <v>634</v>
      </c>
      <c r="B635" s="3" t="s">
        <v>1820</v>
      </c>
      <c r="C635" s="4" t="s">
        <v>1819</v>
      </c>
      <c r="D635" s="4" t="s">
        <v>1821</v>
      </c>
      <c r="E635" s="3" t="s">
        <v>28</v>
      </c>
      <c r="F635" s="3" t="s">
        <v>390</v>
      </c>
      <c r="G635" s="3" t="s">
        <v>391</v>
      </c>
      <c r="H635" s="3" t="s">
        <v>56</v>
      </c>
      <c r="I635" s="3" t="s">
        <v>32</v>
      </c>
      <c r="J635" s="3" t="s">
        <v>243</v>
      </c>
      <c r="K635" s="3" t="s">
        <v>244</v>
      </c>
      <c r="L635" s="3" t="s">
        <v>157</v>
      </c>
      <c r="M635" s="3" t="s">
        <v>48</v>
      </c>
      <c r="N635" s="3" t="s">
        <v>49</v>
      </c>
      <c r="O635" s="3" t="s">
        <v>50</v>
      </c>
      <c r="P635" s="3" t="s">
        <v>51</v>
      </c>
      <c r="Q635" s="5" t="n">
        <v>309.9</v>
      </c>
      <c r="R635" s="3" t="n">
        <v>4</v>
      </c>
      <c r="S635" s="6" t="n">
        <v>0</v>
      </c>
      <c r="T635" s="5" t="n">
        <v>-52.75</v>
      </c>
      <c r="U635" s="3" t="str">
        <f aca="false">IF(T635&lt;0,"Loss",IF(T635=0,"Break-even","Profit"))</f>
        <v>Loss</v>
      </c>
      <c r="V635" s="3" t="str">
        <f aca="false">IF(Q635&lt;100,"Low",IF(Q635&lt;=500,"Medium","High"))</f>
        <v>Medium</v>
      </c>
      <c r="W635" s="3" t="n">
        <f aca="false">D635-C635</f>
        <v>6</v>
      </c>
      <c r="X635" s="3" t="str">
        <f aca="false">TEXT(C635,"mmmm")</f>
        <v>March</v>
      </c>
      <c r="Y635" s="3" t="str">
        <f aca="false">LEFT(G635,1)&amp;MID(G635,FIND(" ",G635)+1,1)</f>
        <v>MA</v>
      </c>
    </row>
    <row r="636" customFormat="false" ht="15" hidden="false" customHeight="false" outlineLevel="0" collapsed="false">
      <c r="A636" s="3" t="n">
        <v>635</v>
      </c>
      <c r="B636" s="3" t="s">
        <v>1822</v>
      </c>
      <c r="C636" s="4" t="s">
        <v>1809</v>
      </c>
      <c r="D636" s="4" t="s">
        <v>1823</v>
      </c>
      <c r="E636" s="3" t="s">
        <v>84</v>
      </c>
      <c r="F636" s="3" t="s">
        <v>656</v>
      </c>
      <c r="G636" s="3" t="s">
        <v>657</v>
      </c>
      <c r="H636" s="3" t="s">
        <v>56</v>
      </c>
      <c r="I636" s="3" t="s">
        <v>32</v>
      </c>
      <c r="J636" s="3" t="s">
        <v>415</v>
      </c>
      <c r="K636" s="3" t="s">
        <v>202</v>
      </c>
      <c r="L636" s="3" t="s">
        <v>35</v>
      </c>
      <c r="M636" s="3" t="s">
        <v>88</v>
      </c>
      <c r="N636" s="3" t="s">
        <v>89</v>
      </c>
      <c r="O636" s="3" t="s">
        <v>90</v>
      </c>
      <c r="P636" s="3" t="s">
        <v>91</v>
      </c>
      <c r="Q636" s="5" t="n">
        <v>6497.57</v>
      </c>
      <c r="R636" s="3" t="n">
        <v>11</v>
      </c>
      <c r="S636" s="6" t="n">
        <v>0</v>
      </c>
      <c r="T636" s="5" t="n">
        <v>1104.8</v>
      </c>
      <c r="U636" s="3" t="str">
        <f aca="false">IF(T636&lt;0,"Loss",IF(T636=0,"Break-even","Profit"))</f>
        <v>Profit</v>
      </c>
      <c r="V636" s="3" t="str">
        <f aca="false">IF(Q636&lt;100,"Low",IF(Q636&lt;=500,"Medium","High"))</f>
        <v>High</v>
      </c>
      <c r="W636" s="3" t="n">
        <f aca="false">D636-C636</f>
        <v>3</v>
      </c>
      <c r="X636" s="3" t="str">
        <f aca="false">TEXT(C636,"mmmm")</f>
        <v>March</v>
      </c>
      <c r="Y636" s="3" t="str">
        <f aca="false">LEFT(G636,1)&amp;MID(G636,FIND(" ",G636)+1,1)</f>
        <v>MJ</v>
      </c>
    </row>
    <row r="637" customFormat="false" ht="15" hidden="false" customHeight="false" outlineLevel="0" collapsed="false">
      <c r="A637" s="3" t="n">
        <v>636</v>
      </c>
      <c r="B637" s="3" t="s">
        <v>1824</v>
      </c>
      <c r="C637" s="4" t="s">
        <v>1809</v>
      </c>
      <c r="D637" s="4" t="s">
        <v>1815</v>
      </c>
      <c r="E637" s="3" t="s">
        <v>84</v>
      </c>
      <c r="F637" s="3" t="s">
        <v>1253</v>
      </c>
      <c r="G637" s="3" t="s">
        <v>1254</v>
      </c>
      <c r="H637" s="3" t="s">
        <v>56</v>
      </c>
      <c r="I637" s="3" t="s">
        <v>32</v>
      </c>
      <c r="J637" s="3" t="s">
        <v>299</v>
      </c>
      <c r="K637" s="3" t="s">
        <v>189</v>
      </c>
      <c r="L637" s="3" t="s">
        <v>59</v>
      </c>
      <c r="M637" s="3" t="s">
        <v>334</v>
      </c>
      <c r="N637" s="3" t="s">
        <v>37</v>
      </c>
      <c r="O637" s="3" t="s">
        <v>136</v>
      </c>
      <c r="P637" s="3" t="s">
        <v>335</v>
      </c>
      <c r="Q637" s="5" t="n">
        <v>6226.91</v>
      </c>
      <c r="R637" s="3" t="n">
        <v>5</v>
      </c>
      <c r="S637" s="6" t="n">
        <v>0.5</v>
      </c>
      <c r="T637" s="5" t="n">
        <v>34.66</v>
      </c>
      <c r="U637" s="3" t="str">
        <f aca="false">IF(T637&lt;0,"Loss",IF(T637=0,"Break-even","Profit"))</f>
        <v>Profit</v>
      </c>
      <c r="V637" s="3" t="str">
        <f aca="false">IF(Q637&lt;100,"Low",IF(Q637&lt;=500,"Medium","High"))</f>
        <v>High</v>
      </c>
      <c r="W637" s="3" t="n">
        <f aca="false">D637-C637</f>
        <v>2</v>
      </c>
      <c r="X637" s="3" t="str">
        <f aca="false">TEXT(C637,"mmmm")</f>
        <v>March</v>
      </c>
      <c r="Y637" s="3" t="str">
        <f aca="false">LEFT(G637,1)&amp;MID(G637,FIND(" ",G637)+1,1)</f>
        <v>AN</v>
      </c>
    </row>
    <row r="638" customFormat="false" ht="15" hidden="false" customHeight="false" outlineLevel="0" collapsed="false">
      <c r="A638" s="3" t="n">
        <v>637</v>
      </c>
      <c r="B638" s="3" t="s">
        <v>1825</v>
      </c>
      <c r="C638" s="4" t="s">
        <v>1809</v>
      </c>
      <c r="D638" s="4" t="s">
        <v>1815</v>
      </c>
      <c r="E638" s="3" t="s">
        <v>84</v>
      </c>
      <c r="F638" s="3" t="s">
        <v>1826</v>
      </c>
      <c r="G638" s="3" t="s">
        <v>1827</v>
      </c>
      <c r="H638" s="3" t="s">
        <v>31</v>
      </c>
      <c r="I638" s="3" t="s">
        <v>32</v>
      </c>
      <c r="J638" s="3" t="s">
        <v>148</v>
      </c>
      <c r="K638" s="3" t="s">
        <v>78</v>
      </c>
      <c r="L638" s="3" t="s">
        <v>59</v>
      </c>
      <c r="M638" s="3" t="s">
        <v>259</v>
      </c>
      <c r="N638" s="3" t="s">
        <v>89</v>
      </c>
      <c r="O638" s="3" t="s">
        <v>174</v>
      </c>
      <c r="P638" s="3" t="s">
        <v>260</v>
      </c>
      <c r="Q638" s="5" t="n">
        <v>875.5</v>
      </c>
      <c r="R638" s="3" t="n">
        <v>4</v>
      </c>
      <c r="S638" s="6" t="n">
        <v>0</v>
      </c>
      <c r="T638" s="5" t="n">
        <v>283.44</v>
      </c>
      <c r="U638" s="3" t="str">
        <f aca="false">IF(T638&lt;0,"Loss",IF(T638=0,"Break-even","Profit"))</f>
        <v>Profit</v>
      </c>
      <c r="V638" s="3" t="str">
        <f aca="false">IF(Q638&lt;100,"Low",IF(Q638&lt;=500,"Medium","High"))</f>
        <v>High</v>
      </c>
      <c r="W638" s="3" t="n">
        <f aca="false">D638-C638</f>
        <v>2</v>
      </c>
      <c r="X638" s="3" t="str">
        <f aca="false">TEXT(C638,"mmmm")</f>
        <v>March</v>
      </c>
      <c r="Y638" s="3" t="str">
        <f aca="false">LEFT(G638,1)&amp;MID(G638,FIND(" ",G638)+1,1)</f>
        <v>EG</v>
      </c>
    </row>
    <row r="639" customFormat="false" ht="15" hidden="false" customHeight="false" outlineLevel="0" collapsed="false">
      <c r="A639" s="3" t="n">
        <v>638</v>
      </c>
      <c r="B639" s="3" t="s">
        <v>1828</v>
      </c>
      <c r="C639" s="4" t="s">
        <v>1817</v>
      </c>
      <c r="D639" s="4" t="s">
        <v>1829</v>
      </c>
      <c r="E639" s="3" t="s">
        <v>28</v>
      </c>
      <c r="F639" s="3" t="s">
        <v>572</v>
      </c>
      <c r="G639" s="3" t="s">
        <v>573</v>
      </c>
      <c r="H639" s="3" t="s">
        <v>56</v>
      </c>
      <c r="I639" s="3" t="s">
        <v>32</v>
      </c>
      <c r="J639" s="3" t="s">
        <v>148</v>
      </c>
      <c r="K639" s="3" t="s">
        <v>78</v>
      </c>
      <c r="L639" s="3" t="s">
        <v>59</v>
      </c>
      <c r="M639" s="3" t="s">
        <v>209</v>
      </c>
      <c r="N639" s="3" t="s">
        <v>49</v>
      </c>
      <c r="O639" s="3" t="s">
        <v>106</v>
      </c>
      <c r="P639" s="3" t="s">
        <v>210</v>
      </c>
      <c r="Q639" s="5" t="n">
        <v>405.25</v>
      </c>
      <c r="R639" s="3" t="n">
        <v>5</v>
      </c>
      <c r="S639" s="6" t="n">
        <v>0.1</v>
      </c>
      <c r="T639" s="5" t="n">
        <v>59.99</v>
      </c>
      <c r="U639" s="3" t="str">
        <f aca="false">IF(T639&lt;0,"Loss",IF(T639=0,"Break-even","Profit"))</f>
        <v>Profit</v>
      </c>
      <c r="V639" s="3" t="str">
        <f aca="false">IF(Q639&lt;100,"Low",IF(Q639&lt;=500,"Medium","High"))</f>
        <v>Medium</v>
      </c>
      <c r="W639" s="3" t="n">
        <f aca="false">D639-C639</f>
        <v>3</v>
      </c>
      <c r="X639" s="3" t="str">
        <f aca="false">TEXT(C639,"mmmm")</f>
        <v>March</v>
      </c>
      <c r="Y639" s="3" t="str">
        <f aca="false">LEFT(G639,1)&amp;MID(G639,FIND(" ",G639)+1,1)</f>
        <v>PM</v>
      </c>
    </row>
    <row r="640" customFormat="false" ht="15" hidden="false" customHeight="false" outlineLevel="0" collapsed="false">
      <c r="A640" s="3" t="n">
        <v>639</v>
      </c>
      <c r="B640" s="3" t="s">
        <v>1830</v>
      </c>
      <c r="C640" s="4" t="s">
        <v>1829</v>
      </c>
      <c r="D640" s="4" t="s">
        <v>1831</v>
      </c>
      <c r="E640" s="3" t="s">
        <v>84</v>
      </c>
      <c r="F640" s="3" t="s">
        <v>1375</v>
      </c>
      <c r="G640" s="3" t="s">
        <v>1376</v>
      </c>
      <c r="H640" s="3" t="s">
        <v>56</v>
      </c>
      <c r="I640" s="3" t="s">
        <v>32</v>
      </c>
      <c r="J640" s="3" t="s">
        <v>365</v>
      </c>
      <c r="K640" s="3" t="s">
        <v>366</v>
      </c>
      <c r="L640" s="3" t="s">
        <v>157</v>
      </c>
      <c r="M640" s="3" t="s">
        <v>127</v>
      </c>
      <c r="N640" s="3" t="s">
        <v>49</v>
      </c>
      <c r="O640" s="3" t="s">
        <v>61</v>
      </c>
      <c r="P640" s="3" t="s">
        <v>128</v>
      </c>
      <c r="Q640" s="5" t="n">
        <v>615.73</v>
      </c>
      <c r="R640" s="3" t="n">
        <v>6</v>
      </c>
      <c r="S640" s="6" t="n">
        <v>0.2</v>
      </c>
      <c r="T640" s="5" t="n">
        <v>80.18</v>
      </c>
      <c r="U640" s="3" t="str">
        <f aca="false">IF(T640&lt;0,"Loss",IF(T640=0,"Break-even","Profit"))</f>
        <v>Profit</v>
      </c>
      <c r="V640" s="3" t="str">
        <f aca="false">IF(Q640&lt;100,"Low",IF(Q640&lt;=500,"Medium","High"))</f>
        <v>High</v>
      </c>
      <c r="W640" s="3" t="n">
        <f aca="false">D640-C640</f>
        <v>2</v>
      </c>
      <c r="X640" s="3" t="str">
        <f aca="false">TEXT(C640,"mmmm")</f>
        <v>March</v>
      </c>
      <c r="Y640" s="3" t="str">
        <f aca="false">LEFT(G640,1)&amp;MID(G640,FIND(" ",G640)+1,1)</f>
        <v>JK</v>
      </c>
    </row>
    <row r="641" customFormat="false" ht="15" hidden="false" customHeight="false" outlineLevel="0" collapsed="false">
      <c r="A641" s="3" t="n">
        <v>640</v>
      </c>
      <c r="B641" s="3" t="s">
        <v>1832</v>
      </c>
      <c r="C641" s="4" t="s">
        <v>1829</v>
      </c>
      <c r="D641" s="4" t="s">
        <v>1831</v>
      </c>
      <c r="E641" s="3" t="s">
        <v>42</v>
      </c>
      <c r="F641" s="3" t="s">
        <v>1833</v>
      </c>
      <c r="G641" s="3" t="s">
        <v>1834</v>
      </c>
      <c r="H641" s="3" t="s">
        <v>31</v>
      </c>
      <c r="I641" s="3" t="s">
        <v>32</v>
      </c>
      <c r="J641" s="3" t="s">
        <v>299</v>
      </c>
      <c r="K641" s="3" t="s">
        <v>189</v>
      </c>
      <c r="L641" s="3" t="s">
        <v>59</v>
      </c>
      <c r="M641" s="3" t="s">
        <v>158</v>
      </c>
      <c r="N641" s="3" t="s">
        <v>49</v>
      </c>
      <c r="O641" s="3" t="s">
        <v>159</v>
      </c>
      <c r="P641" s="3" t="s">
        <v>160</v>
      </c>
      <c r="Q641" s="5" t="n">
        <v>676</v>
      </c>
      <c r="R641" s="3" t="n">
        <v>14</v>
      </c>
      <c r="S641" s="6" t="n">
        <v>0</v>
      </c>
      <c r="T641" s="5" t="n">
        <v>21.33</v>
      </c>
      <c r="U641" s="3" t="str">
        <f aca="false">IF(T641&lt;0,"Loss",IF(T641=0,"Break-even","Profit"))</f>
        <v>Profit</v>
      </c>
      <c r="V641" s="3" t="str">
        <f aca="false">IF(Q641&lt;100,"Low",IF(Q641&lt;=500,"Medium","High"))</f>
        <v>High</v>
      </c>
      <c r="W641" s="3" t="n">
        <f aca="false">D641-C641</f>
        <v>2</v>
      </c>
      <c r="X641" s="3" t="str">
        <f aca="false">TEXT(C641,"mmmm")</f>
        <v>March</v>
      </c>
      <c r="Y641" s="3" t="str">
        <f aca="false">LEFT(G641,1)&amp;MID(G641,FIND(" ",G641)+1,1)</f>
        <v>LS</v>
      </c>
    </row>
    <row r="642" customFormat="false" ht="15" hidden="false" customHeight="false" outlineLevel="0" collapsed="false">
      <c r="A642" s="3" t="n">
        <v>641</v>
      </c>
      <c r="B642" s="3" t="s">
        <v>1835</v>
      </c>
      <c r="C642" s="4" t="s">
        <v>1829</v>
      </c>
      <c r="D642" s="4" t="s">
        <v>1836</v>
      </c>
      <c r="E642" s="3" t="s">
        <v>84</v>
      </c>
      <c r="F642" s="3" t="s">
        <v>490</v>
      </c>
      <c r="G642" s="3" t="s">
        <v>491</v>
      </c>
      <c r="H642" s="3" t="s">
        <v>56</v>
      </c>
      <c r="I642" s="3" t="s">
        <v>32</v>
      </c>
      <c r="J642" s="3" t="s">
        <v>120</v>
      </c>
      <c r="K642" s="3" t="s">
        <v>113</v>
      </c>
      <c r="L642" s="3" t="s">
        <v>69</v>
      </c>
      <c r="M642" s="3" t="s">
        <v>158</v>
      </c>
      <c r="N642" s="3" t="s">
        <v>49</v>
      </c>
      <c r="O642" s="3" t="s">
        <v>159</v>
      </c>
      <c r="P642" s="3" t="s">
        <v>160</v>
      </c>
      <c r="Q642" s="5" t="n">
        <v>969.75</v>
      </c>
      <c r="R642" s="3" t="n">
        <v>9</v>
      </c>
      <c r="S642" s="6" t="n">
        <v>0.2</v>
      </c>
      <c r="T642" s="5" t="n">
        <v>288.21</v>
      </c>
      <c r="U642" s="3" t="str">
        <f aca="false">IF(T642&lt;0,"Loss",IF(T642=0,"Break-even","Profit"))</f>
        <v>Profit</v>
      </c>
      <c r="V642" s="3" t="str">
        <f aca="false">IF(Q642&lt;100,"Low",IF(Q642&lt;=500,"Medium","High"))</f>
        <v>High</v>
      </c>
      <c r="W642" s="3" t="n">
        <f aca="false">D642-C642</f>
        <v>4</v>
      </c>
      <c r="X642" s="3" t="str">
        <f aca="false">TEXT(C642,"mmmm")</f>
        <v>March</v>
      </c>
      <c r="Y642" s="3" t="str">
        <f aca="false">LEFT(G642,1)&amp;MID(G642,FIND(" ",G642)+1,1)</f>
        <v>WM</v>
      </c>
    </row>
    <row r="643" customFormat="false" ht="15" hidden="false" customHeight="false" outlineLevel="0" collapsed="false">
      <c r="A643" s="3" t="n">
        <v>642</v>
      </c>
      <c r="B643" s="3" t="s">
        <v>1837</v>
      </c>
      <c r="C643" s="4" t="s">
        <v>1829</v>
      </c>
      <c r="D643" s="4" t="s">
        <v>1838</v>
      </c>
      <c r="E643" s="3" t="s">
        <v>28</v>
      </c>
      <c r="F643" s="3" t="s">
        <v>1696</v>
      </c>
      <c r="G643" s="3" t="s">
        <v>1697</v>
      </c>
      <c r="H643" s="3" t="s">
        <v>56</v>
      </c>
      <c r="I643" s="3" t="s">
        <v>32</v>
      </c>
      <c r="J643" s="3" t="s">
        <v>148</v>
      </c>
      <c r="K643" s="3" t="s">
        <v>78</v>
      </c>
      <c r="L643" s="3" t="s">
        <v>59</v>
      </c>
      <c r="M643" s="3" t="s">
        <v>316</v>
      </c>
      <c r="N643" s="3" t="s">
        <v>49</v>
      </c>
      <c r="O643" s="3" t="s">
        <v>143</v>
      </c>
      <c r="P643" s="3" t="s">
        <v>317</v>
      </c>
      <c r="Q643" s="5" t="n">
        <v>1225.87</v>
      </c>
      <c r="R643" s="3" t="n">
        <v>11</v>
      </c>
      <c r="S643" s="6" t="n">
        <v>0</v>
      </c>
      <c r="T643" s="5" t="n">
        <v>-241.61</v>
      </c>
      <c r="U643" s="3" t="str">
        <f aca="false">IF(T643&lt;0,"Loss",IF(T643=0,"Break-even","Profit"))</f>
        <v>Loss</v>
      </c>
      <c r="V643" s="3" t="str">
        <f aca="false">IF(Q643&lt;100,"Low",IF(Q643&lt;=500,"Medium","High"))</f>
        <v>High</v>
      </c>
      <c r="W643" s="3" t="n">
        <f aca="false">D643-C643</f>
        <v>7</v>
      </c>
      <c r="X643" s="3" t="str">
        <f aca="false">TEXT(C643,"mmmm")</f>
        <v>March</v>
      </c>
      <c r="Y643" s="3" t="str">
        <f aca="false">LEFT(G643,1)&amp;MID(G643,FIND(" ",G643)+1,1)</f>
        <v>MT</v>
      </c>
    </row>
    <row r="644" customFormat="false" ht="15" hidden="false" customHeight="false" outlineLevel="0" collapsed="false">
      <c r="A644" s="3" t="n">
        <v>643</v>
      </c>
      <c r="B644" s="3" t="s">
        <v>1839</v>
      </c>
      <c r="C644" s="4" t="s">
        <v>1821</v>
      </c>
      <c r="D644" s="4" t="s">
        <v>1836</v>
      </c>
      <c r="E644" s="3" t="s">
        <v>28</v>
      </c>
      <c r="F644" s="3" t="s">
        <v>1840</v>
      </c>
      <c r="G644" s="3" t="s">
        <v>1841</v>
      </c>
      <c r="H644" s="3" t="s">
        <v>31</v>
      </c>
      <c r="I644" s="3" t="s">
        <v>32</v>
      </c>
      <c r="J644" s="3" t="s">
        <v>365</v>
      </c>
      <c r="K644" s="3" t="s">
        <v>366</v>
      </c>
      <c r="L644" s="3" t="s">
        <v>157</v>
      </c>
      <c r="M644" s="3" t="s">
        <v>404</v>
      </c>
      <c r="N644" s="3" t="s">
        <v>89</v>
      </c>
      <c r="O644" s="3" t="s">
        <v>166</v>
      </c>
      <c r="P644" s="3" t="s">
        <v>405</v>
      </c>
      <c r="Q644" s="5" t="n">
        <v>1403.31</v>
      </c>
      <c r="R644" s="3" t="n">
        <v>8</v>
      </c>
      <c r="S644" s="6" t="n">
        <v>0.2</v>
      </c>
      <c r="T644" s="5" t="n">
        <v>100.73</v>
      </c>
      <c r="U644" s="3" t="str">
        <f aca="false">IF(T644&lt;0,"Loss",IF(T644=0,"Break-even","Profit"))</f>
        <v>Profit</v>
      </c>
      <c r="V644" s="3" t="str">
        <f aca="false">IF(Q644&lt;100,"Low",IF(Q644&lt;=500,"Medium","High"))</f>
        <v>High</v>
      </c>
      <c r="W644" s="3" t="n">
        <f aca="false">D644-C644</f>
        <v>3</v>
      </c>
      <c r="X644" s="3" t="str">
        <f aca="false">TEXT(C644,"mmmm")</f>
        <v>March</v>
      </c>
      <c r="Y644" s="3" t="str">
        <f aca="false">LEFT(G644,1)&amp;MID(G644,FIND(" ",G644)+1,1)</f>
        <v>LK</v>
      </c>
    </row>
    <row r="645" customFormat="false" ht="15" hidden="false" customHeight="false" outlineLevel="0" collapsed="false">
      <c r="A645" s="3" t="n">
        <v>644</v>
      </c>
      <c r="B645" s="3" t="s">
        <v>1842</v>
      </c>
      <c r="C645" s="4" t="s">
        <v>1831</v>
      </c>
      <c r="D645" s="4" t="s">
        <v>1843</v>
      </c>
      <c r="E645" s="3" t="s">
        <v>84</v>
      </c>
      <c r="F645" s="3" t="s">
        <v>193</v>
      </c>
      <c r="G645" s="3" t="s">
        <v>194</v>
      </c>
      <c r="H645" s="3" t="s">
        <v>31</v>
      </c>
      <c r="I645" s="3" t="s">
        <v>32</v>
      </c>
      <c r="J645" s="3" t="s">
        <v>57</v>
      </c>
      <c r="K645" s="3" t="s">
        <v>58</v>
      </c>
      <c r="L645" s="3" t="s">
        <v>59</v>
      </c>
      <c r="M645" s="3" t="s">
        <v>659</v>
      </c>
      <c r="N645" s="3" t="s">
        <v>89</v>
      </c>
      <c r="O645" s="3" t="s">
        <v>323</v>
      </c>
      <c r="P645" s="3" t="s">
        <v>660</v>
      </c>
      <c r="Q645" s="5" t="n">
        <v>3019.44</v>
      </c>
      <c r="R645" s="3" t="n">
        <v>4</v>
      </c>
      <c r="S645" s="6" t="n">
        <v>0.2</v>
      </c>
      <c r="T645" s="5" t="n">
        <v>470.68</v>
      </c>
      <c r="U645" s="3" t="str">
        <f aca="false">IF(T645&lt;0,"Loss",IF(T645=0,"Break-even","Profit"))</f>
        <v>Profit</v>
      </c>
      <c r="V645" s="3" t="str">
        <f aca="false">IF(Q645&lt;100,"Low",IF(Q645&lt;=500,"Medium","High"))</f>
        <v>High</v>
      </c>
      <c r="W645" s="3" t="n">
        <f aca="false">D645-C645</f>
        <v>4</v>
      </c>
      <c r="X645" s="3" t="str">
        <f aca="false">TEXT(C645,"mmmm")</f>
        <v>March</v>
      </c>
      <c r="Y645" s="3" t="str">
        <f aca="false">LEFT(G645,1)&amp;MID(G645,FIND(" ",G645)+1,1)</f>
        <v>PB</v>
      </c>
    </row>
    <row r="646" customFormat="false" ht="15" hidden="false" customHeight="false" outlineLevel="0" collapsed="false">
      <c r="A646" s="3" t="n">
        <v>645</v>
      </c>
      <c r="B646" s="3" t="s">
        <v>1844</v>
      </c>
      <c r="C646" s="4" t="s">
        <v>1831</v>
      </c>
      <c r="D646" s="4" t="s">
        <v>1845</v>
      </c>
      <c r="E646" s="3" t="s">
        <v>84</v>
      </c>
      <c r="F646" s="3" t="s">
        <v>970</v>
      </c>
      <c r="G646" s="3" t="s">
        <v>971</v>
      </c>
      <c r="H646" s="3" t="s">
        <v>56</v>
      </c>
      <c r="I646" s="3" t="s">
        <v>32</v>
      </c>
      <c r="J646" s="3" t="s">
        <v>133</v>
      </c>
      <c r="K646" s="3" t="s">
        <v>134</v>
      </c>
      <c r="L646" s="3" t="s">
        <v>69</v>
      </c>
      <c r="M646" s="3" t="s">
        <v>470</v>
      </c>
      <c r="N646" s="3" t="s">
        <v>49</v>
      </c>
      <c r="O646" s="3" t="s">
        <v>159</v>
      </c>
      <c r="P646" s="3" t="s">
        <v>471</v>
      </c>
      <c r="Q646" s="5" t="n">
        <v>1114.65</v>
      </c>
      <c r="R646" s="3" t="n">
        <v>11</v>
      </c>
      <c r="S646" s="6" t="n">
        <v>0</v>
      </c>
      <c r="T646" s="5" t="n">
        <v>81.56</v>
      </c>
      <c r="U646" s="3" t="str">
        <f aca="false">IF(T646&lt;0,"Loss",IF(T646=0,"Break-even","Profit"))</f>
        <v>Profit</v>
      </c>
      <c r="V646" s="3" t="str">
        <f aca="false">IF(Q646&lt;100,"Low",IF(Q646&lt;=500,"Medium","High"))</f>
        <v>High</v>
      </c>
      <c r="W646" s="3" t="n">
        <f aca="false">D646-C646</f>
        <v>3</v>
      </c>
      <c r="X646" s="3" t="str">
        <f aca="false">TEXT(C646,"mmmm")</f>
        <v>March</v>
      </c>
      <c r="Y646" s="3" t="str">
        <f aca="false">LEFT(G646,1)&amp;MID(G646,FIND(" ",G646)+1,1)</f>
        <v>PG</v>
      </c>
    </row>
    <row r="647" customFormat="false" ht="15" hidden="false" customHeight="false" outlineLevel="0" collapsed="false">
      <c r="A647" s="3" t="n">
        <v>646</v>
      </c>
      <c r="B647" s="3" t="s">
        <v>1846</v>
      </c>
      <c r="C647" s="4" t="s">
        <v>1847</v>
      </c>
      <c r="D647" s="4" t="s">
        <v>1845</v>
      </c>
      <c r="E647" s="3" t="s">
        <v>84</v>
      </c>
      <c r="F647" s="3" t="s">
        <v>182</v>
      </c>
      <c r="G647" s="3" t="s">
        <v>183</v>
      </c>
      <c r="H647" s="3" t="s">
        <v>45</v>
      </c>
      <c r="I647" s="3" t="s">
        <v>32</v>
      </c>
      <c r="J647" s="3" t="s">
        <v>415</v>
      </c>
      <c r="K647" s="3" t="s">
        <v>202</v>
      </c>
      <c r="L647" s="3" t="s">
        <v>35</v>
      </c>
      <c r="M647" s="3" t="s">
        <v>209</v>
      </c>
      <c r="N647" s="3" t="s">
        <v>49</v>
      </c>
      <c r="O647" s="3" t="s">
        <v>106</v>
      </c>
      <c r="P647" s="3" t="s">
        <v>210</v>
      </c>
      <c r="Q647" s="5" t="n">
        <v>260.56</v>
      </c>
      <c r="R647" s="3" t="n">
        <v>7</v>
      </c>
      <c r="S647" s="6" t="n">
        <v>0.1</v>
      </c>
      <c r="T647" s="5" t="n">
        <v>35.5</v>
      </c>
      <c r="U647" s="3" t="str">
        <f aca="false">IF(T647&lt;0,"Loss",IF(T647=0,"Break-even","Profit"))</f>
        <v>Profit</v>
      </c>
      <c r="V647" s="3" t="str">
        <f aca="false">IF(Q647&lt;100,"Low",IF(Q647&lt;=500,"Medium","High"))</f>
        <v>Medium</v>
      </c>
      <c r="W647" s="3" t="n">
        <f aca="false">D647-C647</f>
        <v>2</v>
      </c>
      <c r="X647" s="3" t="str">
        <f aca="false">TEXT(C647,"mmmm")</f>
        <v>March</v>
      </c>
      <c r="Y647" s="3" t="str">
        <f aca="false">LEFT(G647,1)&amp;MID(G647,FIND(" ",G647)+1,1)</f>
        <v>CN</v>
      </c>
    </row>
    <row r="648" customFormat="false" ht="15" hidden="false" customHeight="false" outlineLevel="0" collapsed="false">
      <c r="A648" s="3" t="n">
        <v>647</v>
      </c>
      <c r="B648" s="3" t="s">
        <v>1848</v>
      </c>
      <c r="C648" s="4" t="s">
        <v>1847</v>
      </c>
      <c r="D648" s="4" t="s">
        <v>1838</v>
      </c>
      <c r="E648" s="3" t="s">
        <v>84</v>
      </c>
      <c r="F648" s="3" t="s">
        <v>54</v>
      </c>
      <c r="G648" s="3" t="s">
        <v>55</v>
      </c>
      <c r="H648" s="3" t="s">
        <v>31</v>
      </c>
      <c r="I648" s="3" t="s">
        <v>32</v>
      </c>
      <c r="J648" s="3" t="s">
        <v>120</v>
      </c>
      <c r="K648" s="3" t="s">
        <v>113</v>
      </c>
      <c r="L648" s="3" t="s">
        <v>69</v>
      </c>
      <c r="M648" s="3" t="s">
        <v>219</v>
      </c>
      <c r="N648" s="3" t="s">
        <v>49</v>
      </c>
      <c r="O648" s="3" t="s">
        <v>220</v>
      </c>
      <c r="P648" s="3" t="s">
        <v>221</v>
      </c>
      <c r="Q648" s="5" t="n">
        <v>155.63</v>
      </c>
      <c r="R648" s="3" t="n">
        <v>2</v>
      </c>
      <c r="S648" s="6" t="n">
        <v>0.5</v>
      </c>
      <c r="T648" s="5" t="n">
        <v>-28.51</v>
      </c>
      <c r="U648" s="3" t="str">
        <f aca="false">IF(T648&lt;0,"Loss",IF(T648=0,"Break-even","Profit"))</f>
        <v>Loss</v>
      </c>
      <c r="V648" s="3" t="str">
        <f aca="false">IF(Q648&lt;100,"Low",IF(Q648&lt;=500,"Medium","High"))</f>
        <v>Medium</v>
      </c>
      <c r="W648" s="3" t="n">
        <f aca="false">D648-C648</f>
        <v>4</v>
      </c>
      <c r="X648" s="3" t="str">
        <f aca="false">TEXT(C648,"mmmm")</f>
        <v>March</v>
      </c>
      <c r="Y648" s="3" t="str">
        <f aca="false">LEFT(G648,1)&amp;MID(G648,FIND(" ",G648)+1,1)</f>
        <v>RN</v>
      </c>
    </row>
    <row r="649" customFormat="false" ht="15" hidden="false" customHeight="false" outlineLevel="0" collapsed="false">
      <c r="A649" s="3" t="n">
        <v>648</v>
      </c>
      <c r="B649" s="3" t="s">
        <v>1849</v>
      </c>
      <c r="C649" s="4" t="s">
        <v>1847</v>
      </c>
      <c r="D649" s="4" t="s">
        <v>1845</v>
      </c>
      <c r="E649" s="3" t="s">
        <v>84</v>
      </c>
      <c r="F649" s="3" t="s">
        <v>1544</v>
      </c>
      <c r="G649" s="3" t="s">
        <v>1545</v>
      </c>
      <c r="H649" s="3" t="s">
        <v>56</v>
      </c>
      <c r="I649" s="3" t="s">
        <v>32</v>
      </c>
      <c r="J649" s="3" t="s">
        <v>77</v>
      </c>
      <c r="K649" s="3" t="s">
        <v>78</v>
      </c>
      <c r="L649" s="3" t="s">
        <v>59</v>
      </c>
      <c r="M649" s="3" t="s">
        <v>105</v>
      </c>
      <c r="N649" s="3" t="s">
        <v>49</v>
      </c>
      <c r="O649" s="3" t="s">
        <v>106</v>
      </c>
      <c r="P649" s="3" t="s">
        <v>107</v>
      </c>
      <c r="Q649" s="5" t="n">
        <v>23.95</v>
      </c>
      <c r="R649" s="3" t="n">
        <v>8</v>
      </c>
      <c r="S649" s="6" t="n">
        <v>0</v>
      </c>
      <c r="T649" s="5" t="n">
        <v>-4.54</v>
      </c>
      <c r="U649" s="3" t="str">
        <f aca="false">IF(T649&lt;0,"Loss",IF(T649=0,"Break-even","Profit"))</f>
        <v>Loss</v>
      </c>
      <c r="V649" s="3" t="str">
        <f aca="false">IF(Q649&lt;100,"Low",IF(Q649&lt;=500,"Medium","High"))</f>
        <v>Low</v>
      </c>
      <c r="W649" s="3" t="n">
        <f aca="false">D649-C649</f>
        <v>2</v>
      </c>
      <c r="X649" s="3" t="str">
        <f aca="false">TEXT(C649,"mmmm")</f>
        <v>March</v>
      </c>
      <c r="Y649" s="3" t="str">
        <f aca="false">LEFT(G649,1)&amp;MID(G649,FIND(" ",G649)+1,1)</f>
        <v>PK</v>
      </c>
    </row>
    <row r="650" customFormat="false" ht="15" hidden="false" customHeight="false" outlineLevel="0" collapsed="false">
      <c r="A650" s="3" t="n">
        <v>649</v>
      </c>
      <c r="B650" s="3" t="s">
        <v>1850</v>
      </c>
      <c r="C650" s="4" t="s">
        <v>1836</v>
      </c>
      <c r="D650" s="4" t="s">
        <v>1836</v>
      </c>
      <c r="E650" s="3" t="s">
        <v>53</v>
      </c>
      <c r="F650" s="3" t="s">
        <v>949</v>
      </c>
      <c r="G650" s="3" t="s">
        <v>950</v>
      </c>
      <c r="H650" s="3" t="s">
        <v>45</v>
      </c>
      <c r="I650" s="3" t="s">
        <v>32</v>
      </c>
      <c r="J650" s="3" t="s">
        <v>243</v>
      </c>
      <c r="K650" s="3" t="s">
        <v>244</v>
      </c>
      <c r="L650" s="3" t="s">
        <v>157</v>
      </c>
      <c r="M650" s="3" t="s">
        <v>253</v>
      </c>
      <c r="N650" s="3" t="s">
        <v>89</v>
      </c>
      <c r="O650" s="3" t="s">
        <v>90</v>
      </c>
      <c r="P650" s="3" t="s">
        <v>254</v>
      </c>
      <c r="Q650" s="5" t="n">
        <v>1282.08</v>
      </c>
      <c r="R650" s="3" t="n">
        <v>2</v>
      </c>
      <c r="S650" s="6" t="n">
        <v>0</v>
      </c>
      <c r="T650" s="5" t="n">
        <v>218.5</v>
      </c>
      <c r="U650" s="3" t="str">
        <f aca="false">IF(T650&lt;0,"Loss",IF(T650=0,"Break-even","Profit"))</f>
        <v>Profit</v>
      </c>
      <c r="V650" s="3" t="str">
        <f aca="false">IF(Q650&lt;100,"Low",IF(Q650&lt;=500,"Medium","High"))</f>
        <v>High</v>
      </c>
      <c r="W650" s="3" t="n">
        <f aca="false">D650-C650</f>
        <v>0</v>
      </c>
      <c r="X650" s="3" t="str">
        <f aca="false">TEXT(C650,"mmmm")</f>
        <v>March</v>
      </c>
      <c r="Y650" s="3" t="str">
        <f aca="false">LEFT(G650,1)&amp;MID(G650,FIND(" ",G650)+1,1)</f>
        <v>FK</v>
      </c>
    </row>
    <row r="651" customFormat="false" ht="15" hidden="false" customHeight="false" outlineLevel="0" collapsed="false">
      <c r="A651" s="3" t="n">
        <v>650</v>
      </c>
      <c r="B651" s="3" t="s">
        <v>1851</v>
      </c>
      <c r="C651" s="4" t="s">
        <v>1836</v>
      </c>
      <c r="D651" s="4" t="s">
        <v>1852</v>
      </c>
      <c r="E651" s="3" t="s">
        <v>28</v>
      </c>
      <c r="F651" s="3" t="s">
        <v>1853</v>
      </c>
      <c r="G651" s="3" t="s">
        <v>1854</v>
      </c>
      <c r="H651" s="3" t="s">
        <v>45</v>
      </c>
      <c r="I651" s="3" t="s">
        <v>32</v>
      </c>
      <c r="J651" s="3" t="s">
        <v>46</v>
      </c>
      <c r="K651" s="3" t="s">
        <v>47</v>
      </c>
      <c r="L651" s="3" t="s">
        <v>35</v>
      </c>
      <c r="M651" s="3" t="s">
        <v>420</v>
      </c>
      <c r="N651" s="3" t="s">
        <v>49</v>
      </c>
      <c r="O651" s="3" t="s">
        <v>80</v>
      </c>
      <c r="P651" s="3" t="s">
        <v>421</v>
      </c>
      <c r="Q651" s="5" t="n">
        <v>572.03</v>
      </c>
      <c r="R651" s="3" t="n">
        <v>9</v>
      </c>
      <c r="S651" s="6" t="n">
        <v>0.5</v>
      </c>
      <c r="T651" s="5" t="n">
        <v>-19.62</v>
      </c>
      <c r="U651" s="3" t="str">
        <f aca="false">IF(T651&lt;0,"Loss",IF(T651=0,"Break-even","Profit"))</f>
        <v>Loss</v>
      </c>
      <c r="V651" s="3" t="str">
        <f aca="false">IF(Q651&lt;100,"Low",IF(Q651&lt;=500,"Medium","High"))</f>
        <v>High</v>
      </c>
      <c r="W651" s="3" t="n">
        <f aca="false">D651-C651</f>
        <v>5</v>
      </c>
      <c r="X651" s="3" t="str">
        <f aca="false">TEXT(C651,"mmmm")</f>
        <v>March</v>
      </c>
      <c r="Y651" s="3" t="str">
        <f aca="false">LEFT(G651,1)&amp;MID(G651,FIND(" ",G651)+1,1)</f>
        <v>OT</v>
      </c>
    </row>
    <row r="652" customFormat="false" ht="15" hidden="false" customHeight="false" outlineLevel="0" collapsed="false">
      <c r="A652" s="3" t="n">
        <v>651</v>
      </c>
      <c r="B652" s="3" t="s">
        <v>1855</v>
      </c>
      <c r="C652" s="4" t="s">
        <v>1836</v>
      </c>
      <c r="D652" s="4" t="s">
        <v>1845</v>
      </c>
      <c r="E652" s="3" t="s">
        <v>42</v>
      </c>
      <c r="F652" s="3" t="s">
        <v>1856</v>
      </c>
      <c r="G652" s="3" t="s">
        <v>1857</v>
      </c>
      <c r="H652" s="3" t="s">
        <v>56</v>
      </c>
      <c r="I652" s="3" t="s">
        <v>32</v>
      </c>
      <c r="J652" s="3" t="s">
        <v>148</v>
      </c>
      <c r="K652" s="3" t="s">
        <v>78</v>
      </c>
      <c r="L652" s="3" t="s">
        <v>59</v>
      </c>
      <c r="M652" s="3" t="s">
        <v>121</v>
      </c>
      <c r="N652" s="3" t="s">
        <v>49</v>
      </c>
      <c r="O652" s="3" t="s">
        <v>50</v>
      </c>
      <c r="P652" s="3" t="s">
        <v>122</v>
      </c>
      <c r="Q652" s="5" t="n">
        <v>211.36</v>
      </c>
      <c r="R652" s="3" t="n">
        <v>13</v>
      </c>
      <c r="S652" s="6" t="n">
        <v>0.5</v>
      </c>
      <c r="T652" s="5" t="n">
        <v>50.58</v>
      </c>
      <c r="U652" s="3" t="str">
        <f aca="false">IF(T652&lt;0,"Loss",IF(T652=0,"Break-even","Profit"))</f>
        <v>Profit</v>
      </c>
      <c r="V652" s="3" t="str">
        <f aca="false">IF(Q652&lt;100,"Low",IF(Q652&lt;=500,"Medium","High"))</f>
        <v>Medium</v>
      </c>
      <c r="W652" s="3" t="n">
        <f aca="false">D652-C652</f>
        <v>1</v>
      </c>
      <c r="X652" s="3" t="str">
        <f aca="false">TEXT(C652,"mmmm")</f>
        <v>March</v>
      </c>
      <c r="Y652" s="3" t="str">
        <f aca="false">LEFT(G652,1)&amp;MID(G652,FIND(" ",G652)+1,1)</f>
        <v>SN</v>
      </c>
    </row>
    <row r="653" customFormat="false" ht="15" hidden="false" customHeight="false" outlineLevel="0" collapsed="false">
      <c r="A653" s="3" t="n">
        <v>652</v>
      </c>
      <c r="B653" s="3" t="s">
        <v>1858</v>
      </c>
      <c r="C653" s="4" t="s">
        <v>1836</v>
      </c>
      <c r="D653" s="4" t="s">
        <v>1838</v>
      </c>
      <c r="E653" s="3" t="s">
        <v>84</v>
      </c>
      <c r="F653" s="3" t="s">
        <v>235</v>
      </c>
      <c r="G653" s="3" t="s">
        <v>236</v>
      </c>
      <c r="H653" s="3" t="s">
        <v>31</v>
      </c>
      <c r="I653" s="3" t="s">
        <v>32</v>
      </c>
      <c r="J653" s="3" t="s">
        <v>33</v>
      </c>
      <c r="K653" s="3" t="s">
        <v>34</v>
      </c>
      <c r="L653" s="3" t="s">
        <v>35</v>
      </c>
      <c r="M653" s="3" t="s">
        <v>461</v>
      </c>
      <c r="N653" s="3" t="s">
        <v>37</v>
      </c>
      <c r="O653" s="3" t="s">
        <v>71</v>
      </c>
      <c r="P653" s="3" t="s">
        <v>462</v>
      </c>
      <c r="Q653" s="5" t="n">
        <v>4059.44</v>
      </c>
      <c r="R653" s="3" t="n">
        <v>14</v>
      </c>
      <c r="S653" s="6" t="n">
        <v>0</v>
      </c>
      <c r="T653" s="5" t="n">
        <v>731.14</v>
      </c>
      <c r="U653" s="3" t="str">
        <f aca="false">IF(T653&lt;0,"Loss",IF(T653=0,"Break-even","Profit"))</f>
        <v>Profit</v>
      </c>
      <c r="V653" s="3" t="str">
        <f aca="false">IF(Q653&lt;100,"Low",IF(Q653&lt;=500,"Medium","High"))</f>
        <v>High</v>
      </c>
      <c r="W653" s="3" t="n">
        <f aca="false">D653-C653</f>
        <v>3</v>
      </c>
      <c r="X653" s="3" t="str">
        <f aca="false">TEXT(C653,"mmmm")</f>
        <v>March</v>
      </c>
      <c r="Y653" s="3" t="str">
        <f aca="false">LEFT(G653,1)&amp;MID(G653,FIND(" ",G653)+1,1)</f>
        <v>WR</v>
      </c>
    </row>
    <row r="654" customFormat="false" ht="15" hidden="false" customHeight="false" outlineLevel="0" collapsed="false">
      <c r="A654" s="3" t="n">
        <v>653</v>
      </c>
      <c r="B654" s="3" t="s">
        <v>1859</v>
      </c>
      <c r="C654" s="4" t="s">
        <v>1836</v>
      </c>
      <c r="D654" s="4" t="s">
        <v>1860</v>
      </c>
      <c r="E654" s="3" t="s">
        <v>84</v>
      </c>
      <c r="F654" s="3" t="s">
        <v>1812</v>
      </c>
      <c r="G654" s="3" t="s">
        <v>1813</v>
      </c>
      <c r="H654" s="3" t="s">
        <v>45</v>
      </c>
      <c r="I654" s="3" t="s">
        <v>32</v>
      </c>
      <c r="J654" s="3" t="s">
        <v>171</v>
      </c>
      <c r="K654" s="3" t="s">
        <v>172</v>
      </c>
      <c r="L654" s="3" t="s">
        <v>157</v>
      </c>
      <c r="M654" s="3" t="s">
        <v>420</v>
      </c>
      <c r="N654" s="3" t="s">
        <v>49</v>
      </c>
      <c r="O654" s="3" t="s">
        <v>80</v>
      </c>
      <c r="P654" s="3" t="s">
        <v>421</v>
      </c>
      <c r="Q654" s="5" t="n">
        <v>871.46</v>
      </c>
      <c r="R654" s="3" t="n">
        <v>11</v>
      </c>
      <c r="S654" s="6" t="n">
        <v>0</v>
      </c>
      <c r="T654" s="5" t="n">
        <v>237.79</v>
      </c>
      <c r="U654" s="3" t="str">
        <f aca="false">IF(T654&lt;0,"Loss",IF(T654=0,"Break-even","Profit"))</f>
        <v>Profit</v>
      </c>
      <c r="V654" s="3" t="str">
        <f aca="false">IF(Q654&lt;100,"Low",IF(Q654&lt;=500,"Medium","High"))</f>
        <v>High</v>
      </c>
      <c r="W654" s="3" t="n">
        <f aca="false">D654-C654</f>
        <v>4</v>
      </c>
      <c r="X654" s="3" t="str">
        <f aca="false">TEXT(C654,"mmmm")</f>
        <v>March</v>
      </c>
      <c r="Y654" s="3" t="str">
        <f aca="false">LEFT(G654,1)&amp;MID(G654,FIND(" ",G654)+1,1)</f>
        <v>FG</v>
      </c>
    </row>
    <row r="655" customFormat="false" ht="15" hidden="false" customHeight="false" outlineLevel="0" collapsed="false">
      <c r="A655" s="3" t="n">
        <v>654</v>
      </c>
      <c r="B655" s="3" t="s">
        <v>1861</v>
      </c>
      <c r="C655" s="4" t="s">
        <v>1845</v>
      </c>
      <c r="D655" s="4" t="s">
        <v>1838</v>
      </c>
      <c r="E655" s="3" t="s">
        <v>84</v>
      </c>
      <c r="F655" s="3" t="s">
        <v>1562</v>
      </c>
      <c r="G655" s="3" t="s">
        <v>1563</v>
      </c>
      <c r="H655" s="3" t="s">
        <v>56</v>
      </c>
      <c r="I655" s="3" t="s">
        <v>32</v>
      </c>
      <c r="J655" s="3" t="s">
        <v>679</v>
      </c>
      <c r="K655" s="3" t="s">
        <v>202</v>
      </c>
      <c r="L655" s="3" t="s">
        <v>35</v>
      </c>
      <c r="M655" s="3" t="s">
        <v>347</v>
      </c>
      <c r="N655" s="3" t="s">
        <v>49</v>
      </c>
      <c r="O655" s="3" t="s">
        <v>220</v>
      </c>
      <c r="P655" s="3" t="s">
        <v>348</v>
      </c>
      <c r="Q655" s="5" t="n">
        <v>666.46</v>
      </c>
      <c r="R655" s="3" t="n">
        <v>7</v>
      </c>
      <c r="S655" s="6" t="n">
        <v>0.4</v>
      </c>
      <c r="T655" s="5" t="n">
        <v>-141.31</v>
      </c>
      <c r="U655" s="3" t="str">
        <f aca="false">IF(T655&lt;0,"Loss",IF(T655=0,"Break-even","Profit"))</f>
        <v>Loss</v>
      </c>
      <c r="V655" s="3" t="str">
        <f aca="false">IF(Q655&lt;100,"Low",IF(Q655&lt;=500,"Medium","High"))</f>
        <v>High</v>
      </c>
      <c r="W655" s="3" t="n">
        <f aca="false">D655-C655</f>
        <v>2</v>
      </c>
      <c r="X655" s="3" t="str">
        <f aca="false">TEXT(C655,"mmmm")</f>
        <v>April</v>
      </c>
      <c r="Y655" s="3" t="str">
        <f aca="false">LEFT(G655,1)&amp;MID(G655,FIND(" ",G655)+1,1)</f>
        <v>MB</v>
      </c>
    </row>
    <row r="656" customFormat="false" ht="15" hidden="false" customHeight="false" outlineLevel="0" collapsed="false">
      <c r="A656" s="3" t="n">
        <v>655</v>
      </c>
      <c r="B656" s="3" t="s">
        <v>1862</v>
      </c>
      <c r="C656" s="4" t="s">
        <v>1845</v>
      </c>
      <c r="D656" s="4" t="s">
        <v>1845</v>
      </c>
      <c r="E656" s="3" t="s">
        <v>53</v>
      </c>
      <c r="F656" s="3" t="s">
        <v>1863</v>
      </c>
      <c r="G656" s="3" t="s">
        <v>1864</v>
      </c>
      <c r="H656" s="3" t="s">
        <v>45</v>
      </c>
      <c r="I656" s="3" t="s">
        <v>32</v>
      </c>
      <c r="J656" s="3" t="s">
        <v>329</v>
      </c>
      <c r="K656" s="3" t="s">
        <v>156</v>
      </c>
      <c r="L656" s="3" t="s">
        <v>157</v>
      </c>
      <c r="M656" s="3" t="s">
        <v>347</v>
      </c>
      <c r="N656" s="3" t="s">
        <v>49</v>
      </c>
      <c r="O656" s="3" t="s">
        <v>220</v>
      </c>
      <c r="P656" s="3" t="s">
        <v>348</v>
      </c>
      <c r="Q656" s="5" t="n">
        <v>358.68</v>
      </c>
      <c r="R656" s="3" t="n">
        <v>7</v>
      </c>
      <c r="S656" s="6" t="n">
        <v>0.3</v>
      </c>
      <c r="T656" s="5" t="n">
        <v>101.11</v>
      </c>
      <c r="U656" s="3" t="str">
        <f aca="false">IF(T656&lt;0,"Loss",IF(T656=0,"Break-even","Profit"))</f>
        <v>Profit</v>
      </c>
      <c r="V656" s="3" t="str">
        <f aca="false">IF(Q656&lt;100,"Low",IF(Q656&lt;=500,"Medium","High"))</f>
        <v>Medium</v>
      </c>
      <c r="W656" s="3" t="n">
        <f aca="false">D656-C656</f>
        <v>0</v>
      </c>
      <c r="X656" s="3" t="str">
        <f aca="false">TEXT(C656,"mmmm")</f>
        <v>April</v>
      </c>
      <c r="Y656" s="3" t="str">
        <f aca="false">LEFT(G656,1)&amp;MID(G656,FIND(" ",G656)+1,1)</f>
        <v>AM</v>
      </c>
    </row>
    <row r="657" customFormat="false" ht="15" hidden="false" customHeight="false" outlineLevel="0" collapsed="false">
      <c r="A657" s="3" t="n">
        <v>656</v>
      </c>
      <c r="B657" s="3" t="s">
        <v>1865</v>
      </c>
      <c r="C657" s="4" t="s">
        <v>1845</v>
      </c>
      <c r="D657" s="4" t="s">
        <v>1843</v>
      </c>
      <c r="E657" s="3" t="s">
        <v>42</v>
      </c>
      <c r="F657" s="3" t="s">
        <v>712</v>
      </c>
      <c r="G657" s="3" t="s">
        <v>713</v>
      </c>
      <c r="H657" s="3" t="s">
        <v>56</v>
      </c>
      <c r="I657" s="3" t="s">
        <v>32</v>
      </c>
      <c r="J657" s="3" t="s">
        <v>77</v>
      </c>
      <c r="K657" s="3" t="s">
        <v>78</v>
      </c>
      <c r="L657" s="3" t="s">
        <v>59</v>
      </c>
      <c r="M657" s="3" t="s">
        <v>158</v>
      </c>
      <c r="N657" s="3" t="s">
        <v>49</v>
      </c>
      <c r="O657" s="3" t="s">
        <v>159</v>
      </c>
      <c r="P657" s="3" t="s">
        <v>160</v>
      </c>
      <c r="Q657" s="5" t="n">
        <v>852.98</v>
      </c>
      <c r="R657" s="3" t="n">
        <v>13</v>
      </c>
      <c r="S657" s="6" t="n">
        <v>0.4</v>
      </c>
      <c r="T657" s="5" t="n">
        <v>-158.31</v>
      </c>
      <c r="U657" s="3" t="str">
        <f aca="false">IF(T657&lt;0,"Loss",IF(T657=0,"Break-even","Profit"))</f>
        <v>Loss</v>
      </c>
      <c r="V657" s="3" t="str">
        <f aca="false">IF(Q657&lt;100,"Low",IF(Q657&lt;=500,"Medium","High"))</f>
        <v>High</v>
      </c>
      <c r="W657" s="3" t="n">
        <f aca="false">D657-C657</f>
        <v>1</v>
      </c>
      <c r="X657" s="3" t="str">
        <f aca="false">TEXT(C657,"mmmm")</f>
        <v>April</v>
      </c>
      <c r="Y657" s="3" t="str">
        <f aca="false">LEFT(G657,1)&amp;MID(G657,FIND(" ",G657)+1,1)</f>
        <v>PJ</v>
      </c>
    </row>
    <row r="658" customFormat="false" ht="15" hidden="false" customHeight="false" outlineLevel="0" collapsed="false">
      <c r="A658" s="3" t="n">
        <v>657</v>
      </c>
      <c r="B658" s="3" t="s">
        <v>1866</v>
      </c>
      <c r="C658" s="4" t="s">
        <v>1838</v>
      </c>
      <c r="D658" s="4" t="s">
        <v>1867</v>
      </c>
      <c r="E658" s="3" t="s">
        <v>84</v>
      </c>
      <c r="F658" s="3" t="s">
        <v>493</v>
      </c>
      <c r="G658" s="3" t="s">
        <v>494</v>
      </c>
      <c r="H658" s="3" t="s">
        <v>45</v>
      </c>
      <c r="I658" s="3" t="s">
        <v>32</v>
      </c>
      <c r="J658" s="3" t="s">
        <v>67</v>
      </c>
      <c r="K658" s="3" t="s">
        <v>68</v>
      </c>
      <c r="L658" s="3" t="s">
        <v>69</v>
      </c>
      <c r="M658" s="3" t="s">
        <v>121</v>
      </c>
      <c r="N658" s="3" t="s">
        <v>49</v>
      </c>
      <c r="O658" s="3" t="s">
        <v>50</v>
      </c>
      <c r="P658" s="3" t="s">
        <v>122</v>
      </c>
      <c r="Q658" s="5" t="n">
        <v>1169.73</v>
      </c>
      <c r="R658" s="3" t="n">
        <v>13</v>
      </c>
      <c r="S658" s="6" t="n">
        <v>0.2</v>
      </c>
      <c r="T658" s="5" t="n">
        <v>-191.45</v>
      </c>
      <c r="U658" s="3" t="str">
        <f aca="false">IF(T658&lt;0,"Loss",IF(T658=0,"Break-even","Profit"))</f>
        <v>Loss</v>
      </c>
      <c r="V658" s="3" t="str">
        <f aca="false">IF(Q658&lt;100,"Low",IF(Q658&lt;=500,"Medium","High"))</f>
        <v>High</v>
      </c>
      <c r="W658" s="3" t="n">
        <f aca="false">D658-C658</f>
        <v>3</v>
      </c>
      <c r="X658" s="3" t="str">
        <f aca="false">TEXT(C658,"mmmm")</f>
        <v>April</v>
      </c>
      <c r="Y658" s="3" t="str">
        <f aca="false">LEFT(G658,1)&amp;MID(G658,FIND(" ",G658)+1,1)</f>
        <v>WT</v>
      </c>
    </row>
    <row r="659" customFormat="false" ht="15" hidden="false" customHeight="false" outlineLevel="0" collapsed="false">
      <c r="A659" s="3" t="n">
        <v>658</v>
      </c>
      <c r="B659" s="3" t="s">
        <v>1868</v>
      </c>
      <c r="C659" s="4" t="s">
        <v>1838</v>
      </c>
      <c r="D659" s="4" t="s">
        <v>1860</v>
      </c>
      <c r="E659" s="3" t="s">
        <v>42</v>
      </c>
      <c r="F659" s="3" t="s">
        <v>1565</v>
      </c>
      <c r="G659" s="3" t="s">
        <v>1566</v>
      </c>
      <c r="H659" s="3" t="s">
        <v>56</v>
      </c>
      <c r="I659" s="3" t="s">
        <v>32</v>
      </c>
      <c r="J659" s="3" t="s">
        <v>148</v>
      </c>
      <c r="K659" s="3" t="s">
        <v>78</v>
      </c>
      <c r="L659" s="3" t="s">
        <v>59</v>
      </c>
      <c r="M659" s="3" t="s">
        <v>334</v>
      </c>
      <c r="N659" s="3" t="s">
        <v>37</v>
      </c>
      <c r="O659" s="3" t="s">
        <v>136</v>
      </c>
      <c r="P659" s="3" t="s">
        <v>335</v>
      </c>
      <c r="Q659" s="5" t="n">
        <v>638.94</v>
      </c>
      <c r="R659" s="3" t="n">
        <v>2</v>
      </c>
      <c r="S659" s="6" t="n">
        <v>0.4</v>
      </c>
      <c r="T659" s="5" t="n">
        <v>8.76</v>
      </c>
      <c r="U659" s="3" t="str">
        <f aca="false">IF(T659&lt;0,"Loss",IF(T659=0,"Break-even","Profit"))</f>
        <v>Profit</v>
      </c>
      <c r="V659" s="3" t="str">
        <f aca="false">IF(Q659&lt;100,"Low",IF(Q659&lt;=500,"Medium","High"))</f>
        <v>High</v>
      </c>
      <c r="W659" s="3" t="n">
        <f aca="false">D659-C659</f>
        <v>1</v>
      </c>
      <c r="X659" s="3" t="str">
        <f aca="false">TEXT(C659,"mmmm")</f>
        <v>April</v>
      </c>
      <c r="Y659" s="3" t="str">
        <f aca="false">LEFT(G659,1)&amp;MID(G659,FIND(" ",G659)+1,1)</f>
        <v>RB</v>
      </c>
    </row>
    <row r="660" customFormat="false" ht="15" hidden="false" customHeight="false" outlineLevel="0" collapsed="false">
      <c r="A660" s="3" t="n">
        <v>659</v>
      </c>
      <c r="B660" s="3" t="s">
        <v>1869</v>
      </c>
      <c r="C660" s="4" t="s">
        <v>1860</v>
      </c>
      <c r="D660" s="4" t="s">
        <v>1867</v>
      </c>
      <c r="E660" s="3" t="s">
        <v>42</v>
      </c>
      <c r="F660" s="3" t="s">
        <v>1870</v>
      </c>
      <c r="G660" s="3" t="s">
        <v>1871</v>
      </c>
      <c r="H660" s="3" t="s">
        <v>56</v>
      </c>
      <c r="I660" s="3" t="s">
        <v>32</v>
      </c>
      <c r="J660" s="3" t="s">
        <v>148</v>
      </c>
      <c r="K660" s="3" t="s">
        <v>78</v>
      </c>
      <c r="L660" s="3" t="s">
        <v>59</v>
      </c>
      <c r="M660" s="3" t="s">
        <v>559</v>
      </c>
      <c r="N660" s="3" t="s">
        <v>37</v>
      </c>
      <c r="O660" s="3" t="s">
        <v>38</v>
      </c>
      <c r="P660" s="3" t="s">
        <v>560</v>
      </c>
      <c r="Q660" s="5" t="n">
        <v>2047.2</v>
      </c>
      <c r="R660" s="3" t="n">
        <v>10</v>
      </c>
      <c r="S660" s="6" t="n">
        <v>0.1</v>
      </c>
      <c r="T660" s="5" t="n">
        <v>219.91</v>
      </c>
      <c r="U660" s="3" t="str">
        <f aca="false">IF(T660&lt;0,"Loss",IF(T660=0,"Break-even","Profit"))</f>
        <v>Profit</v>
      </c>
      <c r="V660" s="3" t="str">
        <f aca="false">IF(Q660&lt;100,"Low",IF(Q660&lt;=500,"Medium","High"))</f>
        <v>High</v>
      </c>
      <c r="W660" s="3" t="n">
        <f aca="false">D660-C660</f>
        <v>2</v>
      </c>
      <c r="X660" s="3" t="str">
        <f aca="false">TEXT(C660,"mmmm")</f>
        <v>April</v>
      </c>
      <c r="Y660" s="3" t="str">
        <f aca="false">LEFT(G660,1)&amp;MID(G660,FIND(" ",G660)+1,1)</f>
        <v>PK</v>
      </c>
    </row>
    <row r="661" customFormat="false" ht="15" hidden="false" customHeight="false" outlineLevel="0" collapsed="false">
      <c r="A661" s="3" t="n">
        <v>660</v>
      </c>
      <c r="B661" s="3" t="s">
        <v>1872</v>
      </c>
      <c r="C661" s="4" t="s">
        <v>1860</v>
      </c>
      <c r="D661" s="4" t="s">
        <v>1867</v>
      </c>
      <c r="E661" s="3" t="s">
        <v>42</v>
      </c>
      <c r="F661" s="3" t="s">
        <v>1102</v>
      </c>
      <c r="G661" s="3" t="s">
        <v>1103</v>
      </c>
      <c r="H661" s="3" t="s">
        <v>31</v>
      </c>
      <c r="I661" s="3" t="s">
        <v>32</v>
      </c>
      <c r="J661" s="3" t="s">
        <v>46</v>
      </c>
      <c r="K661" s="3" t="s">
        <v>47</v>
      </c>
      <c r="L661" s="3" t="s">
        <v>35</v>
      </c>
      <c r="M661" s="3" t="s">
        <v>36</v>
      </c>
      <c r="N661" s="3" t="s">
        <v>37</v>
      </c>
      <c r="O661" s="3" t="s">
        <v>38</v>
      </c>
      <c r="P661" s="3" t="s">
        <v>39</v>
      </c>
      <c r="Q661" s="5" t="n">
        <v>4983.36</v>
      </c>
      <c r="R661" s="3" t="n">
        <v>3</v>
      </c>
      <c r="S661" s="6" t="n">
        <v>0</v>
      </c>
      <c r="T661" s="5" t="n">
        <v>-703.43</v>
      </c>
      <c r="U661" s="3" t="str">
        <f aca="false">IF(T661&lt;0,"Loss",IF(T661=0,"Break-even","Profit"))</f>
        <v>Loss</v>
      </c>
      <c r="V661" s="3" t="str">
        <f aca="false">IF(Q661&lt;100,"Low",IF(Q661&lt;=500,"Medium","High"))</f>
        <v>High</v>
      </c>
      <c r="W661" s="3" t="n">
        <f aca="false">D661-C661</f>
        <v>2</v>
      </c>
      <c r="X661" s="3" t="str">
        <f aca="false">TEXT(C661,"mmmm")</f>
        <v>April</v>
      </c>
      <c r="Y661" s="3" t="str">
        <f aca="false">LEFT(G661,1)&amp;MID(G661,FIND(" ",G661)+1,1)</f>
        <v>DS</v>
      </c>
    </row>
    <row r="662" customFormat="false" ht="15" hidden="false" customHeight="false" outlineLevel="0" collapsed="false">
      <c r="A662" s="3" t="n">
        <v>661</v>
      </c>
      <c r="B662" s="3" t="s">
        <v>1873</v>
      </c>
      <c r="C662" s="4" t="s">
        <v>1860</v>
      </c>
      <c r="D662" s="4" t="s">
        <v>1874</v>
      </c>
      <c r="E662" s="3" t="s">
        <v>28</v>
      </c>
      <c r="F662" s="3" t="s">
        <v>1024</v>
      </c>
      <c r="G662" s="3" t="s">
        <v>1025</v>
      </c>
      <c r="H662" s="3" t="s">
        <v>45</v>
      </c>
      <c r="I662" s="3" t="s">
        <v>32</v>
      </c>
      <c r="J662" s="3" t="s">
        <v>315</v>
      </c>
      <c r="K662" s="3" t="s">
        <v>58</v>
      </c>
      <c r="L662" s="3" t="s">
        <v>59</v>
      </c>
      <c r="M662" s="3" t="s">
        <v>461</v>
      </c>
      <c r="N662" s="3" t="s">
        <v>37</v>
      </c>
      <c r="O662" s="3" t="s">
        <v>71</v>
      </c>
      <c r="P662" s="3" t="s">
        <v>462</v>
      </c>
      <c r="Q662" s="5" t="n">
        <v>667.43</v>
      </c>
      <c r="R662" s="3" t="n">
        <v>8</v>
      </c>
      <c r="S662" s="6" t="n">
        <v>0</v>
      </c>
      <c r="T662" s="5" t="n">
        <v>-135.22</v>
      </c>
      <c r="U662" s="3" t="str">
        <f aca="false">IF(T662&lt;0,"Loss",IF(T662=0,"Break-even","Profit"))</f>
        <v>Loss</v>
      </c>
      <c r="V662" s="3" t="str">
        <f aca="false">IF(Q662&lt;100,"Low",IF(Q662&lt;=500,"Medium","High"))</f>
        <v>High</v>
      </c>
      <c r="W662" s="3" t="n">
        <f aca="false">D662-C662</f>
        <v>4</v>
      </c>
      <c r="X662" s="3" t="str">
        <f aca="false">TEXT(C662,"mmmm")</f>
        <v>April</v>
      </c>
      <c r="Y662" s="3" t="str">
        <f aca="false">LEFT(G662,1)&amp;MID(G662,FIND(" ",G662)+1,1)</f>
        <v>LW</v>
      </c>
    </row>
    <row r="663" customFormat="false" ht="15" hidden="false" customHeight="false" outlineLevel="0" collapsed="false">
      <c r="A663" s="3" t="n">
        <v>662</v>
      </c>
      <c r="B663" s="3" t="s">
        <v>1875</v>
      </c>
      <c r="C663" s="4" t="s">
        <v>1860</v>
      </c>
      <c r="D663" s="4" t="s">
        <v>1876</v>
      </c>
      <c r="E663" s="3" t="s">
        <v>28</v>
      </c>
      <c r="F663" s="3" t="s">
        <v>1121</v>
      </c>
      <c r="G663" s="3" t="s">
        <v>1122</v>
      </c>
      <c r="H663" s="3" t="s">
        <v>45</v>
      </c>
      <c r="I663" s="3" t="s">
        <v>32</v>
      </c>
      <c r="J663" s="3" t="s">
        <v>252</v>
      </c>
      <c r="K663" s="3" t="s">
        <v>172</v>
      </c>
      <c r="L663" s="3" t="s">
        <v>157</v>
      </c>
      <c r="M663" s="3" t="s">
        <v>114</v>
      </c>
      <c r="N663" s="3" t="s">
        <v>49</v>
      </c>
      <c r="O663" s="3" t="s">
        <v>61</v>
      </c>
      <c r="P663" s="3" t="s">
        <v>115</v>
      </c>
      <c r="Q663" s="5" t="n">
        <v>268.42</v>
      </c>
      <c r="R663" s="3" t="n">
        <v>4</v>
      </c>
      <c r="S663" s="6" t="n">
        <v>0</v>
      </c>
      <c r="T663" s="5" t="n">
        <v>-24</v>
      </c>
      <c r="U663" s="3" t="str">
        <f aca="false">IF(T663&lt;0,"Loss",IF(T663=0,"Break-even","Profit"))</f>
        <v>Loss</v>
      </c>
      <c r="V663" s="3" t="str">
        <f aca="false">IF(Q663&lt;100,"Low",IF(Q663&lt;=500,"Medium","High"))</f>
        <v>Medium</v>
      </c>
      <c r="W663" s="3" t="n">
        <f aca="false">D663-C663</f>
        <v>6</v>
      </c>
      <c r="X663" s="3" t="str">
        <f aca="false">TEXT(C663,"mmmm")</f>
        <v>April</v>
      </c>
      <c r="Y663" s="3" t="str">
        <f aca="false">LEFT(G663,1)&amp;MID(G663,FIND(" ",G663)+1,1)</f>
        <v>MC</v>
      </c>
    </row>
    <row r="664" customFormat="false" ht="15" hidden="false" customHeight="false" outlineLevel="0" collapsed="false">
      <c r="A664" s="3" t="n">
        <v>663</v>
      </c>
      <c r="B664" s="3" t="s">
        <v>1877</v>
      </c>
      <c r="C664" s="4" t="s">
        <v>1852</v>
      </c>
      <c r="D664" s="4" t="s">
        <v>1852</v>
      </c>
      <c r="E664" s="3" t="s">
        <v>53</v>
      </c>
      <c r="F664" s="3" t="s">
        <v>283</v>
      </c>
      <c r="G664" s="3" t="s">
        <v>284</v>
      </c>
      <c r="H664" s="3" t="s">
        <v>56</v>
      </c>
      <c r="I664" s="3" t="s">
        <v>32</v>
      </c>
      <c r="J664" s="3" t="s">
        <v>616</v>
      </c>
      <c r="K664" s="3" t="s">
        <v>156</v>
      </c>
      <c r="L664" s="3" t="s">
        <v>157</v>
      </c>
      <c r="M664" s="3" t="s">
        <v>121</v>
      </c>
      <c r="N664" s="3" t="s">
        <v>49</v>
      </c>
      <c r="O664" s="3" t="s">
        <v>50</v>
      </c>
      <c r="P664" s="3" t="s">
        <v>122</v>
      </c>
      <c r="Q664" s="5" t="n">
        <v>533.72</v>
      </c>
      <c r="R664" s="3" t="n">
        <v>6</v>
      </c>
      <c r="S664" s="6" t="n">
        <v>0.1</v>
      </c>
      <c r="T664" s="5" t="n">
        <v>-49.89</v>
      </c>
      <c r="U664" s="3" t="str">
        <f aca="false">IF(T664&lt;0,"Loss",IF(T664=0,"Break-even","Profit"))</f>
        <v>Loss</v>
      </c>
      <c r="V664" s="3" t="str">
        <f aca="false">IF(Q664&lt;100,"Low",IF(Q664&lt;=500,"Medium","High"))</f>
        <v>High</v>
      </c>
      <c r="W664" s="3" t="n">
        <f aca="false">D664-C664</f>
        <v>0</v>
      </c>
      <c r="X664" s="3" t="str">
        <f aca="false">TEXT(C664,"mmmm")</f>
        <v>April</v>
      </c>
      <c r="Y664" s="3" t="str">
        <f aca="false">LEFT(G664,1)&amp;MID(G664,FIND(" ",G664)+1,1)</f>
        <v>OS</v>
      </c>
    </row>
    <row r="665" customFormat="false" ht="15" hidden="false" customHeight="false" outlineLevel="0" collapsed="false">
      <c r="A665" s="3" t="n">
        <v>664</v>
      </c>
      <c r="B665" s="3" t="s">
        <v>1878</v>
      </c>
      <c r="C665" s="4" t="s">
        <v>1852</v>
      </c>
      <c r="D665" s="4" t="s">
        <v>1874</v>
      </c>
      <c r="E665" s="3" t="s">
        <v>28</v>
      </c>
      <c r="F665" s="3" t="s">
        <v>118</v>
      </c>
      <c r="G665" s="3" t="s">
        <v>119</v>
      </c>
      <c r="H665" s="3" t="s">
        <v>31</v>
      </c>
      <c r="I665" s="3" t="s">
        <v>32</v>
      </c>
      <c r="J665" s="3" t="s">
        <v>814</v>
      </c>
      <c r="K665" s="3" t="s">
        <v>156</v>
      </c>
      <c r="L665" s="3" t="s">
        <v>157</v>
      </c>
      <c r="M665" s="3" t="s">
        <v>149</v>
      </c>
      <c r="N665" s="3" t="s">
        <v>49</v>
      </c>
      <c r="O665" s="3" t="s">
        <v>150</v>
      </c>
      <c r="P665" s="3" t="s">
        <v>151</v>
      </c>
      <c r="Q665" s="5" t="n">
        <v>1319.9</v>
      </c>
      <c r="R665" s="3" t="n">
        <v>13</v>
      </c>
      <c r="S665" s="6" t="n">
        <v>0</v>
      </c>
      <c r="T665" s="5" t="n">
        <v>322.87</v>
      </c>
      <c r="U665" s="3" t="str">
        <f aca="false">IF(T665&lt;0,"Loss",IF(T665=0,"Break-even","Profit"))</f>
        <v>Profit</v>
      </c>
      <c r="V665" s="3" t="str">
        <f aca="false">IF(Q665&lt;100,"Low",IF(Q665&lt;=500,"Medium","High"))</f>
        <v>High</v>
      </c>
      <c r="W665" s="3" t="n">
        <f aca="false">D665-C665</f>
        <v>3</v>
      </c>
      <c r="X665" s="3" t="str">
        <f aca="false">TEXT(C665,"mmmm")</f>
        <v>April</v>
      </c>
      <c r="Y665" s="3" t="str">
        <f aca="false">LEFT(G665,1)&amp;MID(G665,FIND(" ",G665)+1,1)</f>
        <v>LN</v>
      </c>
    </row>
    <row r="666" customFormat="false" ht="15" hidden="false" customHeight="false" outlineLevel="0" collapsed="false">
      <c r="A666" s="3" t="n">
        <v>665</v>
      </c>
      <c r="B666" s="3" t="s">
        <v>1879</v>
      </c>
      <c r="C666" s="4" t="s">
        <v>1852</v>
      </c>
      <c r="D666" s="4" t="s">
        <v>1880</v>
      </c>
      <c r="E666" s="3" t="s">
        <v>28</v>
      </c>
      <c r="F666" s="3" t="s">
        <v>1881</v>
      </c>
      <c r="G666" s="3" t="s">
        <v>1882</v>
      </c>
      <c r="H666" s="3" t="s">
        <v>31</v>
      </c>
      <c r="I666" s="3" t="s">
        <v>32</v>
      </c>
      <c r="J666" s="3" t="s">
        <v>616</v>
      </c>
      <c r="K666" s="3" t="s">
        <v>156</v>
      </c>
      <c r="L666" s="3" t="s">
        <v>157</v>
      </c>
      <c r="M666" s="3" t="s">
        <v>127</v>
      </c>
      <c r="N666" s="3" t="s">
        <v>49</v>
      </c>
      <c r="O666" s="3" t="s">
        <v>61</v>
      </c>
      <c r="P666" s="3" t="s">
        <v>128</v>
      </c>
      <c r="Q666" s="5" t="n">
        <v>1294.12</v>
      </c>
      <c r="R666" s="3" t="n">
        <v>14</v>
      </c>
      <c r="S666" s="6" t="n">
        <v>0</v>
      </c>
      <c r="T666" s="5" t="n">
        <v>-95.6</v>
      </c>
      <c r="U666" s="3" t="str">
        <f aca="false">IF(T666&lt;0,"Loss",IF(T666=0,"Break-even","Profit"))</f>
        <v>Loss</v>
      </c>
      <c r="V666" s="3" t="str">
        <f aca="false">IF(Q666&lt;100,"Low",IF(Q666&lt;=500,"Medium","High"))</f>
        <v>High</v>
      </c>
      <c r="W666" s="3" t="n">
        <f aca="false">D666-C666</f>
        <v>7</v>
      </c>
      <c r="X666" s="3" t="str">
        <f aca="false">TEXT(C666,"mmmm")</f>
        <v>April</v>
      </c>
      <c r="Y666" s="3" t="str">
        <f aca="false">LEFT(G666,1)&amp;MID(G666,FIND(" ",G666)+1,1)</f>
        <v>SD</v>
      </c>
    </row>
    <row r="667" customFormat="false" ht="15" hidden="false" customHeight="false" outlineLevel="0" collapsed="false">
      <c r="A667" s="3" t="n">
        <v>666</v>
      </c>
      <c r="B667" s="3" t="s">
        <v>1883</v>
      </c>
      <c r="C667" s="4" t="s">
        <v>1867</v>
      </c>
      <c r="D667" s="4" t="s">
        <v>1876</v>
      </c>
      <c r="E667" s="3" t="s">
        <v>28</v>
      </c>
      <c r="F667" s="3" t="s">
        <v>459</v>
      </c>
      <c r="G667" s="3" t="s">
        <v>460</v>
      </c>
      <c r="H667" s="3" t="s">
        <v>56</v>
      </c>
      <c r="I667" s="3" t="s">
        <v>32</v>
      </c>
      <c r="J667" s="3" t="s">
        <v>120</v>
      </c>
      <c r="K667" s="3" t="s">
        <v>113</v>
      </c>
      <c r="L667" s="3" t="s">
        <v>69</v>
      </c>
      <c r="M667" s="3" t="s">
        <v>173</v>
      </c>
      <c r="N667" s="3" t="s">
        <v>89</v>
      </c>
      <c r="O667" s="3" t="s">
        <v>174</v>
      </c>
      <c r="P667" s="3" t="s">
        <v>175</v>
      </c>
      <c r="Q667" s="5" t="n">
        <v>4139.52</v>
      </c>
      <c r="R667" s="3" t="n">
        <v>13</v>
      </c>
      <c r="S667" s="6" t="n">
        <v>0.4</v>
      </c>
      <c r="T667" s="5" t="n">
        <v>-1218.56</v>
      </c>
      <c r="U667" s="3" t="str">
        <f aca="false">IF(T667&lt;0,"Loss",IF(T667=0,"Break-even","Profit"))</f>
        <v>Loss</v>
      </c>
      <c r="V667" s="3" t="str">
        <f aca="false">IF(Q667&lt;100,"Low",IF(Q667&lt;=500,"Medium","High"))</f>
        <v>High</v>
      </c>
      <c r="W667" s="3" t="n">
        <f aca="false">D667-C667</f>
        <v>4</v>
      </c>
      <c r="X667" s="3" t="str">
        <f aca="false">TEXT(C667,"mmmm")</f>
        <v>April</v>
      </c>
      <c r="Y667" s="3" t="str">
        <f aca="false">LEFT(G667,1)&amp;MID(G667,FIND(" ",G667)+1,1)</f>
        <v>MJ</v>
      </c>
    </row>
    <row r="668" customFormat="false" ht="15" hidden="false" customHeight="false" outlineLevel="0" collapsed="false">
      <c r="A668" s="3" t="n">
        <v>667</v>
      </c>
      <c r="B668" s="3" t="s">
        <v>1884</v>
      </c>
      <c r="C668" s="4" t="s">
        <v>1867</v>
      </c>
      <c r="D668" s="4" t="s">
        <v>1885</v>
      </c>
      <c r="E668" s="3" t="s">
        <v>42</v>
      </c>
      <c r="F668" s="3" t="s">
        <v>1233</v>
      </c>
      <c r="G668" s="3" t="s">
        <v>1234</v>
      </c>
      <c r="H668" s="3" t="s">
        <v>31</v>
      </c>
      <c r="I668" s="3" t="s">
        <v>32</v>
      </c>
      <c r="J668" s="3" t="s">
        <v>201</v>
      </c>
      <c r="K668" s="3" t="s">
        <v>202</v>
      </c>
      <c r="L668" s="3" t="s">
        <v>35</v>
      </c>
      <c r="M668" s="3" t="s">
        <v>420</v>
      </c>
      <c r="N668" s="3" t="s">
        <v>49</v>
      </c>
      <c r="O668" s="3" t="s">
        <v>80</v>
      </c>
      <c r="P668" s="3" t="s">
        <v>421</v>
      </c>
      <c r="Q668" s="5" t="n">
        <v>395.92</v>
      </c>
      <c r="R668" s="3" t="n">
        <v>9</v>
      </c>
      <c r="S668" s="6" t="n">
        <v>0</v>
      </c>
      <c r="T668" s="5" t="n">
        <v>112.7</v>
      </c>
      <c r="U668" s="3" t="str">
        <f aca="false">IF(T668&lt;0,"Loss",IF(T668=0,"Break-even","Profit"))</f>
        <v>Profit</v>
      </c>
      <c r="V668" s="3" t="str">
        <f aca="false">IF(Q668&lt;100,"Low",IF(Q668&lt;=500,"Medium","High"))</f>
        <v>Medium</v>
      </c>
      <c r="W668" s="3" t="n">
        <f aca="false">D668-C668</f>
        <v>1</v>
      </c>
      <c r="X668" s="3" t="str">
        <f aca="false">TEXT(C668,"mmmm")</f>
        <v>April</v>
      </c>
      <c r="Y668" s="3" t="str">
        <f aca="false">LEFT(G668,1)&amp;MID(G668,FIND(" ",G668)+1,1)</f>
        <v>WJ</v>
      </c>
    </row>
    <row r="669" customFormat="false" ht="15" hidden="false" customHeight="false" outlineLevel="0" collapsed="false">
      <c r="A669" s="3" t="n">
        <v>668</v>
      </c>
      <c r="B669" s="3" t="s">
        <v>1886</v>
      </c>
      <c r="C669" s="4" t="s">
        <v>1885</v>
      </c>
      <c r="D669" s="4" t="s">
        <v>1887</v>
      </c>
      <c r="E669" s="3" t="s">
        <v>28</v>
      </c>
      <c r="F669" s="3" t="s">
        <v>1378</v>
      </c>
      <c r="G669" s="3" t="s">
        <v>1379</v>
      </c>
      <c r="H669" s="3" t="s">
        <v>56</v>
      </c>
      <c r="I669" s="3" t="s">
        <v>32</v>
      </c>
      <c r="J669" s="3" t="s">
        <v>243</v>
      </c>
      <c r="K669" s="3" t="s">
        <v>244</v>
      </c>
      <c r="L669" s="3" t="s">
        <v>157</v>
      </c>
      <c r="M669" s="3" t="s">
        <v>70</v>
      </c>
      <c r="N669" s="3" t="s">
        <v>37</v>
      </c>
      <c r="O669" s="3" t="s">
        <v>71</v>
      </c>
      <c r="P669" s="3" t="s">
        <v>72</v>
      </c>
      <c r="Q669" s="5" t="n">
        <v>9246.62</v>
      </c>
      <c r="R669" s="3" t="n">
        <v>12</v>
      </c>
      <c r="S669" s="6" t="n">
        <v>0.3</v>
      </c>
      <c r="T669" s="5" t="n">
        <v>-1435.57</v>
      </c>
      <c r="U669" s="3" t="str">
        <f aca="false">IF(T669&lt;0,"Loss",IF(T669=0,"Break-even","Profit"))</f>
        <v>Loss</v>
      </c>
      <c r="V669" s="3" t="str">
        <f aca="false">IF(Q669&lt;100,"Low",IF(Q669&lt;=500,"Medium","High"))</f>
        <v>High</v>
      </c>
      <c r="W669" s="3" t="n">
        <f aca="false">D669-C669</f>
        <v>6</v>
      </c>
      <c r="X669" s="3" t="str">
        <f aca="false">TEXT(C669,"mmmm")</f>
        <v>April</v>
      </c>
      <c r="Y669" s="3" t="str">
        <f aca="false">LEFT(G669,1)&amp;MID(G669,FIND(" ",G669)+1,1)</f>
        <v>JB</v>
      </c>
    </row>
    <row r="670" customFormat="false" ht="15" hidden="false" customHeight="false" outlineLevel="0" collapsed="false">
      <c r="A670" s="3" t="n">
        <v>669</v>
      </c>
      <c r="B670" s="3" t="s">
        <v>1888</v>
      </c>
      <c r="C670" s="4" t="s">
        <v>1885</v>
      </c>
      <c r="D670" s="4" t="s">
        <v>1885</v>
      </c>
      <c r="E670" s="3" t="s">
        <v>53</v>
      </c>
      <c r="F670" s="3" t="s">
        <v>900</v>
      </c>
      <c r="G670" s="3" t="s">
        <v>901</v>
      </c>
      <c r="H670" s="3" t="s">
        <v>56</v>
      </c>
      <c r="I670" s="3" t="s">
        <v>32</v>
      </c>
      <c r="J670" s="3" t="s">
        <v>112</v>
      </c>
      <c r="K670" s="3" t="s">
        <v>113</v>
      </c>
      <c r="L670" s="3" t="s">
        <v>69</v>
      </c>
      <c r="M670" s="3" t="s">
        <v>219</v>
      </c>
      <c r="N670" s="3" t="s">
        <v>49</v>
      </c>
      <c r="O670" s="3" t="s">
        <v>220</v>
      </c>
      <c r="P670" s="3" t="s">
        <v>221</v>
      </c>
      <c r="Q670" s="5" t="n">
        <v>538.82</v>
      </c>
      <c r="R670" s="3" t="n">
        <v>13</v>
      </c>
      <c r="S670" s="6" t="n">
        <v>0</v>
      </c>
      <c r="T670" s="5" t="n">
        <v>-57.65</v>
      </c>
      <c r="U670" s="3" t="str">
        <f aca="false">IF(T670&lt;0,"Loss",IF(T670=0,"Break-even","Profit"))</f>
        <v>Loss</v>
      </c>
      <c r="V670" s="3" t="str">
        <f aca="false">IF(Q670&lt;100,"Low",IF(Q670&lt;=500,"Medium","High"))</f>
        <v>High</v>
      </c>
      <c r="W670" s="3" t="n">
        <f aca="false">D670-C670</f>
        <v>0</v>
      </c>
      <c r="X670" s="3" t="str">
        <f aca="false">TEXT(C670,"mmmm")</f>
        <v>April</v>
      </c>
      <c r="Y670" s="3" t="str">
        <f aca="false">LEFT(G670,1)&amp;MID(G670,FIND(" ",G670)+1,1)</f>
        <v>JM</v>
      </c>
    </row>
    <row r="671" customFormat="false" ht="15" hidden="false" customHeight="false" outlineLevel="0" collapsed="false">
      <c r="A671" s="3" t="n">
        <v>670</v>
      </c>
      <c r="B671" s="3" t="s">
        <v>1889</v>
      </c>
      <c r="C671" s="4" t="s">
        <v>1890</v>
      </c>
      <c r="D671" s="4" t="s">
        <v>1890</v>
      </c>
      <c r="E671" s="3" t="s">
        <v>53</v>
      </c>
      <c r="F671" s="3" t="s">
        <v>1524</v>
      </c>
      <c r="G671" s="3" t="s">
        <v>1525</v>
      </c>
      <c r="H671" s="3" t="s">
        <v>45</v>
      </c>
      <c r="I671" s="3" t="s">
        <v>32</v>
      </c>
      <c r="J671" s="3" t="s">
        <v>77</v>
      </c>
      <c r="K671" s="3" t="s">
        <v>78</v>
      </c>
      <c r="L671" s="3" t="s">
        <v>59</v>
      </c>
      <c r="M671" s="3" t="s">
        <v>105</v>
      </c>
      <c r="N671" s="3" t="s">
        <v>49</v>
      </c>
      <c r="O671" s="3" t="s">
        <v>106</v>
      </c>
      <c r="P671" s="3" t="s">
        <v>107</v>
      </c>
      <c r="Q671" s="5" t="n">
        <v>673.61</v>
      </c>
      <c r="R671" s="3" t="n">
        <v>14</v>
      </c>
      <c r="S671" s="6" t="n">
        <v>0.4</v>
      </c>
      <c r="T671" s="5" t="n">
        <v>-128.48</v>
      </c>
      <c r="U671" s="3" t="str">
        <f aca="false">IF(T671&lt;0,"Loss",IF(T671=0,"Break-even","Profit"))</f>
        <v>Loss</v>
      </c>
      <c r="V671" s="3" t="str">
        <f aca="false">IF(Q671&lt;100,"Low",IF(Q671&lt;=500,"Medium","High"))</f>
        <v>High</v>
      </c>
      <c r="W671" s="3" t="n">
        <f aca="false">D671-C671</f>
        <v>0</v>
      </c>
      <c r="X671" s="3" t="str">
        <f aca="false">TEXT(C671,"mmmm")</f>
        <v>April</v>
      </c>
      <c r="Y671" s="3" t="str">
        <f aca="false">LEFT(G671,1)&amp;MID(G671,FIND(" ",G671)+1,1)</f>
        <v>LN</v>
      </c>
    </row>
    <row r="672" customFormat="false" ht="15" hidden="false" customHeight="false" outlineLevel="0" collapsed="false">
      <c r="A672" s="3" t="n">
        <v>671</v>
      </c>
      <c r="B672" s="3" t="s">
        <v>1891</v>
      </c>
      <c r="C672" s="4" t="s">
        <v>1890</v>
      </c>
      <c r="D672" s="4" t="s">
        <v>1887</v>
      </c>
      <c r="E672" s="3" t="s">
        <v>28</v>
      </c>
      <c r="F672" s="3" t="s">
        <v>1892</v>
      </c>
      <c r="G672" s="3" t="s">
        <v>1893</v>
      </c>
      <c r="H672" s="3" t="s">
        <v>31</v>
      </c>
      <c r="I672" s="3" t="s">
        <v>32</v>
      </c>
      <c r="J672" s="3" t="s">
        <v>120</v>
      </c>
      <c r="K672" s="3" t="s">
        <v>113</v>
      </c>
      <c r="L672" s="3" t="s">
        <v>69</v>
      </c>
      <c r="M672" s="3" t="s">
        <v>195</v>
      </c>
      <c r="N672" s="3" t="s">
        <v>37</v>
      </c>
      <c r="O672" s="3" t="s">
        <v>196</v>
      </c>
      <c r="P672" s="3" t="s">
        <v>197</v>
      </c>
      <c r="Q672" s="5" t="n">
        <v>6047.1</v>
      </c>
      <c r="R672" s="3" t="n">
        <v>5</v>
      </c>
      <c r="S672" s="6" t="n">
        <v>0.3</v>
      </c>
      <c r="T672" s="5" t="n">
        <v>-263.88</v>
      </c>
      <c r="U672" s="3" t="str">
        <f aca="false">IF(T672&lt;0,"Loss",IF(T672=0,"Break-even","Profit"))</f>
        <v>Loss</v>
      </c>
      <c r="V672" s="3" t="str">
        <f aca="false">IF(Q672&lt;100,"Low",IF(Q672&lt;=500,"Medium","High"))</f>
        <v>High</v>
      </c>
      <c r="W672" s="3" t="n">
        <f aca="false">D672-C672</f>
        <v>4</v>
      </c>
      <c r="X672" s="3" t="str">
        <f aca="false">TEXT(C672,"mmmm")</f>
        <v>April</v>
      </c>
      <c r="Y672" s="3" t="str">
        <f aca="false">LEFT(G672,1)&amp;MID(G672,FIND(" ",G672)+1,1)</f>
        <v>FW</v>
      </c>
    </row>
    <row r="673" customFormat="false" ht="15" hidden="false" customHeight="false" outlineLevel="0" collapsed="false">
      <c r="A673" s="3" t="n">
        <v>672</v>
      </c>
      <c r="B673" s="3" t="s">
        <v>1894</v>
      </c>
      <c r="C673" s="4" t="s">
        <v>1890</v>
      </c>
      <c r="D673" s="4" t="s">
        <v>1895</v>
      </c>
      <c r="E673" s="3" t="s">
        <v>42</v>
      </c>
      <c r="F673" s="3" t="s">
        <v>900</v>
      </c>
      <c r="G673" s="3" t="s">
        <v>901</v>
      </c>
      <c r="H673" s="3" t="s">
        <v>56</v>
      </c>
      <c r="I673" s="3" t="s">
        <v>32</v>
      </c>
      <c r="J673" s="3" t="s">
        <v>95</v>
      </c>
      <c r="K673" s="3" t="s">
        <v>96</v>
      </c>
      <c r="L673" s="3" t="s">
        <v>59</v>
      </c>
      <c r="M673" s="3" t="s">
        <v>447</v>
      </c>
      <c r="N673" s="3" t="s">
        <v>89</v>
      </c>
      <c r="O673" s="3" t="s">
        <v>323</v>
      </c>
      <c r="P673" s="3" t="s">
        <v>448</v>
      </c>
      <c r="Q673" s="5" t="n">
        <v>328.35</v>
      </c>
      <c r="R673" s="3" t="n">
        <v>6</v>
      </c>
      <c r="S673" s="6" t="n">
        <v>0</v>
      </c>
      <c r="T673" s="5" t="n">
        <v>65.62</v>
      </c>
      <c r="U673" s="3" t="str">
        <f aca="false">IF(T673&lt;0,"Loss",IF(T673=0,"Break-even","Profit"))</f>
        <v>Profit</v>
      </c>
      <c r="V673" s="3" t="str">
        <f aca="false">IF(Q673&lt;100,"Low",IF(Q673&lt;=500,"Medium","High"))</f>
        <v>Medium</v>
      </c>
      <c r="W673" s="3" t="n">
        <f aca="false">D673-C673</f>
        <v>2</v>
      </c>
      <c r="X673" s="3" t="str">
        <f aca="false">TEXT(C673,"mmmm")</f>
        <v>April</v>
      </c>
      <c r="Y673" s="3" t="str">
        <f aca="false">LEFT(G673,1)&amp;MID(G673,FIND(" ",G673)+1,1)</f>
        <v>JM</v>
      </c>
    </row>
    <row r="674" customFormat="false" ht="15" hidden="false" customHeight="false" outlineLevel="0" collapsed="false">
      <c r="A674" s="3" t="n">
        <v>673</v>
      </c>
      <c r="B674" s="3" t="s">
        <v>1896</v>
      </c>
      <c r="C674" s="4" t="s">
        <v>1890</v>
      </c>
      <c r="D674" s="4" t="s">
        <v>1897</v>
      </c>
      <c r="E674" s="3" t="s">
        <v>28</v>
      </c>
      <c r="F674" s="3" t="s">
        <v>1898</v>
      </c>
      <c r="G674" s="3" t="s">
        <v>1899</v>
      </c>
      <c r="H674" s="3" t="s">
        <v>56</v>
      </c>
      <c r="I674" s="3" t="s">
        <v>32</v>
      </c>
      <c r="J674" s="3" t="s">
        <v>299</v>
      </c>
      <c r="K674" s="3" t="s">
        <v>189</v>
      </c>
      <c r="L674" s="3" t="s">
        <v>59</v>
      </c>
      <c r="M674" s="3" t="s">
        <v>225</v>
      </c>
      <c r="N674" s="3" t="s">
        <v>37</v>
      </c>
      <c r="O674" s="3" t="s">
        <v>196</v>
      </c>
      <c r="P674" s="3" t="s">
        <v>226</v>
      </c>
      <c r="Q674" s="5" t="n">
        <v>7108.31</v>
      </c>
      <c r="R674" s="3" t="n">
        <v>13</v>
      </c>
      <c r="S674" s="6" t="n">
        <v>0.1</v>
      </c>
      <c r="T674" s="5" t="n">
        <v>-365.52</v>
      </c>
      <c r="U674" s="3" t="str">
        <f aca="false">IF(T674&lt;0,"Loss",IF(T674=0,"Break-even","Profit"))</f>
        <v>Loss</v>
      </c>
      <c r="V674" s="3" t="str">
        <f aca="false">IF(Q674&lt;100,"Low",IF(Q674&lt;=500,"Medium","High"))</f>
        <v>High</v>
      </c>
      <c r="W674" s="3" t="n">
        <f aca="false">D674-C674</f>
        <v>7</v>
      </c>
      <c r="X674" s="3" t="str">
        <f aca="false">TEXT(C674,"mmmm")</f>
        <v>April</v>
      </c>
      <c r="Y674" s="3" t="str">
        <f aca="false">LEFT(G674,1)&amp;MID(G674,FIND(" ",G674)+1,1)</f>
        <v>MM</v>
      </c>
    </row>
    <row r="675" customFormat="false" ht="15" hidden="false" customHeight="false" outlineLevel="0" collapsed="false">
      <c r="A675" s="3" t="n">
        <v>674</v>
      </c>
      <c r="B675" s="3" t="s">
        <v>1900</v>
      </c>
      <c r="C675" s="4" t="s">
        <v>1876</v>
      </c>
      <c r="D675" s="4" t="s">
        <v>1901</v>
      </c>
      <c r="E675" s="3" t="s">
        <v>84</v>
      </c>
      <c r="F675" s="3" t="s">
        <v>304</v>
      </c>
      <c r="G675" s="3" t="s">
        <v>305</v>
      </c>
      <c r="H675" s="3" t="s">
        <v>45</v>
      </c>
      <c r="I675" s="3" t="s">
        <v>32</v>
      </c>
      <c r="J675" s="3" t="s">
        <v>95</v>
      </c>
      <c r="K675" s="3" t="s">
        <v>96</v>
      </c>
      <c r="L675" s="3" t="s">
        <v>59</v>
      </c>
      <c r="M675" s="3" t="s">
        <v>259</v>
      </c>
      <c r="N675" s="3" t="s">
        <v>89</v>
      </c>
      <c r="O675" s="3" t="s">
        <v>174</v>
      </c>
      <c r="P675" s="3" t="s">
        <v>260</v>
      </c>
      <c r="Q675" s="5" t="n">
        <v>162.14</v>
      </c>
      <c r="R675" s="3" t="n">
        <v>2</v>
      </c>
      <c r="S675" s="6" t="n">
        <v>0.5</v>
      </c>
      <c r="T675" s="5" t="n">
        <v>-12.38</v>
      </c>
      <c r="U675" s="3" t="str">
        <f aca="false">IF(T675&lt;0,"Loss",IF(T675=0,"Break-even","Profit"))</f>
        <v>Loss</v>
      </c>
      <c r="V675" s="3" t="str">
        <f aca="false">IF(Q675&lt;100,"Low",IF(Q675&lt;=500,"Medium","High"))</f>
        <v>Medium</v>
      </c>
      <c r="W675" s="3" t="n">
        <f aca="false">D675-C675</f>
        <v>4</v>
      </c>
      <c r="X675" s="3" t="str">
        <f aca="false">TEXT(C675,"mmmm")</f>
        <v>April</v>
      </c>
      <c r="Y675" s="3" t="str">
        <f aca="false">LEFT(G675,1)&amp;MID(G675,FIND(" ",G675)+1,1)</f>
        <v>DW</v>
      </c>
    </row>
    <row r="676" customFormat="false" ht="15" hidden="false" customHeight="false" outlineLevel="0" collapsed="false">
      <c r="A676" s="3" t="n">
        <v>675</v>
      </c>
      <c r="B676" s="3" t="s">
        <v>1902</v>
      </c>
      <c r="C676" s="4" t="s">
        <v>1895</v>
      </c>
      <c r="D676" s="4" t="s">
        <v>1903</v>
      </c>
      <c r="E676" s="3" t="s">
        <v>84</v>
      </c>
      <c r="F676" s="3" t="s">
        <v>1102</v>
      </c>
      <c r="G676" s="3" t="s">
        <v>1103</v>
      </c>
      <c r="H676" s="3" t="s">
        <v>31</v>
      </c>
      <c r="I676" s="3" t="s">
        <v>32</v>
      </c>
      <c r="J676" s="3" t="s">
        <v>315</v>
      </c>
      <c r="K676" s="3" t="s">
        <v>58</v>
      </c>
      <c r="L676" s="3" t="s">
        <v>59</v>
      </c>
      <c r="M676" s="3" t="s">
        <v>447</v>
      </c>
      <c r="N676" s="3" t="s">
        <v>89</v>
      </c>
      <c r="O676" s="3" t="s">
        <v>323</v>
      </c>
      <c r="P676" s="3" t="s">
        <v>448</v>
      </c>
      <c r="Q676" s="5" t="n">
        <v>1401.26</v>
      </c>
      <c r="R676" s="3" t="n">
        <v>8</v>
      </c>
      <c r="S676" s="6" t="n">
        <v>0</v>
      </c>
      <c r="T676" s="5" t="n">
        <v>-183.75</v>
      </c>
      <c r="U676" s="3" t="str">
        <f aca="false">IF(T676&lt;0,"Loss",IF(T676=0,"Break-even","Profit"))</f>
        <v>Loss</v>
      </c>
      <c r="V676" s="3" t="str">
        <f aca="false">IF(Q676&lt;100,"Low",IF(Q676&lt;=500,"Medium","High"))</f>
        <v>High</v>
      </c>
      <c r="W676" s="3" t="n">
        <f aca="false">D676-C676</f>
        <v>4</v>
      </c>
      <c r="X676" s="3" t="str">
        <f aca="false">TEXT(C676,"mmmm")</f>
        <v>April</v>
      </c>
      <c r="Y676" s="3" t="str">
        <f aca="false">LEFT(G676,1)&amp;MID(G676,FIND(" ",G676)+1,1)</f>
        <v>DS</v>
      </c>
    </row>
    <row r="677" customFormat="false" ht="15" hidden="false" customHeight="false" outlineLevel="0" collapsed="false">
      <c r="A677" s="3" t="n">
        <v>676</v>
      </c>
      <c r="B677" s="3" t="s">
        <v>1904</v>
      </c>
      <c r="C677" s="4" t="s">
        <v>1895</v>
      </c>
      <c r="D677" s="4" t="s">
        <v>1895</v>
      </c>
      <c r="E677" s="3" t="s">
        <v>53</v>
      </c>
      <c r="F677" s="3" t="s">
        <v>1905</v>
      </c>
      <c r="G677" s="3" t="s">
        <v>1906</v>
      </c>
      <c r="H677" s="3" t="s">
        <v>45</v>
      </c>
      <c r="I677" s="3" t="s">
        <v>32</v>
      </c>
      <c r="J677" s="3" t="s">
        <v>243</v>
      </c>
      <c r="K677" s="3" t="s">
        <v>244</v>
      </c>
      <c r="L677" s="3" t="s">
        <v>157</v>
      </c>
      <c r="M677" s="3" t="s">
        <v>225</v>
      </c>
      <c r="N677" s="3" t="s">
        <v>37</v>
      </c>
      <c r="O677" s="3" t="s">
        <v>196</v>
      </c>
      <c r="P677" s="3" t="s">
        <v>226</v>
      </c>
      <c r="Q677" s="5" t="n">
        <v>1029.98</v>
      </c>
      <c r="R677" s="3" t="n">
        <v>1</v>
      </c>
      <c r="S677" s="6" t="n">
        <v>0.2</v>
      </c>
      <c r="T677" s="5" t="n">
        <v>-14.41</v>
      </c>
      <c r="U677" s="3" t="str">
        <f aca="false">IF(T677&lt;0,"Loss",IF(T677=0,"Break-even","Profit"))</f>
        <v>Loss</v>
      </c>
      <c r="V677" s="3" t="str">
        <f aca="false">IF(Q677&lt;100,"Low",IF(Q677&lt;=500,"Medium","High"))</f>
        <v>High</v>
      </c>
      <c r="W677" s="3" t="n">
        <f aca="false">D677-C677</f>
        <v>0</v>
      </c>
      <c r="X677" s="3" t="str">
        <f aca="false">TEXT(C677,"mmmm")</f>
        <v>April</v>
      </c>
      <c r="Y677" s="3" t="str">
        <f aca="false">LEFT(G677,1)&amp;MID(G677,FIND(" ",G677)+1,1)</f>
        <v>MS</v>
      </c>
    </row>
    <row r="678" customFormat="false" ht="15" hidden="false" customHeight="false" outlineLevel="0" collapsed="false">
      <c r="A678" s="3" t="n">
        <v>677</v>
      </c>
      <c r="B678" s="3" t="s">
        <v>1907</v>
      </c>
      <c r="C678" s="4" t="s">
        <v>1895</v>
      </c>
      <c r="D678" s="4" t="s">
        <v>1903</v>
      </c>
      <c r="E678" s="3" t="s">
        <v>84</v>
      </c>
      <c r="F678" s="3" t="s">
        <v>1802</v>
      </c>
      <c r="G678" s="3" t="s">
        <v>1803</v>
      </c>
      <c r="H678" s="3" t="s">
        <v>45</v>
      </c>
      <c r="I678" s="3" t="s">
        <v>32</v>
      </c>
      <c r="J678" s="3" t="s">
        <v>171</v>
      </c>
      <c r="K678" s="3" t="s">
        <v>172</v>
      </c>
      <c r="L678" s="3" t="s">
        <v>157</v>
      </c>
      <c r="M678" s="3" t="s">
        <v>225</v>
      </c>
      <c r="N678" s="3" t="s">
        <v>37</v>
      </c>
      <c r="O678" s="3" t="s">
        <v>196</v>
      </c>
      <c r="P678" s="3" t="s">
        <v>226</v>
      </c>
      <c r="Q678" s="5" t="n">
        <v>6165.77</v>
      </c>
      <c r="R678" s="3" t="n">
        <v>10</v>
      </c>
      <c r="S678" s="6" t="n">
        <v>0</v>
      </c>
      <c r="T678" s="5" t="n">
        <v>-1230.3</v>
      </c>
      <c r="U678" s="3" t="str">
        <f aca="false">IF(T678&lt;0,"Loss",IF(T678=0,"Break-even","Profit"))</f>
        <v>Loss</v>
      </c>
      <c r="V678" s="3" t="str">
        <f aca="false">IF(Q678&lt;100,"Low",IF(Q678&lt;=500,"Medium","High"))</f>
        <v>High</v>
      </c>
      <c r="W678" s="3" t="n">
        <f aca="false">D678-C678</f>
        <v>4</v>
      </c>
      <c r="X678" s="3" t="str">
        <f aca="false">TEXT(C678,"mmmm")</f>
        <v>April</v>
      </c>
      <c r="Y678" s="3" t="str">
        <f aca="false">LEFT(G678,1)&amp;MID(G678,FIND(" ",G678)+1,1)</f>
        <v>AJ</v>
      </c>
    </row>
    <row r="679" customFormat="false" ht="15" hidden="false" customHeight="false" outlineLevel="0" collapsed="false">
      <c r="A679" s="3" t="n">
        <v>678</v>
      </c>
      <c r="B679" s="3" t="s">
        <v>1908</v>
      </c>
      <c r="C679" s="4" t="s">
        <v>1895</v>
      </c>
      <c r="D679" s="4" t="s">
        <v>1909</v>
      </c>
      <c r="E679" s="3" t="s">
        <v>28</v>
      </c>
      <c r="F679" s="3" t="s">
        <v>1468</v>
      </c>
      <c r="G679" s="3" t="s">
        <v>1469</v>
      </c>
      <c r="H679" s="3" t="s">
        <v>56</v>
      </c>
      <c r="I679" s="3" t="s">
        <v>32</v>
      </c>
      <c r="J679" s="3" t="s">
        <v>133</v>
      </c>
      <c r="K679" s="3" t="s">
        <v>134</v>
      </c>
      <c r="L679" s="3" t="s">
        <v>69</v>
      </c>
      <c r="M679" s="3" t="s">
        <v>334</v>
      </c>
      <c r="N679" s="3" t="s">
        <v>37</v>
      </c>
      <c r="O679" s="3" t="s">
        <v>136</v>
      </c>
      <c r="P679" s="3" t="s">
        <v>335</v>
      </c>
      <c r="Q679" s="5" t="n">
        <v>738.44</v>
      </c>
      <c r="R679" s="3" t="n">
        <v>2</v>
      </c>
      <c r="S679" s="6" t="n">
        <v>0</v>
      </c>
      <c r="T679" s="5" t="n">
        <v>4.14</v>
      </c>
      <c r="U679" s="3" t="str">
        <f aca="false">IF(T679&lt;0,"Loss",IF(T679=0,"Break-even","Profit"))</f>
        <v>Profit</v>
      </c>
      <c r="V679" s="3" t="str">
        <f aca="false">IF(Q679&lt;100,"Low",IF(Q679&lt;=500,"Medium","High"))</f>
        <v>High</v>
      </c>
      <c r="W679" s="3" t="n">
        <f aca="false">D679-C679</f>
        <v>6</v>
      </c>
      <c r="X679" s="3" t="str">
        <f aca="false">TEXT(C679,"mmmm")</f>
        <v>April</v>
      </c>
      <c r="Y679" s="3" t="str">
        <f aca="false">LEFT(G679,1)&amp;MID(G679,FIND(" ",G679)+1,1)</f>
        <v>EK</v>
      </c>
    </row>
    <row r="680" customFormat="false" ht="15" hidden="false" customHeight="false" outlineLevel="0" collapsed="false">
      <c r="A680" s="3" t="n">
        <v>679</v>
      </c>
      <c r="B680" s="3" t="s">
        <v>1910</v>
      </c>
      <c r="C680" s="4" t="s">
        <v>1895</v>
      </c>
      <c r="D680" s="4" t="s">
        <v>1903</v>
      </c>
      <c r="E680" s="3" t="s">
        <v>28</v>
      </c>
      <c r="F680" s="3" t="s">
        <v>1700</v>
      </c>
      <c r="G680" s="3" t="s">
        <v>1701</v>
      </c>
      <c r="H680" s="3" t="s">
        <v>45</v>
      </c>
      <c r="I680" s="3" t="s">
        <v>32</v>
      </c>
      <c r="J680" s="3" t="s">
        <v>315</v>
      </c>
      <c r="K680" s="3" t="s">
        <v>58</v>
      </c>
      <c r="L680" s="3" t="s">
        <v>59</v>
      </c>
      <c r="M680" s="3" t="s">
        <v>209</v>
      </c>
      <c r="N680" s="3" t="s">
        <v>49</v>
      </c>
      <c r="O680" s="3" t="s">
        <v>106</v>
      </c>
      <c r="P680" s="3" t="s">
        <v>210</v>
      </c>
      <c r="Q680" s="5" t="n">
        <v>410.64</v>
      </c>
      <c r="R680" s="3" t="n">
        <v>9</v>
      </c>
      <c r="S680" s="6" t="n">
        <v>0.5</v>
      </c>
      <c r="T680" s="5" t="n">
        <v>-53.13</v>
      </c>
      <c r="U680" s="3" t="str">
        <f aca="false">IF(T680&lt;0,"Loss",IF(T680=0,"Break-even","Profit"))</f>
        <v>Loss</v>
      </c>
      <c r="V680" s="3" t="str">
        <f aca="false">IF(Q680&lt;100,"Low",IF(Q680&lt;=500,"Medium","High"))</f>
        <v>Medium</v>
      </c>
      <c r="W680" s="3" t="n">
        <f aca="false">D680-C680</f>
        <v>4</v>
      </c>
      <c r="X680" s="3" t="str">
        <f aca="false">TEXT(C680,"mmmm")</f>
        <v>April</v>
      </c>
      <c r="Y680" s="3" t="str">
        <f aca="false">LEFT(G680,1)&amp;MID(G680,FIND(" ",G680)+1,1)</f>
        <v>AT</v>
      </c>
    </row>
    <row r="681" customFormat="false" ht="15" hidden="false" customHeight="false" outlineLevel="0" collapsed="false">
      <c r="A681" s="3" t="n">
        <v>680</v>
      </c>
      <c r="B681" s="3" t="s">
        <v>1911</v>
      </c>
      <c r="C681" s="4" t="s">
        <v>1887</v>
      </c>
      <c r="D681" s="4" t="s">
        <v>1897</v>
      </c>
      <c r="E681" s="3" t="s">
        <v>28</v>
      </c>
      <c r="F681" s="3" t="s">
        <v>393</v>
      </c>
      <c r="G681" s="3" t="s">
        <v>394</v>
      </c>
      <c r="H681" s="3" t="s">
        <v>56</v>
      </c>
      <c r="I681" s="3" t="s">
        <v>32</v>
      </c>
      <c r="J681" s="3" t="s">
        <v>148</v>
      </c>
      <c r="K681" s="3" t="s">
        <v>78</v>
      </c>
      <c r="L681" s="3" t="s">
        <v>59</v>
      </c>
      <c r="M681" s="3" t="s">
        <v>209</v>
      </c>
      <c r="N681" s="3" t="s">
        <v>49</v>
      </c>
      <c r="O681" s="3" t="s">
        <v>106</v>
      </c>
      <c r="P681" s="3" t="s">
        <v>210</v>
      </c>
      <c r="Q681" s="5" t="n">
        <v>819.57</v>
      </c>
      <c r="R681" s="3" t="n">
        <v>11</v>
      </c>
      <c r="S681" s="6" t="n">
        <v>0</v>
      </c>
      <c r="T681" s="5" t="n">
        <v>-160.28</v>
      </c>
      <c r="U681" s="3" t="str">
        <f aca="false">IF(T681&lt;0,"Loss",IF(T681=0,"Break-even","Profit"))</f>
        <v>Loss</v>
      </c>
      <c r="V681" s="3" t="str">
        <f aca="false">IF(Q681&lt;100,"Low",IF(Q681&lt;=500,"Medium","High"))</f>
        <v>High</v>
      </c>
      <c r="W681" s="3" t="n">
        <f aca="false">D681-C681</f>
        <v>3</v>
      </c>
      <c r="X681" s="3" t="str">
        <f aca="false">TEXT(C681,"mmmm")</f>
        <v>April</v>
      </c>
      <c r="Y681" s="3" t="str">
        <f aca="false">LEFT(G681,1)&amp;MID(G681,FIND(" ",G681)+1,1)</f>
        <v>LD</v>
      </c>
    </row>
    <row r="682" customFormat="false" ht="15" hidden="false" customHeight="false" outlineLevel="0" collapsed="false">
      <c r="A682" s="3" t="n">
        <v>681</v>
      </c>
      <c r="B682" s="3" t="s">
        <v>1912</v>
      </c>
      <c r="C682" s="4" t="s">
        <v>1901</v>
      </c>
      <c r="D682" s="4" t="s">
        <v>1897</v>
      </c>
      <c r="E682" s="3" t="s">
        <v>84</v>
      </c>
      <c r="F682" s="3" t="s">
        <v>749</v>
      </c>
      <c r="G682" s="3" t="s">
        <v>750</v>
      </c>
      <c r="H682" s="3" t="s">
        <v>56</v>
      </c>
      <c r="I682" s="3" t="s">
        <v>32</v>
      </c>
      <c r="J682" s="3" t="s">
        <v>381</v>
      </c>
      <c r="K682" s="3" t="s">
        <v>58</v>
      </c>
      <c r="L682" s="3" t="s">
        <v>59</v>
      </c>
      <c r="M682" s="3" t="s">
        <v>420</v>
      </c>
      <c r="N682" s="3" t="s">
        <v>49</v>
      </c>
      <c r="O682" s="3" t="s">
        <v>80</v>
      </c>
      <c r="P682" s="3" t="s">
        <v>421</v>
      </c>
      <c r="Q682" s="5" t="n">
        <v>714.97</v>
      </c>
      <c r="R682" s="3" t="n">
        <v>9</v>
      </c>
      <c r="S682" s="6" t="n">
        <v>0.3</v>
      </c>
      <c r="T682" s="5" t="n">
        <v>-24.21</v>
      </c>
      <c r="U682" s="3" t="str">
        <f aca="false">IF(T682&lt;0,"Loss",IF(T682=0,"Break-even","Profit"))</f>
        <v>Loss</v>
      </c>
      <c r="V682" s="3" t="str">
        <f aca="false">IF(Q682&lt;100,"Low",IF(Q682&lt;=500,"Medium","High"))</f>
        <v>High</v>
      </c>
      <c r="W682" s="3" t="n">
        <f aca="false">D682-C682</f>
        <v>2</v>
      </c>
      <c r="X682" s="3" t="str">
        <f aca="false">TEXT(C682,"mmmm")</f>
        <v>April</v>
      </c>
      <c r="Y682" s="3" t="str">
        <f aca="false">LEFT(G682,1)&amp;MID(G682,FIND(" ",G682)+1,1)</f>
        <v>EA</v>
      </c>
    </row>
    <row r="683" customFormat="false" ht="15" hidden="false" customHeight="false" outlineLevel="0" collapsed="false">
      <c r="A683" s="3" t="n">
        <v>682</v>
      </c>
      <c r="B683" s="3" t="s">
        <v>1913</v>
      </c>
      <c r="C683" s="4" t="s">
        <v>1901</v>
      </c>
      <c r="D683" s="4" t="s">
        <v>1897</v>
      </c>
      <c r="E683" s="3" t="s">
        <v>42</v>
      </c>
      <c r="F683" s="3" t="s">
        <v>592</v>
      </c>
      <c r="G683" s="3" t="s">
        <v>593</v>
      </c>
      <c r="H683" s="3" t="s">
        <v>31</v>
      </c>
      <c r="I683" s="3" t="s">
        <v>32</v>
      </c>
      <c r="J683" s="3" t="s">
        <v>299</v>
      </c>
      <c r="K683" s="3" t="s">
        <v>189</v>
      </c>
      <c r="L683" s="3" t="s">
        <v>59</v>
      </c>
      <c r="M683" s="3" t="s">
        <v>114</v>
      </c>
      <c r="N683" s="3" t="s">
        <v>49</v>
      </c>
      <c r="O683" s="3" t="s">
        <v>61</v>
      </c>
      <c r="P683" s="3" t="s">
        <v>115</v>
      </c>
      <c r="Q683" s="5" t="n">
        <v>42.56</v>
      </c>
      <c r="R683" s="3" t="n">
        <v>1</v>
      </c>
      <c r="S683" s="6" t="n">
        <v>0.3</v>
      </c>
      <c r="T683" s="5" t="n">
        <v>-11.46</v>
      </c>
      <c r="U683" s="3" t="str">
        <f aca="false">IF(T683&lt;0,"Loss",IF(T683=0,"Break-even","Profit"))</f>
        <v>Loss</v>
      </c>
      <c r="V683" s="3" t="str">
        <f aca="false">IF(Q683&lt;100,"Low",IF(Q683&lt;=500,"Medium","High"))</f>
        <v>Low</v>
      </c>
      <c r="W683" s="3" t="n">
        <f aca="false">D683-C683</f>
        <v>2</v>
      </c>
      <c r="X683" s="3" t="str">
        <f aca="false">TEXT(C683,"mmmm")</f>
        <v>April</v>
      </c>
      <c r="Y683" s="3" t="str">
        <f aca="false">LEFT(G683,1)&amp;MID(G683,FIND(" ",G683)+1,1)</f>
        <v>PB</v>
      </c>
    </row>
    <row r="684" customFormat="false" ht="15" hidden="false" customHeight="false" outlineLevel="0" collapsed="false">
      <c r="A684" s="3" t="n">
        <v>683</v>
      </c>
      <c r="B684" s="3" t="s">
        <v>1914</v>
      </c>
      <c r="C684" s="4" t="s">
        <v>1901</v>
      </c>
      <c r="D684" s="4" t="s">
        <v>1915</v>
      </c>
      <c r="E684" s="3" t="s">
        <v>28</v>
      </c>
      <c r="F684" s="3" t="s">
        <v>752</v>
      </c>
      <c r="G684" s="3" t="s">
        <v>753</v>
      </c>
      <c r="H684" s="3" t="s">
        <v>56</v>
      </c>
      <c r="I684" s="3" t="s">
        <v>32</v>
      </c>
      <c r="J684" s="3" t="s">
        <v>381</v>
      </c>
      <c r="K684" s="3" t="s">
        <v>58</v>
      </c>
      <c r="L684" s="3" t="s">
        <v>59</v>
      </c>
      <c r="M684" s="3" t="s">
        <v>420</v>
      </c>
      <c r="N684" s="3" t="s">
        <v>49</v>
      </c>
      <c r="O684" s="3" t="s">
        <v>80</v>
      </c>
      <c r="P684" s="3" t="s">
        <v>421</v>
      </c>
      <c r="Q684" s="5" t="n">
        <v>225.08</v>
      </c>
      <c r="R684" s="3" t="n">
        <v>2</v>
      </c>
      <c r="S684" s="6" t="n">
        <v>0</v>
      </c>
      <c r="T684" s="5" t="n">
        <v>1.55</v>
      </c>
      <c r="U684" s="3" t="str">
        <f aca="false">IF(T684&lt;0,"Loss",IF(T684=0,"Break-even","Profit"))</f>
        <v>Profit</v>
      </c>
      <c r="V684" s="3" t="str">
        <f aca="false">IF(Q684&lt;100,"Low",IF(Q684&lt;=500,"Medium","High"))</f>
        <v>Medium</v>
      </c>
      <c r="W684" s="3" t="n">
        <f aca="false">D684-C684</f>
        <v>5</v>
      </c>
      <c r="X684" s="3" t="str">
        <f aca="false">TEXT(C684,"mmmm")</f>
        <v>April</v>
      </c>
      <c r="Y684" s="3" t="str">
        <f aca="false">LEFT(G684,1)&amp;MID(G684,FIND(" ",G684)+1,1)</f>
        <v>DM</v>
      </c>
    </row>
    <row r="685" customFormat="false" ht="15" hidden="false" customHeight="false" outlineLevel="0" collapsed="false">
      <c r="A685" s="3" t="n">
        <v>684</v>
      </c>
      <c r="B685" s="3" t="s">
        <v>1626</v>
      </c>
      <c r="C685" s="4" t="s">
        <v>1903</v>
      </c>
      <c r="D685" s="4" t="s">
        <v>1909</v>
      </c>
      <c r="E685" s="3" t="s">
        <v>84</v>
      </c>
      <c r="F685" s="3" t="s">
        <v>1881</v>
      </c>
      <c r="G685" s="3" t="s">
        <v>1882</v>
      </c>
      <c r="H685" s="3" t="s">
        <v>45</v>
      </c>
      <c r="I685" s="3" t="s">
        <v>32</v>
      </c>
      <c r="J685" s="3" t="s">
        <v>873</v>
      </c>
      <c r="K685" s="3" t="s">
        <v>387</v>
      </c>
      <c r="L685" s="3" t="s">
        <v>35</v>
      </c>
      <c r="M685" s="3" t="s">
        <v>79</v>
      </c>
      <c r="N685" s="3" t="s">
        <v>49</v>
      </c>
      <c r="O685" s="3" t="s">
        <v>80</v>
      </c>
      <c r="P685" s="3" t="s">
        <v>81</v>
      </c>
      <c r="Q685" s="5" t="n">
        <v>474.96</v>
      </c>
      <c r="R685" s="3" t="n">
        <v>14</v>
      </c>
      <c r="S685" s="6" t="n">
        <v>0.5</v>
      </c>
      <c r="T685" s="5" t="n">
        <v>46.97</v>
      </c>
      <c r="U685" s="3" t="str">
        <f aca="false">IF(T685&lt;0,"Loss",IF(T685=0,"Break-even","Profit"))</f>
        <v>Profit</v>
      </c>
      <c r="V685" s="3" t="str">
        <f aca="false">IF(Q685&lt;100,"Low",IF(Q685&lt;=500,"Medium","High"))</f>
        <v>Medium</v>
      </c>
      <c r="W685" s="3" t="n">
        <f aca="false">D685-C685</f>
        <v>2</v>
      </c>
      <c r="X685" s="3" t="str">
        <f aca="false">TEXT(C685,"mmmm")</f>
        <v>April</v>
      </c>
      <c r="Y685" s="3" t="str">
        <f aca="false">LEFT(G685,1)&amp;MID(G685,FIND(" ",G685)+1,1)</f>
        <v>SD</v>
      </c>
    </row>
    <row r="686" customFormat="false" ht="15" hidden="false" customHeight="false" outlineLevel="0" collapsed="false">
      <c r="A686" s="3" t="n">
        <v>685</v>
      </c>
      <c r="B686" s="3" t="s">
        <v>1916</v>
      </c>
      <c r="C686" s="4" t="s">
        <v>1909</v>
      </c>
      <c r="D686" s="4" t="s">
        <v>1917</v>
      </c>
      <c r="E686" s="3" t="s">
        <v>28</v>
      </c>
      <c r="F686" s="3" t="s">
        <v>1918</v>
      </c>
      <c r="G686" s="3" t="s">
        <v>1919</v>
      </c>
      <c r="H686" s="3" t="s">
        <v>56</v>
      </c>
      <c r="I686" s="3" t="s">
        <v>32</v>
      </c>
      <c r="J686" s="3" t="s">
        <v>33</v>
      </c>
      <c r="K686" s="3" t="s">
        <v>34</v>
      </c>
      <c r="L686" s="3" t="s">
        <v>35</v>
      </c>
      <c r="M686" s="3" t="s">
        <v>114</v>
      </c>
      <c r="N686" s="3" t="s">
        <v>49</v>
      </c>
      <c r="O686" s="3" t="s">
        <v>61</v>
      </c>
      <c r="P686" s="3" t="s">
        <v>115</v>
      </c>
      <c r="Q686" s="5" t="n">
        <v>558.52</v>
      </c>
      <c r="R686" s="3" t="n">
        <v>7</v>
      </c>
      <c r="S686" s="6" t="n">
        <v>0.3</v>
      </c>
      <c r="T686" s="5" t="n">
        <v>126.36</v>
      </c>
      <c r="U686" s="3" t="str">
        <f aca="false">IF(T686&lt;0,"Loss",IF(T686=0,"Break-even","Profit"))</f>
        <v>Profit</v>
      </c>
      <c r="V686" s="3" t="str">
        <f aca="false">IF(Q686&lt;100,"Low",IF(Q686&lt;=500,"Medium","High"))</f>
        <v>High</v>
      </c>
      <c r="W686" s="3" t="n">
        <f aca="false">D686-C686</f>
        <v>3</v>
      </c>
      <c r="X686" s="3" t="str">
        <f aca="false">TEXT(C686,"mmmm")</f>
        <v>April</v>
      </c>
      <c r="Y686" s="3" t="str">
        <f aca="false">LEFT(G686,1)&amp;MID(G686,FIND(" ",G686)+1,1)</f>
        <v>MJ</v>
      </c>
    </row>
    <row r="687" customFormat="false" ht="15" hidden="false" customHeight="false" outlineLevel="0" collapsed="false">
      <c r="A687" s="3" t="n">
        <v>686</v>
      </c>
      <c r="B687" s="3" t="s">
        <v>1744</v>
      </c>
      <c r="C687" s="4" t="s">
        <v>1909</v>
      </c>
      <c r="D687" s="4" t="s">
        <v>1920</v>
      </c>
      <c r="E687" s="3" t="s">
        <v>28</v>
      </c>
      <c r="F687" s="3" t="s">
        <v>1258</v>
      </c>
      <c r="G687" s="3" t="s">
        <v>1259</v>
      </c>
      <c r="H687" s="3" t="s">
        <v>45</v>
      </c>
      <c r="I687" s="3" t="s">
        <v>32</v>
      </c>
      <c r="J687" s="3" t="s">
        <v>208</v>
      </c>
      <c r="K687" s="3" t="s">
        <v>134</v>
      </c>
      <c r="L687" s="3" t="s">
        <v>69</v>
      </c>
      <c r="M687" s="3" t="s">
        <v>173</v>
      </c>
      <c r="N687" s="3" t="s">
        <v>89</v>
      </c>
      <c r="O687" s="3" t="s">
        <v>174</v>
      </c>
      <c r="P687" s="3" t="s">
        <v>175</v>
      </c>
      <c r="Q687" s="5" t="n">
        <v>5723.25</v>
      </c>
      <c r="R687" s="3" t="n">
        <v>9</v>
      </c>
      <c r="S687" s="6" t="n">
        <v>0</v>
      </c>
      <c r="T687" s="5" t="n">
        <v>1646.4</v>
      </c>
      <c r="U687" s="3" t="str">
        <f aca="false">IF(T687&lt;0,"Loss",IF(T687=0,"Break-even","Profit"))</f>
        <v>Profit</v>
      </c>
      <c r="V687" s="3" t="str">
        <f aca="false">IF(Q687&lt;100,"Low",IF(Q687&lt;=500,"Medium","High"))</f>
        <v>High</v>
      </c>
      <c r="W687" s="3" t="n">
        <f aca="false">D687-C687</f>
        <v>4</v>
      </c>
      <c r="X687" s="3" t="str">
        <f aca="false">TEXT(C687,"mmmm")</f>
        <v>April</v>
      </c>
      <c r="Y687" s="3" t="str">
        <f aca="false">LEFT(G687,1)&amp;MID(G687,FIND(" ",G687)+1,1)</f>
        <v>MS</v>
      </c>
    </row>
    <row r="688" customFormat="false" ht="15" hidden="false" customHeight="false" outlineLevel="0" collapsed="false">
      <c r="A688" s="3" t="n">
        <v>687</v>
      </c>
      <c r="B688" s="3" t="s">
        <v>1921</v>
      </c>
      <c r="C688" s="4" t="s">
        <v>1909</v>
      </c>
      <c r="D688" s="4" t="s">
        <v>1915</v>
      </c>
      <c r="E688" s="3" t="s">
        <v>84</v>
      </c>
      <c r="F688" s="3" t="s">
        <v>702</v>
      </c>
      <c r="G688" s="3" t="s">
        <v>703</v>
      </c>
      <c r="H688" s="3" t="s">
        <v>45</v>
      </c>
      <c r="I688" s="3" t="s">
        <v>32</v>
      </c>
      <c r="J688" s="3" t="s">
        <v>208</v>
      </c>
      <c r="K688" s="3" t="s">
        <v>134</v>
      </c>
      <c r="L688" s="3" t="s">
        <v>69</v>
      </c>
      <c r="M688" s="3" t="s">
        <v>60</v>
      </c>
      <c r="N688" s="3" t="s">
        <v>49</v>
      </c>
      <c r="O688" s="3" t="s">
        <v>61</v>
      </c>
      <c r="P688" s="3" t="s">
        <v>62</v>
      </c>
      <c r="Q688" s="5" t="n">
        <v>140.58</v>
      </c>
      <c r="R688" s="3" t="n">
        <v>4</v>
      </c>
      <c r="S688" s="6" t="n">
        <v>0.2</v>
      </c>
      <c r="T688" s="5" t="n">
        <v>39.55</v>
      </c>
      <c r="U688" s="3" t="str">
        <f aca="false">IF(T688&lt;0,"Loss",IF(T688=0,"Break-even","Profit"))</f>
        <v>Profit</v>
      </c>
      <c r="V688" s="3" t="str">
        <f aca="false">IF(Q688&lt;100,"Low",IF(Q688&lt;=500,"Medium","High"))</f>
        <v>Medium</v>
      </c>
      <c r="W688" s="3" t="n">
        <f aca="false">D688-C688</f>
        <v>2</v>
      </c>
      <c r="X688" s="3" t="str">
        <f aca="false">TEXT(C688,"mmmm")</f>
        <v>April</v>
      </c>
      <c r="Y688" s="3" t="str">
        <f aca="false">LEFT(G688,1)&amp;MID(G688,FIND(" ",G688)+1,1)</f>
        <v>DT</v>
      </c>
    </row>
    <row r="689" customFormat="false" ht="15" hidden="false" customHeight="false" outlineLevel="0" collapsed="false">
      <c r="A689" s="3" t="n">
        <v>688</v>
      </c>
      <c r="B689" s="3" t="s">
        <v>1922</v>
      </c>
      <c r="C689" s="4" t="s">
        <v>1909</v>
      </c>
      <c r="D689" s="4" t="s">
        <v>1909</v>
      </c>
      <c r="E689" s="3" t="s">
        <v>53</v>
      </c>
      <c r="F689" s="3" t="s">
        <v>1562</v>
      </c>
      <c r="G689" s="3" t="s">
        <v>1563</v>
      </c>
      <c r="H689" s="3" t="s">
        <v>56</v>
      </c>
      <c r="I689" s="3" t="s">
        <v>32</v>
      </c>
      <c r="J689" s="3" t="s">
        <v>188</v>
      </c>
      <c r="K689" s="3" t="s">
        <v>189</v>
      </c>
      <c r="L689" s="3" t="s">
        <v>59</v>
      </c>
      <c r="M689" s="3" t="s">
        <v>237</v>
      </c>
      <c r="N689" s="3" t="s">
        <v>49</v>
      </c>
      <c r="O689" s="3" t="s">
        <v>220</v>
      </c>
      <c r="P689" s="3" t="s">
        <v>238</v>
      </c>
      <c r="Q689" s="5" t="n">
        <v>689.54</v>
      </c>
      <c r="R689" s="3" t="n">
        <v>14</v>
      </c>
      <c r="S689" s="6" t="n">
        <v>0.1</v>
      </c>
      <c r="T689" s="5" t="n">
        <v>-125.36</v>
      </c>
      <c r="U689" s="3" t="str">
        <f aca="false">IF(T689&lt;0,"Loss",IF(T689=0,"Break-even","Profit"))</f>
        <v>Loss</v>
      </c>
      <c r="V689" s="3" t="str">
        <f aca="false">IF(Q689&lt;100,"Low",IF(Q689&lt;=500,"Medium","High"))</f>
        <v>High</v>
      </c>
      <c r="W689" s="3" t="n">
        <f aca="false">D689-C689</f>
        <v>0</v>
      </c>
      <c r="X689" s="3" t="str">
        <f aca="false">TEXT(C689,"mmmm")</f>
        <v>April</v>
      </c>
      <c r="Y689" s="3" t="str">
        <f aca="false">LEFT(G689,1)&amp;MID(G689,FIND(" ",G689)+1,1)</f>
        <v>MB</v>
      </c>
    </row>
    <row r="690" customFormat="false" ht="15" hidden="false" customHeight="false" outlineLevel="0" collapsed="false">
      <c r="A690" s="3" t="n">
        <v>689</v>
      </c>
      <c r="B690" s="3" t="s">
        <v>1923</v>
      </c>
      <c r="C690" s="4" t="s">
        <v>1924</v>
      </c>
      <c r="D690" s="4" t="s">
        <v>1920</v>
      </c>
      <c r="E690" s="3" t="s">
        <v>28</v>
      </c>
      <c r="F690" s="3" t="s">
        <v>723</v>
      </c>
      <c r="G690" s="3" t="s">
        <v>724</v>
      </c>
      <c r="H690" s="3" t="s">
        <v>31</v>
      </c>
      <c r="I690" s="3" t="s">
        <v>32</v>
      </c>
      <c r="J690" s="3" t="s">
        <v>381</v>
      </c>
      <c r="K690" s="3" t="s">
        <v>58</v>
      </c>
      <c r="L690" s="3" t="s">
        <v>59</v>
      </c>
      <c r="M690" s="3" t="s">
        <v>88</v>
      </c>
      <c r="N690" s="3" t="s">
        <v>89</v>
      </c>
      <c r="O690" s="3" t="s">
        <v>90</v>
      </c>
      <c r="P690" s="3" t="s">
        <v>91</v>
      </c>
      <c r="Q690" s="5" t="n">
        <v>4567.22</v>
      </c>
      <c r="R690" s="3" t="n">
        <v>6</v>
      </c>
      <c r="S690" s="6" t="n">
        <v>0.2</v>
      </c>
      <c r="T690" s="5" t="n">
        <v>-443.09</v>
      </c>
      <c r="U690" s="3" t="str">
        <f aca="false">IF(T690&lt;0,"Loss",IF(T690=0,"Break-even","Profit"))</f>
        <v>Loss</v>
      </c>
      <c r="V690" s="3" t="str">
        <f aca="false">IF(Q690&lt;100,"Low",IF(Q690&lt;=500,"Medium","High"))</f>
        <v>High</v>
      </c>
      <c r="W690" s="3" t="n">
        <f aca="false">D690-C690</f>
        <v>3</v>
      </c>
      <c r="X690" s="3" t="str">
        <f aca="false">TEXT(C690,"mmmm")</f>
        <v>April</v>
      </c>
      <c r="Y690" s="3" t="str">
        <f aca="false">LEFT(G690,1)&amp;MID(G690,FIND(" ",G690)+1,1)</f>
        <v>AD</v>
      </c>
    </row>
    <row r="691" customFormat="false" ht="15" hidden="false" customHeight="false" outlineLevel="0" collapsed="false">
      <c r="A691" s="3" t="n">
        <v>690</v>
      </c>
      <c r="B691" s="3" t="s">
        <v>1925</v>
      </c>
      <c r="C691" s="4" t="s">
        <v>1924</v>
      </c>
      <c r="D691" s="4" t="s">
        <v>1926</v>
      </c>
      <c r="E691" s="3" t="s">
        <v>28</v>
      </c>
      <c r="F691" s="3" t="s">
        <v>1927</v>
      </c>
      <c r="G691" s="3" t="s">
        <v>1928</v>
      </c>
      <c r="H691" s="3" t="s">
        <v>56</v>
      </c>
      <c r="I691" s="3" t="s">
        <v>32</v>
      </c>
      <c r="J691" s="3" t="s">
        <v>87</v>
      </c>
      <c r="K691" s="3" t="s">
        <v>68</v>
      </c>
      <c r="L691" s="3" t="s">
        <v>69</v>
      </c>
      <c r="M691" s="3" t="s">
        <v>97</v>
      </c>
      <c r="N691" s="3" t="s">
        <v>89</v>
      </c>
      <c r="O691" s="3" t="s">
        <v>90</v>
      </c>
      <c r="P691" s="3" t="s">
        <v>98</v>
      </c>
      <c r="Q691" s="5" t="n">
        <v>2417.9</v>
      </c>
      <c r="R691" s="3" t="n">
        <v>3</v>
      </c>
      <c r="S691" s="6" t="n">
        <v>0.1</v>
      </c>
      <c r="T691" s="5" t="n">
        <v>630.29</v>
      </c>
      <c r="U691" s="3" t="str">
        <f aca="false">IF(T691&lt;0,"Loss",IF(T691=0,"Break-even","Profit"))</f>
        <v>Profit</v>
      </c>
      <c r="V691" s="3" t="str">
        <f aca="false">IF(Q691&lt;100,"Low",IF(Q691&lt;=500,"Medium","High"))</f>
        <v>High</v>
      </c>
      <c r="W691" s="3" t="n">
        <f aca="false">D691-C691</f>
        <v>7</v>
      </c>
      <c r="X691" s="3" t="str">
        <f aca="false">TEXT(C691,"mmmm")</f>
        <v>April</v>
      </c>
      <c r="Y691" s="3" t="str">
        <f aca="false">LEFT(G691,1)&amp;MID(G691,FIND(" ",G691)+1,1)</f>
        <v>RG</v>
      </c>
    </row>
    <row r="692" customFormat="false" ht="15" hidden="false" customHeight="false" outlineLevel="0" collapsed="false">
      <c r="A692" s="3" t="n">
        <v>691</v>
      </c>
      <c r="B692" s="3" t="s">
        <v>1929</v>
      </c>
      <c r="C692" s="4" t="s">
        <v>1920</v>
      </c>
      <c r="D692" s="4" t="s">
        <v>1930</v>
      </c>
      <c r="E692" s="3" t="s">
        <v>42</v>
      </c>
      <c r="F692" s="3" t="s">
        <v>694</v>
      </c>
      <c r="G692" s="3" t="s">
        <v>695</v>
      </c>
      <c r="H692" s="3" t="s">
        <v>56</v>
      </c>
      <c r="I692" s="3" t="s">
        <v>32</v>
      </c>
      <c r="J692" s="3" t="s">
        <v>476</v>
      </c>
      <c r="K692" s="3" t="s">
        <v>366</v>
      </c>
      <c r="L692" s="3" t="s">
        <v>157</v>
      </c>
      <c r="M692" s="3" t="s">
        <v>88</v>
      </c>
      <c r="N692" s="3" t="s">
        <v>89</v>
      </c>
      <c r="O692" s="3" t="s">
        <v>90</v>
      </c>
      <c r="P692" s="3" t="s">
        <v>91</v>
      </c>
      <c r="Q692" s="5" t="n">
        <v>144.55</v>
      </c>
      <c r="R692" s="3" t="n">
        <v>2</v>
      </c>
      <c r="S692" s="6" t="n">
        <v>0.1</v>
      </c>
      <c r="T692" s="5" t="n">
        <v>-38.41</v>
      </c>
      <c r="U692" s="3" t="str">
        <f aca="false">IF(T692&lt;0,"Loss",IF(T692=0,"Break-even","Profit"))</f>
        <v>Loss</v>
      </c>
      <c r="V692" s="3" t="str">
        <f aca="false">IF(Q692&lt;100,"Low",IF(Q692&lt;=500,"Medium","High"))</f>
        <v>Medium</v>
      </c>
      <c r="W692" s="3" t="n">
        <f aca="false">D692-C692</f>
        <v>1</v>
      </c>
      <c r="X692" s="3" t="str">
        <f aca="false">TEXT(C692,"mmmm")</f>
        <v>April</v>
      </c>
      <c r="Y692" s="3" t="str">
        <f aca="false">LEFT(G692,1)&amp;MID(G692,FIND(" ",G692)+1,1)</f>
        <v>AA</v>
      </c>
    </row>
    <row r="693" customFormat="false" ht="15" hidden="false" customHeight="false" outlineLevel="0" collapsed="false">
      <c r="A693" s="3" t="n">
        <v>692</v>
      </c>
      <c r="B693" s="3" t="s">
        <v>1931</v>
      </c>
      <c r="C693" s="4" t="s">
        <v>1920</v>
      </c>
      <c r="D693" s="4" t="s">
        <v>1932</v>
      </c>
      <c r="E693" s="3" t="s">
        <v>42</v>
      </c>
      <c r="F693" s="3" t="s">
        <v>246</v>
      </c>
      <c r="G693" s="3" t="s">
        <v>247</v>
      </c>
      <c r="H693" s="3" t="s">
        <v>45</v>
      </c>
      <c r="I693" s="3" t="s">
        <v>32</v>
      </c>
      <c r="J693" s="3" t="s">
        <v>476</v>
      </c>
      <c r="K693" s="3" t="s">
        <v>366</v>
      </c>
      <c r="L693" s="3" t="s">
        <v>157</v>
      </c>
      <c r="M693" s="3" t="s">
        <v>209</v>
      </c>
      <c r="N693" s="3" t="s">
        <v>49</v>
      </c>
      <c r="O693" s="3" t="s">
        <v>106</v>
      </c>
      <c r="P693" s="3" t="s">
        <v>210</v>
      </c>
      <c r="Q693" s="5" t="n">
        <v>105.15</v>
      </c>
      <c r="R693" s="3" t="n">
        <v>2</v>
      </c>
      <c r="S693" s="6" t="n">
        <v>0.4</v>
      </c>
      <c r="T693" s="5" t="n">
        <v>-32.82</v>
      </c>
      <c r="U693" s="3" t="str">
        <f aca="false">IF(T693&lt;0,"Loss",IF(T693=0,"Break-even","Profit"))</f>
        <v>Loss</v>
      </c>
      <c r="V693" s="3" t="str">
        <f aca="false">IF(Q693&lt;100,"Low",IF(Q693&lt;=500,"Medium","High"))</f>
        <v>Medium</v>
      </c>
      <c r="W693" s="3" t="n">
        <f aca="false">D693-C693</f>
        <v>2</v>
      </c>
      <c r="X693" s="3" t="str">
        <f aca="false">TEXT(C693,"mmmm")</f>
        <v>April</v>
      </c>
      <c r="Y693" s="3" t="str">
        <f aca="false">LEFT(G693,1)&amp;MID(G693,FIND(" ",G693)+1,1)</f>
        <v>JN</v>
      </c>
    </row>
    <row r="694" customFormat="false" ht="15" hidden="false" customHeight="false" outlineLevel="0" collapsed="false">
      <c r="A694" s="3" t="n">
        <v>693</v>
      </c>
      <c r="B694" s="3" t="s">
        <v>1933</v>
      </c>
      <c r="C694" s="4" t="s">
        <v>1920</v>
      </c>
      <c r="D694" s="4" t="s">
        <v>1934</v>
      </c>
      <c r="E694" s="3" t="s">
        <v>28</v>
      </c>
      <c r="F694" s="3" t="s">
        <v>501</v>
      </c>
      <c r="G694" s="3" t="s">
        <v>502</v>
      </c>
      <c r="H694" s="3" t="s">
        <v>31</v>
      </c>
      <c r="I694" s="3" t="s">
        <v>32</v>
      </c>
      <c r="J694" s="3" t="s">
        <v>104</v>
      </c>
      <c r="K694" s="3" t="s">
        <v>96</v>
      </c>
      <c r="L694" s="3" t="s">
        <v>59</v>
      </c>
      <c r="M694" s="3" t="s">
        <v>316</v>
      </c>
      <c r="N694" s="3" t="s">
        <v>49</v>
      </c>
      <c r="O694" s="3" t="s">
        <v>143</v>
      </c>
      <c r="P694" s="3" t="s">
        <v>317</v>
      </c>
      <c r="Q694" s="5" t="n">
        <v>96.99</v>
      </c>
      <c r="R694" s="3" t="n">
        <v>1</v>
      </c>
      <c r="S694" s="6" t="n">
        <v>0.2</v>
      </c>
      <c r="T694" s="5" t="n">
        <v>6.82</v>
      </c>
      <c r="U694" s="3" t="str">
        <f aca="false">IF(T694&lt;0,"Loss",IF(T694=0,"Break-even","Profit"))</f>
        <v>Profit</v>
      </c>
      <c r="V694" s="3" t="str">
        <f aca="false">IF(Q694&lt;100,"Low",IF(Q694&lt;=500,"Medium","High"))</f>
        <v>Low</v>
      </c>
      <c r="W694" s="3" t="n">
        <f aca="false">D694-C694</f>
        <v>7</v>
      </c>
      <c r="X694" s="3" t="str">
        <f aca="false">TEXT(C694,"mmmm")</f>
        <v>April</v>
      </c>
      <c r="Y694" s="3" t="str">
        <f aca="false">LEFT(G694,1)&amp;MID(G694,FIND(" ",G694)+1,1)</f>
        <v>DR</v>
      </c>
    </row>
    <row r="695" customFormat="false" ht="15" hidden="false" customHeight="false" outlineLevel="0" collapsed="false">
      <c r="A695" s="3" t="n">
        <v>694</v>
      </c>
      <c r="B695" s="3" t="s">
        <v>1935</v>
      </c>
      <c r="C695" s="4" t="s">
        <v>1932</v>
      </c>
      <c r="D695" s="4" t="s">
        <v>1934</v>
      </c>
      <c r="E695" s="3" t="s">
        <v>28</v>
      </c>
      <c r="F695" s="3" t="s">
        <v>928</v>
      </c>
      <c r="G695" s="3" t="s">
        <v>929</v>
      </c>
      <c r="H695" s="3" t="s">
        <v>31</v>
      </c>
      <c r="I695" s="3" t="s">
        <v>32</v>
      </c>
      <c r="J695" s="3" t="s">
        <v>737</v>
      </c>
      <c r="K695" s="3" t="s">
        <v>307</v>
      </c>
      <c r="L695" s="3" t="s">
        <v>69</v>
      </c>
      <c r="M695" s="3" t="s">
        <v>209</v>
      </c>
      <c r="N695" s="3" t="s">
        <v>49</v>
      </c>
      <c r="O695" s="3" t="s">
        <v>106</v>
      </c>
      <c r="P695" s="3" t="s">
        <v>210</v>
      </c>
      <c r="Q695" s="5" t="n">
        <v>373.5</v>
      </c>
      <c r="R695" s="3" t="n">
        <v>4</v>
      </c>
      <c r="S695" s="6" t="n">
        <v>0.1</v>
      </c>
      <c r="T695" s="5" t="n">
        <v>-80.55</v>
      </c>
      <c r="U695" s="3" t="str">
        <f aca="false">IF(T695&lt;0,"Loss",IF(T695=0,"Break-even","Profit"))</f>
        <v>Loss</v>
      </c>
      <c r="V695" s="3" t="str">
        <f aca="false">IF(Q695&lt;100,"Low",IF(Q695&lt;=500,"Medium","High"))</f>
        <v>Medium</v>
      </c>
      <c r="W695" s="3" t="n">
        <f aca="false">D695-C695</f>
        <v>5</v>
      </c>
      <c r="X695" s="3" t="str">
        <f aca="false">TEXT(C695,"mmmm")</f>
        <v>April</v>
      </c>
      <c r="Y695" s="3" t="str">
        <f aca="false">LEFT(G695,1)&amp;MID(G695,FIND(" ",G695)+1,1)</f>
        <v>RA</v>
      </c>
    </row>
    <row r="696" customFormat="false" ht="15" hidden="false" customHeight="false" outlineLevel="0" collapsed="false">
      <c r="A696" s="3" t="n">
        <v>695</v>
      </c>
      <c r="B696" s="3" t="s">
        <v>1936</v>
      </c>
      <c r="C696" s="4" t="s">
        <v>1937</v>
      </c>
      <c r="D696" s="4" t="s">
        <v>1934</v>
      </c>
      <c r="E696" s="3" t="s">
        <v>28</v>
      </c>
      <c r="F696" s="3" t="s">
        <v>1918</v>
      </c>
      <c r="G696" s="3" t="s">
        <v>1919</v>
      </c>
      <c r="H696" s="3" t="s">
        <v>45</v>
      </c>
      <c r="I696" s="3" t="s">
        <v>32</v>
      </c>
      <c r="J696" s="3" t="s">
        <v>112</v>
      </c>
      <c r="K696" s="3" t="s">
        <v>113</v>
      </c>
      <c r="L696" s="3" t="s">
        <v>69</v>
      </c>
      <c r="M696" s="3" t="s">
        <v>420</v>
      </c>
      <c r="N696" s="3" t="s">
        <v>49</v>
      </c>
      <c r="O696" s="3" t="s">
        <v>80</v>
      </c>
      <c r="P696" s="3" t="s">
        <v>421</v>
      </c>
      <c r="Q696" s="5" t="n">
        <v>113.77</v>
      </c>
      <c r="R696" s="3" t="n">
        <v>2</v>
      </c>
      <c r="S696" s="6" t="n">
        <v>0</v>
      </c>
      <c r="T696" s="5" t="n">
        <v>18.19</v>
      </c>
      <c r="U696" s="3" t="str">
        <f aca="false">IF(T696&lt;0,"Loss",IF(T696=0,"Break-even","Profit"))</f>
        <v>Profit</v>
      </c>
      <c r="V696" s="3" t="str">
        <f aca="false">IF(Q696&lt;100,"Low",IF(Q696&lt;=500,"Medium","High"))</f>
        <v>Medium</v>
      </c>
      <c r="W696" s="3" t="n">
        <f aca="false">D696-C696</f>
        <v>4</v>
      </c>
      <c r="X696" s="3" t="str">
        <f aca="false">TEXT(C696,"mmmm")</f>
        <v>April</v>
      </c>
      <c r="Y696" s="3" t="str">
        <f aca="false">LEFT(G696,1)&amp;MID(G696,FIND(" ",G696)+1,1)</f>
        <v>MJ</v>
      </c>
    </row>
    <row r="697" customFormat="false" ht="15" hidden="false" customHeight="false" outlineLevel="0" collapsed="false">
      <c r="A697" s="3" t="n">
        <v>696</v>
      </c>
      <c r="B697" s="3" t="s">
        <v>1938</v>
      </c>
      <c r="C697" s="4" t="s">
        <v>1939</v>
      </c>
      <c r="D697" s="4" t="s">
        <v>1940</v>
      </c>
      <c r="E697" s="3" t="s">
        <v>28</v>
      </c>
      <c r="F697" s="3" t="s">
        <v>430</v>
      </c>
      <c r="G697" s="3" t="s">
        <v>431</v>
      </c>
      <c r="H697" s="3" t="s">
        <v>45</v>
      </c>
      <c r="I697" s="3" t="s">
        <v>32</v>
      </c>
      <c r="J697" s="3" t="s">
        <v>252</v>
      </c>
      <c r="K697" s="3" t="s">
        <v>172</v>
      </c>
      <c r="L697" s="3" t="s">
        <v>157</v>
      </c>
      <c r="M697" s="3" t="s">
        <v>219</v>
      </c>
      <c r="N697" s="3" t="s">
        <v>49</v>
      </c>
      <c r="O697" s="3" t="s">
        <v>220</v>
      </c>
      <c r="P697" s="3" t="s">
        <v>221</v>
      </c>
      <c r="Q697" s="5" t="n">
        <v>486.47</v>
      </c>
      <c r="R697" s="3" t="n">
        <v>6</v>
      </c>
      <c r="S697" s="6" t="n">
        <v>0.3</v>
      </c>
      <c r="T697" s="5" t="n">
        <v>56.36</v>
      </c>
      <c r="U697" s="3" t="str">
        <f aca="false">IF(T697&lt;0,"Loss",IF(T697=0,"Break-even","Profit"))</f>
        <v>Profit</v>
      </c>
      <c r="V697" s="3" t="str">
        <f aca="false">IF(Q697&lt;100,"Low",IF(Q697&lt;=500,"Medium","High"))</f>
        <v>Medium</v>
      </c>
      <c r="W697" s="3" t="n">
        <f aca="false">D697-C697</f>
        <v>3</v>
      </c>
      <c r="X697" s="3" t="str">
        <f aca="false">TEXT(C697,"mmmm")</f>
        <v>April</v>
      </c>
      <c r="Y697" s="3" t="str">
        <f aca="false">LEFT(G697,1)&amp;MID(G697,FIND(" ",G697)+1,1)</f>
        <v>SM</v>
      </c>
    </row>
    <row r="698" customFormat="false" ht="15" hidden="false" customHeight="false" outlineLevel="0" collapsed="false">
      <c r="A698" s="3" t="n">
        <v>697</v>
      </c>
      <c r="B698" s="3" t="s">
        <v>1941</v>
      </c>
      <c r="C698" s="4" t="s">
        <v>1939</v>
      </c>
      <c r="D698" s="4" t="s">
        <v>1942</v>
      </c>
      <c r="E698" s="3" t="s">
        <v>28</v>
      </c>
      <c r="F698" s="3" t="s">
        <v>1881</v>
      </c>
      <c r="G698" s="3" t="s">
        <v>1882</v>
      </c>
      <c r="H698" s="3" t="s">
        <v>56</v>
      </c>
      <c r="I698" s="3" t="s">
        <v>32</v>
      </c>
      <c r="J698" s="3" t="s">
        <v>285</v>
      </c>
      <c r="K698" s="3" t="s">
        <v>202</v>
      </c>
      <c r="L698" s="3" t="s">
        <v>35</v>
      </c>
      <c r="M698" s="3" t="s">
        <v>470</v>
      </c>
      <c r="N698" s="3" t="s">
        <v>49</v>
      </c>
      <c r="O698" s="3" t="s">
        <v>159</v>
      </c>
      <c r="P698" s="3" t="s">
        <v>471</v>
      </c>
      <c r="Q698" s="5" t="n">
        <v>406.3</v>
      </c>
      <c r="R698" s="3" t="n">
        <v>5</v>
      </c>
      <c r="S698" s="6" t="n">
        <v>0</v>
      </c>
      <c r="T698" s="5" t="n">
        <v>81.71</v>
      </c>
      <c r="U698" s="3" t="str">
        <f aca="false">IF(T698&lt;0,"Loss",IF(T698=0,"Break-even","Profit"))</f>
        <v>Profit</v>
      </c>
      <c r="V698" s="3" t="str">
        <f aca="false">IF(Q698&lt;100,"Low",IF(Q698&lt;=500,"Medium","High"))</f>
        <v>Medium</v>
      </c>
      <c r="W698" s="3" t="n">
        <f aca="false">D698-C698</f>
        <v>7</v>
      </c>
      <c r="X698" s="3" t="str">
        <f aca="false">TEXT(C698,"mmmm")</f>
        <v>April</v>
      </c>
      <c r="Y698" s="3" t="str">
        <f aca="false">LEFT(G698,1)&amp;MID(G698,FIND(" ",G698)+1,1)</f>
        <v>SD</v>
      </c>
    </row>
    <row r="699" customFormat="false" ht="15" hidden="false" customHeight="false" outlineLevel="0" collapsed="false">
      <c r="A699" s="3" t="n">
        <v>698</v>
      </c>
      <c r="B699" s="3" t="s">
        <v>1943</v>
      </c>
      <c r="C699" s="4" t="s">
        <v>1939</v>
      </c>
      <c r="D699" s="4" t="s">
        <v>1942</v>
      </c>
      <c r="E699" s="3" t="s">
        <v>28</v>
      </c>
      <c r="F699" s="3" t="s">
        <v>908</v>
      </c>
      <c r="G699" s="3" t="s">
        <v>909</v>
      </c>
      <c r="H699" s="3" t="s">
        <v>56</v>
      </c>
      <c r="I699" s="3" t="s">
        <v>32</v>
      </c>
      <c r="J699" s="3" t="s">
        <v>873</v>
      </c>
      <c r="K699" s="3" t="s">
        <v>387</v>
      </c>
      <c r="L699" s="3" t="s">
        <v>35</v>
      </c>
      <c r="M699" s="3" t="s">
        <v>195</v>
      </c>
      <c r="N699" s="3" t="s">
        <v>37</v>
      </c>
      <c r="O699" s="3" t="s">
        <v>196</v>
      </c>
      <c r="P699" s="3" t="s">
        <v>197</v>
      </c>
      <c r="Q699" s="5" t="n">
        <v>7199.14</v>
      </c>
      <c r="R699" s="3" t="n">
        <v>10</v>
      </c>
      <c r="S699" s="6" t="n">
        <v>0.1</v>
      </c>
      <c r="T699" s="5" t="n">
        <v>41.28</v>
      </c>
      <c r="U699" s="3" t="str">
        <f aca="false">IF(T699&lt;0,"Loss",IF(T699=0,"Break-even","Profit"))</f>
        <v>Profit</v>
      </c>
      <c r="V699" s="3" t="str">
        <f aca="false">IF(Q699&lt;100,"Low",IF(Q699&lt;=500,"Medium","High"))</f>
        <v>High</v>
      </c>
      <c r="W699" s="3" t="n">
        <f aca="false">D699-C699</f>
        <v>7</v>
      </c>
      <c r="X699" s="3" t="str">
        <f aca="false">TEXT(C699,"mmmm")</f>
        <v>April</v>
      </c>
      <c r="Y699" s="3" t="str">
        <f aca="false">LEFT(G699,1)&amp;MID(G699,FIND(" ",G699)+1,1)</f>
        <v>JM</v>
      </c>
    </row>
    <row r="700" customFormat="false" ht="15" hidden="false" customHeight="false" outlineLevel="0" collapsed="false">
      <c r="A700" s="3" t="n">
        <v>699</v>
      </c>
      <c r="B700" s="3" t="s">
        <v>1944</v>
      </c>
      <c r="C700" s="4" t="s">
        <v>1945</v>
      </c>
      <c r="D700" s="4" t="s">
        <v>1946</v>
      </c>
      <c r="E700" s="3" t="s">
        <v>28</v>
      </c>
      <c r="F700" s="3" t="s">
        <v>228</v>
      </c>
      <c r="G700" s="3" t="s">
        <v>229</v>
      </c>
      <c r="H700" s="3" t="s">
        <v>45</v>
      </c>
      <c r="I700" s="3" t="s">
        <v>32</v>
      </c>
      <c r="J700" s="3" t="s">
        <v>381</v>
      </c>
      <c r="K700" s="3" t="s">
        <v>58</v>
      </c>
      <c r="L700" s="3" t="s">
        <v>59</v>
      </c>
      <c r="M700" s="3" t="s">
        <v>195</v>
      </c>
      <c r="N700" s="3" t="s">
        <v>37</v>
      </c>
      <c r="O700" s="3" t="s">
        <v>196</v>
      </c>
      <c r="P700" s="3" t="s">
        <v>197</v>
      </c>
      <c r="Q700" s="5" t="n">
        <v>6886.84</v>
      </c>
      <c r="R700" s="3" t="n">
        <v>14</v>
      </c>
      <c r="S700" s="6" t="n">
        <v>0</v>
      </c>
      <c r="T700" s="5" t="n">
        <v>17.37</v>
      </c>
      <c r="U700" s="3" t="str">
        <f aca="false">IF(T700&lt;0,"Loss",IF(T700=0,"Break-even","Profit"))</f>
        <v>Profit</v>
      </c>
      <c r="V700" s="3" t="str">
        <f aca="false">IF(Q700&lt;100,"Low",IF(Q700&lt;=500,"Medium","High"))</f>
        <v>High</v>
      </c>
      <c r="W700" s="3" t="n">
        <f aca="false">D700-C700</f>
        <v>5</v>
      </c>
      <c r="X700" s="3" t="str">
        <f aca="false">TEXT(C700,"mmmm")</f>
        <v>April</v>
      </c>
      <c r="Y700" s="3" t="str">
        <f aca="false">LEFT(G700,1)&amp;MID(G700,FIND(" ",G700)+1,1)</f>
        <v>ST</v>
      </c>
    </row>
    <row r="701" customFormat="false" ht="15" hidden="false" customHeight="false" outlineLevel="0" collapsed="false">
      <c r="A701" s="3" t="n">
        <v>700</v>
      </c>
      <c r="B701" s="3" t="s">
        <v>1947</v>
      </c>
      <c r="C701" s="4" t="s">
        <v>1945</v>
      </c>
      <c r="D701" s="4" t="s">
        <v>1948</v>
      </c>
      <c r="E701" s="3" t="s">
        <v>28</v>
      </c>
      <c r="F701" s="3" t="s">
        <v>546</v>
      </c>
      <c r="G701" s="3" t="s">
        <v>547</v>
      </c>
      <c r="H701" s="3" t="s">
        <v>45</v>
      </c>
      <c r="I701" s="3" t="s">
        <v>32</v>
      </c>
      <c r="J701" s="3" t="s">
        <v>476</v>
      </c>
      <c r="K701" s="3" t="s">
        <v>366</v>
      </c>
      <c r="L701" s="3" t="s">
        <v>157</v>
      </c>
      <c r="M701" s="3" t="s">
        <v>70</v>
      </c>
      <c r="N701" s="3" t="s">
        <v>37</v>
      </c>
      <c r="O701" s="3" t="s">
        <v>71</v>
      </c>
      <c r="P701" s="3" t="s">
        <v>72</v>
      </c>
      <c r="Q701" s="5" t="n">
        <v>1769.32</v>
      </c>
      <c r="R701" s="3" t="n">
        <v>7</v>
      </c>
      <c r="S701" s="6" t="n">
        <v>0.1</v>
      </c>
      <c r="T701" s="5" t="n">
        <v>-365.56</v>
      </c>
      <c r="U701" s="3" t="str">
        <f aca="false">IF(T701&lt;0,"Loss",IF(T701=0,"Break-even","Profit"))</f>
        <v>Loss</v>
      </c>
      <c r="V701" s="3" t="str">
        <f aca="false">IF(Q701&lt;100,"Low",IF(Q701&lt;=500,"Medium","High"))</f>
        <v>High</v>
      </c>
      <c r="W701" s="3" t="n">
        <f aca="false">D701-C701</f>
        <v>7</v>
      </c>
      <c r="X701" s="3" t="str">
        <f aca="false">TEXT(C701,"mmmm")</f>
        <v>April</v>
      </c>
      <c r="Y701" s="3" t="str">
        <f aca="false">LEFT(G701,1)&amp;MID(G701,FIND(" ",G701)+1,1)</f>
        <v>DB</v>
      </c>
    </row>
    <row r="702" customFormat="false" ht="15" hidden="false" customHeight="false" outlineLevel="0" collapsed="false">
      <c r="A702" s="3" t="n">
        <v>701</v>
      </c>
      <c r="B702" s="3" t="s">
        <v>1949</v>
      </c>
      <c r="C702" s="4" t="s">
        <v>1934</v>
      </c>
      <c r="D702" s="4" t="s">
        <v>1946</v>
      </c>
      <c r="E702" s="3" t="s">
        <v>28</v>
      </c>
      <c r="F702" s="3" t="s">
        <v>1524</v>
      </c>
      <c r="G702" s="3" t="s">
        <v>1525</v>
      </c>
      <c r="H702" s="3" t="s">
        <v>45</v>
      </c>
      <c r="I702" s="3" t="s">
        <v>32</v>
      </c>
      <c r="J702" s="3" t="s">
        <v>306</v>
      </c>
      <c r="K702" s="3" t="s">
        <v>307</v>
      </c>
      <c r="L702" s="3" t="s">
        <v>69</v>
      </c>
      <c r="M702" s="3" t="s">
        <v>195</v>
      </c>
      <c r="N702" s="3" t="s">
        <v>37</v>
      </c>
      <c r="O702" s="3" t="s">
        <v>196</v>
      </c>
      <c r="P702" s="3" t="s">
        <v>197</v>
      </c>
      <c r="Q702" s="5" t="n">
        <v>11937.3</v>
      </c>
      <c r="R702" s="3" t="n">
        <v>11</v>
      </c>
      <c r="S702" s="6" t="n">
        <v>0.2</v>
      </c>
      <c r="T702" s="5" t="n">
        <v>2728.25</v>
      </c>
      <c r="U702" s="3" t="str">
        <f aca="false">IF(T702&lt;0,"Loss",IF(T702=0,"Break-even","Profit"))</f>
        <v>Profit</v>
      </c>
      <c r="V702" s="3" t="str">
        <f aca="false">IF(Q702&lt;100,"Low",IF(Q702&lt;=500,"Medium","High"))</f>
        <v>High</v>
      </c>
      <c r="W702" s="3" t="n">
        <f aca="false">D702-C702</f>
        <v>4</v>
      </c>
      <c r="X702" s="3" t="str">
        <f aca="false">TEXT(C702,"mmmm")</f>
        <v>April</v>
      </c>
      <c r="Y702" s="3" t="str">
        <f aca="false">LEFT(G702,1)&amp;MID(G702,FIND(" ",G702)+1,1)</f>
        <v>LN</v>
      </c>
    </row>
    <row r="703" customFormat="false" ht="15" hidden="false" customHeight="false" outlineLevel="0" collapsed="false">
      <c r="A703" s="3" t="n">
        <v>702</v>
      </c>
      <c r="B703" s="3" t="s">
        <v>1950</v>
      </c>
      <c r="C703" s="4" t="s">
        <v>1934</v>
      </c>
      <c r="D703" s="4" t="s">
        <v>1942</v>
      </c>
      <c r="E703" s="3" t="s">
        <v>28</v>
      </c>
      <c r="F703" s="3" t="s">
        <v>716</v>
      </c>
      <c r="G703" s="3" t="s">
        <v>717</v>
      </c>
      <c r="H703" s="3" t="s">
        <v>56</v>
      </c>
      <c r="I703" s="3" t="s">
        <v>32</v>
      </c>
      <c r="J703" s="3" t="s">
        <v>386</v>
      </c>
      <c r="K703" s="3" t="s">
        <v>387</v>
      </c>
      <c r="L703" s="3" t="s">
        <v>35</v>
      </c>
      <c r="M703" s="3" t="s">
        <v>105</v>
      </c>
      <c r="N703" s="3" t="s">
        <v>49</v>
      </c>
      <c r="O703" s="3" t="s">
        <v>106</v>
      </c>
      <c r="P703" s="3" t="s">
        <v>107</v>
      </c>
      <c r="Q703" s="5" t="n">
        <v>286.99</v>
      </c>
      <c r="R703" s="3" t="n">
        <v>11</v>
      </c>
      <c r="S703" s="6" t="n">
        <v>0.1</v>
      </c>
      <c r="T703" s="5" t="n">
        <v>58.8</v>
      </c>
      <c r="U703" s="3" t="str">
        <f aca="false">IF(T703&lt;0,"Loss",IF(T703=0,"Break-even","Profit"))</f>
        <v>Profit</v>
      </c>
      <c r="V703" s="3" t="str">
        <f aca="false">IF(Q703&lt;100,"Low",IF(Q703&lt;=500,"Medium","High"))</f>
        <v>Medium</v>
      </c>
      <c r="W703" s="3" t="n">
        <f aca="false">D703-C703</f>
        <v>5</v>
      </c>
      <c r="X703" s="3" t="str">
        <f aca="false">TEXT(C703,"mmmm")</f>
        <v>April</v>
      </c>
      <c r="Y703" s="3" t="str">
        <f aca="false">LEFT(G703,1)&amp;MID(G703,FIND(" ",G703)+1,1)</f>
        <v>WS</v>
      </c>
    </row>
    <row r="704" customFormat="false" ht="15" hidden="false" customHeight="false" outlineLevel="0" collapsed="false">
      <c r="A704" s="3" t="n">
        <v>703</v>
      </c>
      <c r="B704" s="3" t="s">
        <v>1951</v>
      </c>
      <c r="C704" s="4" t="s">
        <v>1940</v>
      </c>
      <c r="D704" s="4" t="s">
        <v>1946</v>
      </c>
      <c r="E704" s="3" t="s">
        <v>84</v>
      </c>
      <c r="F704" s="3" t="s">
        <v>1624</v>
      </c>
      <c r="G704" s="3" t="s">
        <v>1625</v>
      </c>
      <c r="H704" s="3" t="s">
        <v>56</v>
      </c>
      <c r="I704" s="3" t="s">
        <v>32</v>
      </c>
      <c r="J704" s="3" t="s">
        <v>171</v>
      </c>
      <c r="K704" s="3" t="s">
        <v>172</v>
      </c>
      <c r="L704" s="3" t="s">
        <v>157</v>
      </c>
      <c r="M704" s="3" t="s">
        <v>269</v>
      </c>
      <c r="N704" s="3" t="s">
        <v>89</v>
      </c>
      <c r="O704" s="3" t="s">
        <v>174</v>
      </c>
      <c r="P704" s="3" t="s">
        <v>270</v>
      </c>
      <c r="Q704" s="5" t="n">
        <v>467.51</v>
      </c>
      <c r="R704" s="3" t="n">
        <v>1</v>
      </c>
      <c r="S704" s="6" t="n">
        <v>0</v>
      </c>
      <c r="T704" s="5" t="n">
        <v>76.99</v>
      </c>
      <c r="U704" s="3" t="str">
        <f aca="false">IF(T704&lt;0,"Loss",IF(T704=0,"Break-even","Profit"))</f>
        <v>Profit</v>
      </c>
      <c r="V704" s="3" t="str">
        <f aca="false">IF(Q704&lt;100,"Low",IF(Q704&lt;=500,"Medium","High"))</f>
        <v>Medium</v>
      </c>
      <c r="W704" s="3" t="n">
        <f aca="false">D704-C704</f>
        <v>3</v>
      </c>
      <c r="X704" s="3" t="str">
        <f aca="false">TEXT(C704,"mmmm")</f>
        <v>April</v>
      </c>
      <c r="Y704" s="3" t="str">
        <f aca="false">LEFT(G704,1)&amp;MID(G704,FIND(" ",G704)+1,1)</f>
        <v>JD</v>
      </c>
    </row>
    <row r="705" customFormat="false" ht="15" hidden="false" customHeight="false" outlineLevel="0" collapsed="false">
      <c r="A705" s="3" t="n">
        <v>704</v>
      </c>
      <c r="B705" s="3" t="s">
        <v>1952</v>
      </c>
      <c r="C705" s="4" t="s">
        <v>1953</v>
      </c>
      <c r="D705" s="4" t="s">
        <v>1954</v>
      </c>
      <c r="E705" s="3" t="s">
        <v>28</v>
      </c>
      <c r="F705" s="3" t="s">
        <v>677</v>
      </c>
      <c r="G705" s="3" t="s">
        <v>678</v>
      </c>
      <c r="H705" s="3" t="s">
        <v>45</v>
      </c>
      <c r="I705" s="3" t="s">
        <v>32</v>
      </c>
      <c r="J705" s="3" t="s">
        <v>188</v>
      </c>
      <c r="K705" s="3" t="s">
        <v>189</v>
      </c>
      <c r="L705" s="3" t="s">
        <v>59</v>
      </c>
      <c r="M705" s="3" t="s">
        <v>135</v>
      </c>
      <c r="N705" s="3" t="s">
        <v>37</v>
      </c>
      <c r="O705" s="3" t="s">
        <v>136</v>
      </c>
      <c r="P705" s="3" t="s">
        <v>137</v>
      </c>
      <c r="Q705" s="5" t="n">
        <v>12761.75</v>
      </c>
      <c r="R705" s="3" t="n">
        <v>10</v>
      </c>
      <c r="S705" s="6" t="n">
        <v>0</v>
      </c>
      <c r="T705" s="5" t="n">
        <v>-1143.38</v>
      </c>
      <c r="U705" s="3" t="str">
        <f aca="false">IF(T705&lt;0,"Loss",IF(T705=0,"Break-even","Profit"))</f>
        <v>Loss</v>
      </c>
      <c r="V705" s="3" t="str">
        <f aca="false">IF(Q705&lt;100,"Low",IF(Q705&lt;=500,"Medium","High"))</f>
        <v>High</v>
      </c>
      <c r="W705" s="3" t="n">
        <f aca="false">D705-C705</f>
        <v>7</v>
      </c>
      <c r="X705" s="3" t="str">
        <f aca="false">TEXT(C705,"mmmm")</f>
        <v>April</v>
      </c>
      <c r="Y705" s="3" t="str">
        <f aca="false">LEFT(G705,1)&amp;MID(G705,FIND(" ",G705)+1,1)</f>
        <v>FR</v>
      </c>
    </row>
    <row r="706" customFormat="false" ht="15" hidden="false" customHeight="false" outlineLevel="0" collapsed="false">
      <c r="A706" s="3" t="n">
        <v>705</v>
      </c>
      <c r="B706" s="3" t="s">
        <v>1955</v>
      </c>
      <c r="C706" s="4" t="s">
        <v>1946</v>
      </c>
      <c r="D706" s="4" t="s">
        <v>1956</v>
      </c>
      <c r="E706" s="3" t="s">
        <v>28</v>
      </c>
      <c r="F706" s="3" t="s">
        <v>953</v>
      </c>
      <c r="G706" s="3" t="s">
        <v>954</v>
      </c>
      <c r="H706" s="3" t="s">
        <v>31</v>
      </c>
      <c r="I706" s="3" t="s">
        <v>32</v>
      </c>
      <c r="J706" s="3" t="s">
        <v>148</v>
      </c>
      <c r="K706" s="3" t="s">
        <v>78</v>
      </c>
      <c r="L706" s="3" t="s">
        <v>59</v>
      </c>
      <c r="M706" s="3" t="s">
        <v>280</v>
      </c>
      <c r="N706" s="3" t="s">
        <v>89</v>
      </c>
      <c r="O706" s="3" t="s">
        <v>166</v>
      </c>
      <c r="P706" s="3" t="s">
        <v>281</v>
      </c>
      <c r="Q706" s="5" t="n">
        <v>2318.03</v>
      </c>
      <c r="R706" s="3" t="n">
        <v>5</v>
      </c>
      <c r="S706" s="6" t="n">
        <v>0.3</v>
      </c>
      <c r="T706" s="5" t="n">
        <v>566.37</v>
      </c>
      <c r="U706" s="3" t="str">
        <f aca="false">IF(T706&lt;0,"Loss",IF(T706=0,"Break-even","Profit"))</f>
        <v>Profit</v>
      </c>
      <c r="V706" s="3" t="str">
        <f aca="false">IF(Q706&lt;100,"Low",IF(Q706&lt;=500,"Medium","High"))</f>
        <v>High</v>
      </c>
      <c r="W706" s="3" t="n">
        <f aca="false">D706-C706</f>
        <v>7</v>
      </c>
      <c r="X706" s="3" t="str">
        <f aca="false">TEXT(C706,"mmmm")</f>
        <v>May</v>
      </c>
      <c r="Y706" s="3" t="str">
        <f aca="false">LEFT(G706,1)&amp;MID(G706,FIND(" ",G706)+1,1)</f>
        <v>CB</v>
      </c>
    </row>
    <row r="707" customFormat="false" ht="15" hidden="false" customHeight="false" outlineLevel="0" collapsed="false">
      <c r="A707" s="3" t="n">
        <v>706</v>
      </c>
      <c r="B707" s="3" t="s">
        <v>1957</v>
      </c>
      <c r="C707" s="4" t="s">
        <v>1946</v>
      </c>
      <c r="D707" s="4" t="s">
        <v>1958</v>
      </c>
      <c r="E707" s="3" t="s">
        <v>84</v>
      </c>
      <c r="F707" s="3" t="s">
        <v>871</v>
      </c>
      <c r="G707" s="3" t="s">
        <v>872</v>
      </c>
      <c r="H707" s="3" t="s">
        <v>45</v>
      </c>
      <c r="I707" s="3" t="s">
        <v>32</v>
      </c>
      <c r="J707" s="3" t="s">
        <v>201</v>
      </c>
      <c r="K707" s="3" t="s">
        <v>202</v>
      </c>
      <c r="L707" s="3" t="s">
        <v>35</v>
      </c>
      <c r="M707" s="3" t="s">
        <v>219</v>
      </c>
      <c r="N707" s="3" t="s">
        <v>49</v>
      </c>
      <c r="O707" s="3" t="s">
        <v>220</v>
      </c>
      <c r="P707" s="3" t="s">
        <v>221</v>
      </c>
      <c r="Q707" s="5" t="n">
        <v>153.85</v>
      </c>
      <c r="R707" s="3" t="n">
        <v>12</v>
      </c>
      <c r="S707" s="6" t="n">
        <v>0.2</v>
      </c>
      <c r="T707" s="5" t="n">
        <v>-16.79</v>
      </c>
      <c r="U707" s="3" t="str">
        <f aca="false">IF(T707&lt;0,"Loss",IF(T707=0,"Break-even","Profit"))</f>
        <v>Loss</v>
      </c>
      <c r="V707" s="3" t="str">
        <f aca="false">IF(Q707&lt;100,"Low",IF(Q707&lt;=500,"Medium","High"))</f>
        <v>Medium</v>
      </c>
      <c r="W707" s="3" t="n">
        <f aca="false">D707-C707</f>
        <v>4</v>
      </c>
      <c r="X707" s="3" t="str">
        <f aca="false">TEXT(C707,"mmmm")</f>
        <v>May</v>
      </c>
      <c r="Y707" s="3" t="str">
        <f aca="false">LEFT(G707,1)&amp;MID(G707,FIND(" ",G707)+1,1)</f>
        <v>MM</v>
      </c>
    </row>
    <row r="708" customFormat="false" ht="15" hidden="false" customHeight="false" outlineLevel="0" collapsed="false">
      <c r="A708" s="3" t="n">
        <v>707</v>
      </c>
      <c r="B708" s="3" t="s">
        <v>1959</v>
      </c>
      <c r="C708" s="4" t="s">
        <v>1942</v>
      </c>
      <c r="D708" s="4" t="s">
        <v>1958</v>
      </c>
      <c r="E708" s="3" t="s">
        <v>28</v>
      </c>
      <c r="F708" s="3" t="s">
        <v>1459</v>
      </c>
      <c r="G708" s="3" t="s">
        <v>1460</v>
      </c>
      <c r="H708" s="3" t="s">
        <v>56</v>
      </c>
      <c r="I708" s="3" t="s">
        <v>32</v>
      </c>
      <c r="J708" s="3" t="s">
        <v>315</v>
      </c>
      <c r="K708" s="3" t="s">
        <v>58</v>
      </c>
      <c r="L708" s="3" t="s">
        <v>59</v>
      </c>
      <c r="M708" s="3" t="s">
        <v>300</v>
      </c>
      <c r="N708" s="3" t="s">
        <v>49</v>
      </c>
      <c r="O708" s="3" t="s">
        <v>143</v>
      </c>
      <c r="P708" s="3" t="s">
        <v>301</v>
      </c>
      <c r="Q708" s="5" t="n">
        <v>651.78</v>
      </c>
      <c r="R708" s="3" t="n">
        <v>10</v>
      </c>
      <c r="S708" s="6" t="n">
        <v>0.2</v>
      </c>
      <c r="T708" s="5" t="n">
        <v>15.7</v>
      </c>
      <c r="U708" s="3" t="str">
        <f aca="false">IF(T708&lt;0,"Loss",IF(T708=0,"Break-even","Profit"))</f>
        <v>Profit</v>
      </c>
      <c r="V708" s="3" t="str">
        <f aca="false">IF(Q708&lt;100,"Low",IF(Q708&lt;=500,"Medium","High"))</f>
        <v>High</v>
      </c>
      <c r="W708" s="3" t="n">
        <f aca="false">D708-C708</f>
        <v>3</v>
      </c>
      <c r="X708" s="3" t="str">
        <f aca="false">TEXT(C708,"mmmm")</f>
        <v>May</v>
      </c>
      <c r="Y708" s="3" t="str">
        <f aca="false">LEFT(G708,1)&amp;MID(G708,FIND(" ",G708)+1,1)</f>
        <v>AS</v>
      </c>
    </row>
    <row r="709" customFormat="false" ht="15" hidden="false" customHeight="false" outlineLevel="0" collapsed="false">
      <c r="A709" s="3" t="n">
        <v>708</v>
      </c>
      <c r="B709" s="3" t="s">
        <v>1824</v>
      </c>
      <c r="C709" s="4" t="s">
        <v>1942</v>
      </c>
      <c r="D709" s="4" t="s">
        <v>1960</v>
      </c>
      <c r="E709" s="3" t="s">
        <v>84</v>
      </c>
      <c r="F709" s="3" t="s">
        <v>1283</v>
      </c>
      <c r="G709" s="3" t="s">
        <v>1284</v>
      </c>
      <c r="H709" s="3" t="s">
        <v>56</v>
      </c>
      <c r="I709" s="3" t="s">
        <v>32</v>
      </c>
      <c r="J709" s="3" t="s">
        <v>243</v>
      </c>
      <c r="K709" s="3" t="s">
        <v>244</v>
      </c>
      <c r="L709" s="3" t="s">
        <v>157</v>
      </c>
      <c r="M709" s="3" t="s">
        <v>127</v>
      </c>
      <c r="N709" s="3" t="s">
        <v>49</v>
      </c>
      <c r="O709" s="3" t="s">
        <v>61</v>
      </c>
      <c r="P709" s="3" t="s">
        <v>128</v>
      </c>
      <c r="Q709" s="5" t="n">
        <v>229.54</v>
      </c>
      <c r="R709" s="3" t="n">
        <v>5</v>
      </c>
      <c r="S709" s="6" t="n">
        <v>0.3</v>
      </c>
      <c r="T709" s="5" t="n">
        <v>52.3</v>
      </c>
      <c r="U709" s="3" t="str">
        <f aca="false">IF(T709&lt;0,"Loss",IF(T709=0,"Break-even","Profit"))</f>
        <v>Profit</v>
      </c>
      <c r="V709" s="3" t="str">
        <f aca="false">IF(Q709&lt;100,"Low",IF(Q709&lt;=500,"Medium","High"))</f>
        <v>Medium</v>
      </c>
      <c r="W709" s="3" t="n">
        <f aca="false">D709-C709</f>
        <v>2</v>
      </c>
      <c r="X709" s="3" t="str">
        <f aca="false">TEXT(C709,"mmmm")</f>
        <v>May</v>
      </c>
      <c r="Y709" s="3" t="str">
        <f aca="false">LEFT(G709,1)&amp;MID(G709,FIND(" ",G709)+1,1)</f>
        <v>LK</v>
      </c>
    </row>
    <row r="710" customFormat="false" ht="15" hidden="false" customHeight="false" outlineLevel="0" collapsed="false">
      <c r="A710" s="3" t="n">
        <v>709</v>
      </c>
      <c r="B710" s="3" t="s">
        <v>1961</v>
      </c>
      <c r="C710" s="4" t="s">
        <v>1942</v>
      </c>
      <c r="D710" s="4" t="s">
        <v>1958</v>
      </c>
      <c r="E710" s="3" t="s">
        <v>28</v>
      </c>
      <c r="F710" s="3" t="s">
        <v>970</v>
      </c>
      <c r="G710" s="3" t="s">
        <v>971</v>
      </c>
      <c r="H710" s="3" t="s">
        <v>31</v>
      </c>
      <c r="I710" s="3" t="s">
        <v>32</v>
      </c>
      <c r="J710" s="3" t="s">
        <v>46</v>
      </c>
      <c r="K710" s="3" t="s">
        <v>47</v>
      </c>
      <c r="L710" s="3" t="s">
        <v>35</v>
      </c>
      <c r="M710" s="3" t="s">
        <v>219</v>
      </c>
      <c r="N710" s="3" t="s">
        <v>49</v>
      </c>
      <c r="O710" s="3" t="s">
        <v>220</v>
      </c>
      <c r="P710" s="3" t="s">
        <v>221</v>
      </c>
      <c r="Q710" s="5" t="n">
        <v>612.6</v>
      </c>
      <c r="R710" s="3" t="n">
        <v>12</v>
      </c>
      <c r="S710" s="6" t="n">
        <v>0</v>
      </c>
      <c r="T710" s="5" t="n">
        <v>53.44</v>
      </c>
      <c r="U710" s="3" t="str">
        <f aca="false">IF(T710&lt;0,"Loss",IF(T710=0,"Break-even","Profit"))</f>
        <v>Profit</v>
      </c>
      <c r="V710" s="3" t="str">
        <f aca="false">IF(Q710&lt;100,"Low",IF(Q710&lt;=500,"Medium","High"))</f>
        <v>High</v>
      </c>
      <c r="W710" s="3" t="n">
        <f aca="false">D710-C710</f>
        <v>3</v>
      </c>
      <c r="X710" s="3" t="str">
        <f aca="false">TEXT(C710,"mmmm")</f>
        <v>May</v>
      </c>
      <c r="Y710" s="3" t="str">
        <f aca="false">LEFT(G710,1)&amp;MID(G710,FIND(" ",G710)+1,1)</f>
        <v>PG</v>
      </c>
    </row>
    <row r="711" customFormat="false" ht="15" hidden="false" customHeight="false" outlineLevel="0" collapsed="false">
      <c r="A711" s="3" t="n">
        <v>710</v>
      </c>
      <c r="B711" s="3" t="s">
        <v>1962</v>
      </c>
      <c r="C711" s="4" t="s">
        <v>1948</v>
      </c>
      <c r="D711" s="4" t="s">
        <v>1956</v>
      </c>
      <c r="E711" s="3" t="s">
        <v>28</v>
      </c>
      <c r="F711" s="3" t="s">
        <v>1233</v>
      </c>
      <c r="G711" s="3" t="s">
        <v>1234</v>
      </c>
      <c r="H711" s="3" t="s">
        <v>56</v>
      </c>
      <c r="I711" s="3" t="s">
        <v>32</v>
      </c>
      <c r="J711" s="3" t="s">
        <v>133</v>
      </c>
      <c r="K711" s="3" t="s">
        <v>134</v>
      </c>
      <c r="L711" s="3" t="s">
        <v>69</v>
      </c>
      <c r="M711" s="3" t="s">
        <v>219</v>
      </c>
      <c r="N711" s="3" t="s">
        <v>49</v>
      </c>
      <c r="O711" s="3" t="s">
        <v>220</v>
      </c>
      <c r="P711" s="3" t="s">
        <v>221</v>
      </c>
      <c r="Q711" s="5" t="n">
        <v>593.11</v>
      </c>
      <c r="R711" s="3" t="n">
        <v>12</v>
      </c>
      <c r="S711" s="6" t="n">
        <v>0.1</v>
      </c>
      <c r="T711" s="5" t="n">
        <v>-137.98</v>
      </c>
      <c r="U711" s="3" t="str">
        <f aca="false">IF(T711&lt;0,"Loss",IF(T711=0,"Break-even","Profit"))</f>
        <v>Loss</v>
      </c>
      <c r="V711" s="3" t="str">
        <f aca="false">IF(Q711&lt;100,"Low",IF(Q711&lt;=500,"Medium","High"))</f>
        <v>High</v>
      </c>
      <c r="W711" s="3" t="n">
        <f aca="false">D711-C711</f>
        <v>5</v>
      </c>
      <c r="X711" s="3" t="str">
        <f aca="false">TEXT(C711,"mmmm")</f>
        <v>May</v>
      </c>
      <c r="Y711" s="3" t="str">
        <f aca="false">LEFT(G711,1)&amp;MID(G711,FIND(" ",G711)+1,1)</f>
        <v>WJ</v>
      </c>
    </row>
    <row r="712" customFormat="false" ht="15" hidden="false" customHeight="false" outlineLevel="0" collapsed="false">
      <c r="A712" s="3" t="n">
        <v>711</v>
      </c>
      <c r="B712" s="3" t="s">
        <v>1963</v>
      </c>
      <c r="C712" s="4" t="s">
        <v>1960</v>
      </c>
      <c r="D712" s="4" t="s">
        <v>1964</v>
      </c>
      <c r="E712" s="3" t="s">
        <v>28</v>
      </c>
      <c r="F712" s="3" t="s">
        <v>1288</v>
      </c>
      <c r="G712" s="3" t="s">
        <v>1289</v>
      </c>
      <c r="H712" s="3" t="s">
        <v>31</v>
      </c>
      <c r="I712" s="3" t="s">
        <v>32</v>
      </c>
      <c r="J712" s="3" t="s">
        <v>679</v>
      </c>
      <c r="K712" s="3" t="s">
        <v>202</v>
      </c>
      <c r="L712" s="3" t="s">
        <v>35</v>
      </c>
      <c r="M712" s="3" t="s">
        <v>334</v>
      </c>
      <c r="N712" s="3" t="s">
        <v>37</v>
      </c>
      <c r="O712" s="3" t="s">
        <v>136</v>
      </c>
      <c r="P712" s="3" t="s">
        <v>335</v>
      </c>
      <c r="Q712" s="5" t="n">
        <v>4404.85</v>
      </c>
      <c r="R712" s="3" t="n">
        <v>6</v>
      </c>
      <c r="S712" s="6" t="n">
        <v>0.5</v>
      </c>
      <c r="T712" s="5" t="n">
        <v>-1348.79</v>
      </c>
      <c r="U712" s="3" t="str">
        <f aca="false">IF(T712&lt;0,"Loss",IF(T712=0,"Break-even","Profit"))</f>
        <v>Loss</v>
      </c>
      <c r="V712" s="3" t="str">
        <f aca="false">IF(Q712&lt;100,"Low",IF(Q712&lt;=500,"Medium","High"))</f>
        <v>High</v>
      </c>
      <c r="W712" s="3" t="n">
        <f aca="false">D712-C712</f>
        <v>6</v>
      </c>
      <c r="X712" s="3" t="str">
        <f aca="false">TEXT(C712,"mmmm")</f>
        <v>May</v>
      </c>
      <c r="Y712" s="3" t="str">
        <f aca="false">LEFT(G712,1)&amp;MID(G712,FIND(" ",G712)+1,1)</f>
        <v>LT</v>
      </c>
    </row>
    <row r="713" customFormat="false" ht="15" hidden="false" customHeight="false" outlineLevel="0" collapsed="false">
      <c r="A713" s="3" t="n">
        <v>712</v>
      </c>
      <c r="B713" s="3" t="s">
        <v>1965</v>
      </c>
      <c r="C713" s="4" t="s">
        <v>1958</v>
      </c>
      <c r="D713" s="4" t="s">
        <v>1966</v>
      </c>
      <c r="E713" s="3" t="s">
        <v>84</v>
      </c>
      <c r="F713" s="3" t="s">
        <v>310</v>
      </c>
      <c r="G713" s="3" t="s">
        <v>311</v>
      </c>
      <c r="H713" s="3" t="s">
        <v>31</v>
      </c>
      <c r="I713" s="3" t="s">
        <v>32</v>
      </c>
      <c r="J713" s="3" t="s">
        <v>215</v>
      </c>
      <c r="K713" s="3" t="s">
        <v>34</v>
      </c>
      <c r="L713" s="3" t="s">
        <v>35</v>
      </c>
      <c r="M713" s="3" t="s">
        <v>470</v>
      </c>
      <c r="N713" s="3" t="s">
        <v>49</v>
      </c>
      <c r="O713" s="3" t="s">
        <v>159</v>
      </c>
      <c r="P713" s="3" t="s">
        <v>471</v>
      </c>
      <c r="Q713" s="5" t="n">
        <v>196.78</v>
      </c>
      <c r="R713" s="3" t="n">
        <v>10</v>
      </c>
      <c r="S713" s="6" t="n">
        <v>0.2</v>
      </c>
      <c r="T713" s="5" t="n">
        <v>21.19</v>
      </c>
      <c r="U713" s="3" t="str">
        <f aca="false">IF(T713&lt;0,"Loss",IF(T713=0,"Break-even","Profit"))</f>
        <v>Profit</v>
      </c>
      <c r="V713" s="3" t="str">
        <f aca="false">IF(Q713&lt;100,"Low",IF(Q713&lt;=500,"Medium","High"))</f>
        <v>Medium</v>
      </c>
      <c r="W713" s="3" t="n">
        <f aca="false">D713-C713</f>
        <v>2</v>
      </c>
      <c r="X713" s="3" t="str">
        <f aca="false">TEXT(C713,"mmmm")</f>
        <v>May</v>
      </c>
      <c r="Y713" s="3" t="str">
        <f aca="false">LEFT(G713,1)&amp;MID(G713,FIND(" ",G713)+1,1)</f>
        <v>FD</v>
      </c>
    </row>
    <row r="714" customFormat="false" ht="15" hidden="false" customHeight="false" outlineLevel="0" collapsed="false">
      <c r="A714" s="3" t="n">
        <v>713</v>
      </c>
      <c r="B714" s="3" t="s">
        <v>1967</v>
      </c>
      <c r="C714" s="4" t="s">
        <v>1954</v>
      </c>
      <c r="D714" s="4" t="s">
        <v>1964</v>
      </c>
      <c r="E714" s="3" t="s">
        <v>84</v>
      </c>
      <c r="F714" s="3" t="s">
        <v>1485</v>
      </c>
      <c r="G714" s="3" t="s">
        <v>1486</v>
      </c>
      <c r="H714" s="3" t="s">
        <v>31</v>
      </c>
      <c r="I714" s="3" t="s">
        <v>32</v>
      </c>
      <c r="J714" s="3" t="s">
        <v>188</v>
      </c>
      <c r="K714" s="3" t="s">
        <v>189</v>
      </c>
      <c r="L714" s="3" t="s">
        <v>59</v>
      </c>
      <c r="M714" s="3" t="s">
        <v>470</v>
      </c>
      <c r="N714" s="3" t="s">
        <v>49</v>
      </c>
      <c r="O714" s="3" t="s">
        <v>159</v>
      </c>
      <c r="P714" s="3" t="s">
        <v>471</v>
      </c>
      <c r="Q714" s="5" t="n">
        <v>199.41</v>
      </c>
      <c r="R714" s="3" t="n">
        <v>5</v>
      </c>
      <c r="S714" s="6" t="n">
        <v>0.2</v>
      </c>
      <c r="T714" s="5" t="n">
        <v>0.53</v>
      </c>
      <c r="U714" s="3" t="str">
        <f aca="false">IF(T714&lt;0,"Loss",IF(T714=0,"Break-even","Profit"))</f>
        <v>Profit</v>
      </c>
      <c r="V714" s="3" t="str">
        <f aca="false">IF(Q714&lt;100,"Low",IF(Q714&lt;=500,"Medium","High"))</f>
        <v>Medium</v>
      </c>
      <c r="W714" s="3" t="n">
        <f aca="false">D714-C714</f>
        <v>4</v>
      </c>
      <c r="X714" s="3" t="str">
        <f aca="false">TEXT(C714,"mmmm")</f>
        <v>May</v>
      </c>
      <c r="Y714" s="3" t="str">
        <f aca="false">LEFT(G714,1)&amp;MID(G714,FIND(" ",G714)+1,1)</f>
        <v>SC</v>
      </c>
    </row>
    <row r="715" customFormat="false" ht="15" hidden="false" customHeight="false" outlineLevel="0" collapsed="false">
      <c r="A715" s="3" t="n">
        <v>714</v>
      </c>
      <c r="B715" s="3" t="s">
        <v>1968</v>
      </c>
      <c r="C715" s="4" t="s">
        <v>1966</v>
      </c>
      <c r="D715" s="4" t="s">
        <v>1969</v>
      </c>
      <c r="E715" s="3" t="s">
        <v>28</v>
      </c>
      <c r="F715" s="3" t="s">
        <v>1296</v>
      </c>
      <c r="G715" s="3" t="s">
        <v>1297</v>
      </c>
      <c r="H715" s="3" t="s">
        <v>45</v>
      </c>
      <c r="I715" s="3" t="s">
        <v>32</v>
      </c>
      <c r="J715" s="3" t="s">
        <v>476</v>
      </c>
      <c r="K715" s="3" t="s">
        <v>366</v>
      </c>
      <c r="L715" s="3" t="s">
        <v>157</v>
      </c>
      <c r="M715" s="3" t="s">
        <v>79</v>
      </c>
      <c r="N715" s="3" t="s">
        <v>49</v>
      </c>
      <c r="O715" s="3" t="s">
        <v>80</v>
      </c>
      <c r="P715" s="3" t="s">
        <v>81</v>
      </c>
      <c r="Q715" s="5" t="n">
        <v>806.09</v>
      </c>
      <c r="R715" s="3" t="n">
        <v>8</v>
      </c>
      <c r="S715" s="6" t="n">
        <v>0.5</v>
      </c>
      <c r="T715" s="5" t="n">
        <v>51.74</v>
      </c>
      <c r="U715" s="3" t="str">
        <f aca="false">IF(T715&lt;0,"Loss",IF(T715=0,"Break-even","Profit"))</f>
        <v>Profit</v>
      </c>
      <c r="V715" s="3" t="str">
        <f aca="false">IF(Q715&lt;100,"Low",IF(Q715&lt;=500,"Medium","High"))</f>
        <v>High</v>
      </c>
      <c r="W715" s="3" t="n">
        <f aca="false">D715-C715</f>
        <v>6</v>
      </c>
      <c r="X715" s="3" t="str">
        <f aca="false">TEXT(C715,"mmmm")</f>
        <v>May</v>
      </c>
      <c r="Y715" s="3" t="str">
        <f aca="false">LEFT(G715,1)&amp;MID(G715,FIND(" ",G715)+1,1)</f>
        <v>JW</v>
      </c>
    </row>
    <row r="716" customFormat="false" ht="15" hidden="false" customHeight="false" outlineLevel="0" collapsed="false">
      <c r="A716" s="3" t="n">
        <v>715</v>
      </c>
      <c r="B716" s="3" t="s">
        <v>1970</v>
      </c>
      <c r="C716" s="4" t="s">
        <v>1966</v>
      </c>
      <c r="D716" s="4" t="s">
        <v>1971</v>
      </c>
      <c r="E716" s="3" t="s">
        <v>28</v>
      </c>
      <c r="F716" s="3" t="s">
        <v>169</v>
      </c>
      <c r="G716" s="3" t="s">
        <v>170</v>
      </c>
      <c r="H716" s="3" t="s">
        <v>56</v>
      </c>
      <c r="I716" s="3" t="s">
        <v>32</v>
      </c>
      <c r="J716" s="3" t="s">
        <v>476</v>
      </c>
      <c r="K716" s="3" t="s">
        <v>366</v>
      </c>
      <c r="L716" s="3" t="s">
        <v>157</v>
      </c>
      <c r="M716" s="3" t="s">
        <v>322</v>
      </c>
      <c r="N716" s="3" t="s">
        <v>89</v>
      </c>
      <c r="O716" s="3" t="s">
        <v>323</v>
      </c>
      <c r="P716" s="3" t="s">
        <v>324</v>
      </c>
      <c r="Q716" s="5" t="n">
        <v>2826.39</v>
      </c>
      <c r="R716" s="3" t="n">
        <v>11</v>
      </c>
      <c r="S716" s="6" t="n">
        <v>0</v>
      </c>
      <c r="T716" s="5" t="n">
        <v>923</v>
      </c>
      <c r="U716" s="3" t="str">
        <f aca="false">IF(T716&lt;0,"Loss",IF(T716=0,"Break-even","Profit"))</f>
        <v>Profit</v>
      </c>
      <c r="V716" s="3" t="str">
        <f aca="false">IF(Q716&lt;100,"Low",IF(Q716&lt;=500,"Medium","High"))</f>
        <v>High</v>
      </c>
      <c r="W716" s="3" t="n">
        <f aca="false">D716-C716</f>
        <v>4</v>
      </c>
      <c r="X716" s="3" t="str">
        <f aca="false">TEXT(C716,"mmmm")</f>
        <v>May</v>
      </c>
      <c r="Y716" s="3" t="str">
        <f aca="false">LEFT(G716,1)&amp;MID(G716,FIND(" ",G716)+1,1)</f>
        <v>PK</v>
      </c>
    </row>
    <row r="717" customFormat="false" ht="15" hidden="false" customHeight="false" outlineLevel="0" collapsed="false">
      <c r="A717" s="3" t="n">
        <v>716</v>
      </c>
      <c r="B717" s="3" t="s">
        <v>1972</v>
      </c>
      <c r="C717" s="4" t="s">
        <v>1973</v>
      </c>
      <c r="D717" s="4" t="s">
        <v>1974</v>
      </c>
      <c r="E717" s="3" t="s">
        <v>28</v>
      </c>
      <c r="F717" s="3" t="s">
        <v>486</v>
      </c>
      <c r="G717" s="3" t="s">
        <v>487</v>
      </c>
      <c r="H717" s="3" t="s">
        <v>56</v>
      </c>
      <c r="I717" s="3" t="s">
        <v>32</v>
      </c>
      <c r="J717" s="3" t="s">
        <v>679</v>
      </c>
      <c r="K717" s="3" t="s">
        <v>202</v>
      </c>
      <c r="L717" s="3" t="s">
        <v>35</v>
      </c>
      <c r="M717" s="3" t="s">
        <v>149</v>
      </c>
      <c r="N717" s="3" t="s">
        <v>49</v>
      </c>
      <c r="O717" s="3" t="s">
        <v>150</v>
      </c>
      <c r="P717" s="3" t="s">
        <v>151</v>
      </c>
      <c r="Q717" s="5" t="n">
        <v>266.82</v>
      </c>
      <c r="R717" s="3" t="n">
        <v>6</v>
      </c>
      <c r="S717" s="6" t="n">
        <v>0.1</v>
      </c>
      <c r="T717" s="5" t="n">
        <v>-17.33</v>
      </c>
      <c r="U717" s="3" t="str">
        <f aca="false">IF(T717&lt;0,"Loss",IF(T717=0,"Break-even","Profit"))</f>
        <v>Loss</v>
      </c>
      <c r="V717" s="3" t="str">
        <f aca="false">IF(Q717&lt;100,"Low",IF(Q717&lt;=500,"Medium","High"))</f>
        <v>Medium</v>
      </c>
      <c r="W717" s="3" t="n">
        <f aca="false">D717-C717</f>
        <v>7</v>
      </c>
      <c r="X717" s="3" t="str">
        <f aca="false">TEXT(C717,"mmmm")</f>
        <v>May</v>
      </c>
      <c r="Y717" s="3" t="str">
        <f aca="false">LEFT(G717,1)&amp;MID(G717,FIND(" ",G717)+1,1)</f>
        <v>JB</v>
      </c>
    </row>
    <row r="718" customFormat="false" ht="15" hidden="false" customHeight="false" outlineLevel="0" collapsed="false">
      <c r="A718" s="3" t="n">
        <v>717</v>
      </c>
      <c r="B718" s="3" t="s">
        <v>1975</v>
      </c>
      <c r="C718" s="4" t="s">
        <v>1964</v>
      </c>
      <c r="D718" s="4" t="s">
        <v>1976</v>
      </c>
      <c r="E718" s="3" t="s">
        <v>28</v>
      </c>
      <c r="F718" s="3" t="s">
        <v>304</v>
      </c>
      <c r="G718" s="3" t="s">
        <v>305</v>
      </c>
      <c r="H718" s="3" t="s">
        <v>56</v>
      </c>
      <c r="I718" s="3" t="s">
        <v>32</v>
      </c>
      <c r="J718" s="3" t="s">
        <v>873</v>
      </c>
      <c r="K718" s="3" t="s">
        <v>387</v>
      </c>
      <c r="L718" s="3" t="s">
        <v>35</v>
      </c>
      <c r="M718" s="3" t="s">
        <v>683</v>
      </c>
      <c r="N718" s="3" t="s">
        <v>37</v>
      </c>
      <c r="O718" s="3" t="s">
        <v>136</v>
      </c>
      <c r="P718" s="3" t="s">
        <v>684</v>
      </c>
      <c r="Q718" s="5" t="n">
        <v>4471.28</v>
      </c>
      <c r="R718" s="3" t="n">
        <v>5</v>
      </c>
      <c r="S718" s="6" t="n">
        <v>0.3</v>
      </c>
      <c r="T718" s="5" t="n">
        <v>-12.54</v>
      </c>
      <c r="U718" s="3" t="str">
        <f aca="false">IF(T718&lt;0,"Loss",IF(T718=0,"Break-even","Profit"))</f>
        <v>Loss</v>
      </c>
      <c r="V718" s="3" t="str">
        <f aca="false">IF(Q718&lt;100,"Low",IF(Q718&lt;=500,"Medium","High"))</f>
        <v>High</v>
      </c>
      <c r="W718" s="3" t="n">
        <f aca="false">D718-C718</f>
        <v>7</v>
      </c>
      <c r="X718" s="3" t="str">
        <f aca="false">TEXT(C718,"mmmm")</f>
        <v>May</v>
      </c>
      <c r="Y718" s="3" t="str">
        <f aca="false">LEFT(G718,1)&amp;MID(G718,FIND(" ",G718)+1,1)</f>
        <v>DW</v>
      </c>
    </row>
    <row r="719" customFormat="false" ht="15" hidden="false" customHeight="false" outlineLevel="0" collapsed="false">
      <c r="A719" s="3" t="n">
        <v>718</v>
      </c>
      <c r="B719" s="3" t="s">
        <v>1977</v>
      </c>
      <c r="C719" s="4" t="s">
        <v>1971</v>
      </c>
      <c r="D719" s="4" t="s">
        <v>1971</v>
      </c>
      <c r="E719" s="3" t="s">
        <v>53</v>
      </c>
      <c r="F719" s="3" t="s">
        <v>550</v>
      </c>
      <c r="G719" s="3" t="s">
        <v>1978</v>
      </c>
      <c r="H719" s="3" t="s">
        <v>56</v>
      </c>
      <c r="I719" s="3" t="s">
        <v>32</v>
      </c>
      <c r="J719" s="3" t="s">
        <v>148</v>
      </c>
      <c r="K719" s="3" t="s">
        <v>78</v>
      </c>
      <c r="L719" s="3" t="s">
        <v>59</v>
      </c>
      <c r="M719" s="3" t="s">
        <v>48</v>
      </c>
      <c r="N719" s="3" t="s">
        <v>49</v>
      </c>
      <c r="O719" s="3" t="s">
        <v>50</v>
      </c>
      <c r="P719" s="3" t="s">
        <v>51</v>
      </c>
      <c r="Q719" s="5" t="n">
        <v>303.52</v>
      </c>
      <c r="R719" s="3" t="n">
        <v>3</v>
      </c>
      <c r="S719" s="6" t="n">
        <v>0.1</v>
      </c>
      <c r="T719" s="5" t="n">
        <v>82.26</v>
      </c>
      <c r="U719" s="3" t="str">
        <f aca="false">IF(T719&lt;0,"Loss",IF(T719=0,"Break-even","Profit"))</f>
        <v>Profit</v>
      </c>
      <c r="V719" s="3" t="str">
        <f aca="false">IF(Q719&lt;100,"Low",IF(Q719&lt;=500,"Medium","High"))</f>
        <v>Medium</v>
      </c>
      <c r="W719" s="3" t="n">
        <f aca="false">D719-C719</f>
        <v>0</v>
      </c>
      <c r="X719" s="3" t="str">
        <f aca="false">TEXT(C719,"mmmm")</f>
        <v>May</v>
      </c>
      <c r="Y719" s="3" t="str">
        <f aca="false">LEFT(G719,1)&amp;MID(G719,FIND(" ",G719)+1,1)</f>
        <v>JC</v>
      </c>
    </row>
    <row r="720" customFormat="false" ht="15" hidden="false" customHeight="false" outlineLevel="0" collapsed="false">
      <c r="A720" s="3" t="n">
        <v>719</v>
      </c>
      <c r="B720" s="3" t="s">
        <v>1979</v>
      </c>
      <c r="C720" s="4" t="s">
        <v>1971</v>
      </c>
      <c r="D720" s="4" t="s">
        <v>1980</v>
      </c>
      <c r="E720" s="3" t="s">
        <v>84</v>
      </c>
      <c r="F720" s="3" t="s">
        <v>217</v>
      </c>
      <c r="G720" s="3" t="s">
        <v>218</v>
      </c>
      <c r="H720" s="3" t="s">
        <v>45</v>
      </c>
      <c r="I720" s="3" t="s">
        <v>32</v>
      </c>
      <c r="J720" s="3" t="s">
        <v>616</v>
      </c>
      <c r="K720" s="3" t="s">
        <v>156</v>
      </c>
      <c r="L720" s="3" t="s">
        <v>157</v>
      </c>
      <c r="M720" s="3" t="s">
        <v>225</v>
      </c>
      <c r="N720" s="3" t="s">
        <v>37</v>
      </c>
      <c r="O720" s="3" t="s">
        <v>196</v>
      </c>
      <c r="P720" s="3" t="s">
        <v>226</v>
      </c>
      <c r="Q720" s="5" t="n">
        <v>14762.13</v>
      </c>
      <c r="R720" s="3" t="n">
        <v>12</v>
      </c>
      <c r="S720" s="6" t="n">
        <v>0.1</v>
      </c>
      <c r="T720" s="5" t="n">
        <v>1279.24</v>
      </c>
      <c r="U720" s="3" t="str">
        <f aca="false">IF(T720&lt;0,"Loss",IF(T720=0,"Break-even","Profit"))</f>
        <v>Profit</v>
      </c>
      <c r="V720" s="3" t="str">
        <f aca="false">IF(Q720&lt;100,"Low",IF(Q720&lt;=500,"Medium","High"))</f>
        <v>High</v>
      </c>
      <c r="W720" s="3" t="n">
        <f aca="false">D720-C720</f>
        <v>3</v>
      </c>
      <c r="X720" s="3" t="str">
        <f aca="false">TEXT(C720,"mmmm")</f>
        <v>May</v>
      </c>
      <c r="Y720" s="3" t="str">
        <f aca="false">LEFT(G720,1)&amp;MID(G720,FIND(" ",G720)+1,1)</f>
        <v>SM</v>
      </c>
    </row>
    <row r="721" customFormat="false" ht="15" hidden="false" customHeight="false" outlineLevel="0" collapsed="false">
      <c r="A721" s="3" t="n">
        <v>720</v>
      </c>
      <c r="B721" s="3" t="s">
        <v>1981</v>
      </c>
      <c r="C721" s="4" t="s">
        <v>1971</v>
      </c>
      <c r="D721" s="4" t="s">
        <v>1980</v>
      </c>
      <c r="E721" s="3" t="s">
        <v>28</v>
      </c>
      <c r="F721" s="3" t="s">
        <v>1031</v>
      </c>
      <c r="G721" s="3" t="s">
        <v>1032</v>
      </c>
      <c r="H721" s="3" t="s">
        <v>56</v>
      </c>
      <c r="I721" s="3" t="s">
        <v>32</v>
      </c>
      <c r="J721" s="3" t="s">
        <v>243</v>
      </c>
      <c r="K721" s="3" t="s">
        <v>244</v>
      </c>
      <c r="L721" s="3" t="s">
        <v>157</v>
      </c>
      <c r="M721" s="3" t="s">
        <v>209</v>
      </c>
      <c r="N721" s="3" t="s">
        <v>49</v>
      </c>
      <c r="O721" s="3" t="s">
        <v>106</v>
      </c>
      <c r="P721" s="3" t="s">
        <v>210</v>
      </c>
      <c r="Q721" s="5" t="n">
        <v>486.39</v>
      </c>
      <c r="R721" s="3" t="n">
        <v>7</v>
      </c>
      <c r="S721" s="6" t="n">
        <v>0.3</v>
      </c>
      <c r="T721" s="5" t="n">
        <v>77.97</v>
      </c>
      <c r="U721" s="3" t="str">
        <f aca="false">IF(T721&lt;0,"Loss",IF(T721=0,"Break-even","Profit"))</f>
        <v>Profit</v>
      </c>
      <c r="V721" s="3" t="str">
        <f aca="false">IF(Q721&lt;100,"Low",IF(Q721&lt;=500,"Medium","High"))</f>
        <v>Medium</v>
      </c>
      <c r="W721" s="3" t="n">
        <f aca="false">D721-C721</f>
        <v>3</v>
      </c>
      <c r="X721" s="3" t="str">
        <f aca="false">TEXT(C721,"mmmm")</f>
        <v>May</v>
      </c>
      <c r="Y721" s="3" t="str">
        <f aca="false">LEFT(G721,1)&amp;MID(G721,FIND(" ",G721)+1,1)</f>
        <v>CS</v>
      </c>
    </row>
    <row r="722" customFormat="false" ht="15" hidden="false" customHeight="false" outlineLevel="0" collapsed="false">
      <c r="A722" s="3" t="n">
        <v>721</v>
      </c>
      <c r="B722" s="3" t="s">
        <v>1982</v>
      </c>
      <c r="C722" s="4" t="s">
        <v>1983</v>
      </c>
      <c r="D722" s="4" t="s">
        <v>1980</v>
      </c>
      <c r="E722" s="3" t="s">
        <v>42</v>
      </c>
      <c r="F722" s="3" t="s">
        <v>507</v>
      </c>
      <c r="G722" s="3" t="s">
        <v>508</v>
      </c>
      <c r="H722" s="3" t="s">
        <v>45</v>
      </c>
      <c r="I722" s="3" t="s">
        <v>32</v>
      </c>
      <c r="J722" s="3" t="s">
        <v>365</v>
      </c>
      <c r="K722" s="3" t="s">
        <v>366</v>
      </c>
      <c r="L722" s="3" t="s">
        <v>157</v>
      </c>
      <c r="M722" s="3" t="s">
        <v>280</v>
      </c>
      <c r="N722" s="3" t="s">
        <v>89</v>
      </c>
      <c r="O722" s="3" t="s">
        <v>166</v>
      </c>
      <c r="P722" s="3" t="s">
        <v>281</v>
      </c>
      <c r="Q722" s="5" t="n">
        <v>547.22</v>
      </c>
      <c r="R722" s="3" t="n">
        <v>11</v>
      </c>
      <c r="S722" s="6" t="n">
        <v>0.4</v>
      </c>
      <c r="T722" s="5" t="n">
        <v>-0.82</v>
      </c>
      <c r="U722" s="3" t="str">
        <f aca="false">IF(T722&lt;0,"Loss",IF(T722=0,"Break-even","Profit"))</f>
        <v>Loss</v>
      </c>
      <c r="V722" s="3" t="str">
        <f aca="false">IF(Q722&lt;100,"Low",IF(Q722&lt;=500,"Medium","High"))</f>
        <v>High</v>
      </c>
      <c r="W722" s="3" t="n">
        <f aca="false">D722-C722</f>
        <v>2</v>
      </c>
      <c r="X722" s="3" t="str">
        <f aca="false">TEXT(C722,"mmmm")</f>
        <v>May</v>
      </c>
      <c r="Y722" s="3" t="str">
        <f aca="false">LEFT(G722,1)&amp;MID(G722,FIND(" ",G722)+1,1)</f>
        <v>LS</v>
      </c>
    </row>
    <row r="723" customFormat="false" ht="15" hidden="false" customHeight="false" outlineLevel="0" collapsed="false">
      <c r="A723" s="3" t="n">
        <v>722</v>
      </c>
      <c r="B723" s="3" t="s">
        <v>1984</v>
      </c>
      <c r="C723" s="4" t="s">
        <v>1969</v>
      </c>
      <c r="D723" s="4" t="s">
        <v>1985</v>
      </c>
      <c r="E723" s="3" t="s">
        <v>28</v>
      </c>
      <c r="F723" s="3" t="s">
        <v>1986</v>
      </c>
      <c r="G723" s="3" t="s">
        <v>1987</v>
      </c>
      <c r="H723" s="3" t="s">
        <v>31</v>
      </c>
      <c r="I723" s="3" t="s">
        <v>32</v>
      </c>
      <c r="J723" s="3" t="s">
        <v>386</v>
      </c>
      <c r="K723" s="3" t="s">
        <v>387</v>
      </c>
      <c r="L723" s="3" t="s">
        <v>35</v>
      </c>
      <c r="M723" s="3" t="s">
        <v>269</v>
      </c>
      <c r="N723" s="3" t="s">
        <v>89</v>
      </c>
      <c r="O723" s="3" t="s">
        <v>174</v>
      </c>
      <c r="P723" s="3" t="s">
        <v>270</v>
      </c>
      <c r="Q723" s="5" t="n">
        <v>616.15</v>
      </c>
      <c r="R723" s="3" t="n">
        <v>11</v>
      </c>
      <c r="S723" s="6" t="n">
        <v>0</v>
      </c>
      <c r="T723" s="5" t="n">
        <v>-122.34</v>
      </c>
      <c r="U723" s="3" t="str">
        <f aca="false">IF(T723&lt;0,"Loss",IF(T723=0,"Break-even","Profit"))</f>
        <v>Loss</v>
      </c>
      <c r="V723" s="3" t="str">
        <f aca="false">IF(Q723&lt;100,"Low",IF(Q723&lt;=500,"Medium","High"))</f>
        <v>High</v>
      </c>
      <c r="W723" s="3" t="n">
        <f aca="false">D723-C723</f>
        <v>7</v>
      </c>
      <c r="X723" s="3" t="str">
        <f aca="false">TEXT(C723,"mmmm")</f>
        <v>May</v>
      </c>
      <c r="Y723" s="3" t="str">
        <f aca="false">LEFT(G723,1)&amp;MID(G723,FIND(" ",G723)+1,1)</f>
        <v>OM</v>
      </c>
    </row>
    <row r="724" customFormat="false" ht="15" hidden="false" customHeight="false" outlineLevel="0" collapsed="false">
      <c r="A724" s="3" t="n">
        <v>723</v>
      </c>
      <c r="B724" s="3" t="s">
        <v>1988</v>
      </c>
      <c r="C724" s="4" t="s">
        <v>1980</v>
      </c>
      <c r="D724" s="4" t="s">
        <v>1980</v>
      </c>
      <c r="E724" s="3" t="s">
        <v>53</v>
      </c>
      <c r="F724" s="3" t="s">
        <v>1306</v>
      </c>
      <c r="G724" s="3" t="s">
        <v>1307</v>
      </c>
      <c r="H724" s="3" t="s">
        <v>56</v>
      </c>
      <c r="I724" s="3" t="s">
        <v>32</v>
      </c>
      <c r="J724" s="3" t="s">
        <v>315</v>
      </c>
      <c r="K724" s="3" t="s">
        <v>58</v>
      </c>
      <c r="L724" s="3" t="s">
        <v>59</v>
      </c>
      <c r="M724" s="3" t="s">
        <v>253</v>
      </c>
      <c r="N724" s="3" t="s">
        <v>89</v>
      </c>
      <c r="O724" s="3" t="s">
        <v>90</v>
      </c>
      <c r="P724" s="3" t="s">
        <v>254</v>
      </c>
      <c r="Q724" s="5" t="n">
        <v>5226.36</v>
      </c>
      <c r="R724" s="3" t="n">
        <v>8</v>
      </c>
      <c r="S724" s="6" t="n">
        <v>0</v>
      </c>
      <c r="T724" s="5" t="n">
        <v>743.12</v>
      </c>
      <c r="U724" s="3" t="str">
        <f aca="false">IF(T724&lt;0,"Loss",IF(T724=0,"Break-even","Profit"))</f>
        <v>Profit</v>
      </c>
      <c r="V724" s="3" t="str">
        <f aca="false">IF(Q724&lt;100,"Low",IF(Q724&lt;=500,"Medium","High"))</f>
        <v>High</v>
      </c>
      <c r="W724" s="3" t="n">
        <f aca="false">D724-C724</f>
        <v>0</v>
      </c>
      <c r="X724" s="3" t="str">
        <f aca="false">TEXT(C724,"mmmm")</f>
        <v>May</v>
      </c>
      <c r="Y724" s="3" t="str">
        <f aca="false">LEFT(G724,1)&amp;MID(G724,FIND(" ",G724)+1,1)</f>
        <v>PD</v>
      </c>
    </row>
    <row r="725" customFormat="false" ht="15" hidden="false" customHeight="false" outlineLevel="0" collapsed="false">
      <c r="A725" s="3" t="n">
        <v>724</v>
      </c>
      <c r="B725" s="3" t="s">
        <v>1989</v>
      </c>
      <c r="C725" s="4" t="s">
        <v>1980</v>
      </c>
      <c r="D725" s="4" t="s">
        <v>1990</v>
      </c>
      <c r="E725" s="3" t="s">
        <v>28</v>
      </c>
      <c r="F725" s="3" t="s">
        <v>445</v>
      </c>
      <c r="G725" s="3" t="s">
        <v>446</v>
      </c>
      <c r="H725" s="3" t="s">
        <v>45</v>
      </c>
      <c r="I725" s="3" t="s">
        <v>32</v>
      </c>
      <c r="J725" s="3" t="s">
        <v>171</v>
      </c>
      <c r="K725" s="3" t="s">
        <v>172</v>
      </c>
      <c r="L725" s="3" t="s">
        <v>157</v>
      </c>
      <c r="M725" s="3" t="s">
        <v>269</v>
      </c>
      <c r="N725" s="3" t="s">
        <v>89</v>
      </c>
      <c r="O725" s="3" t="s">
        <v>174</v>
      </c>
      <c r="P725" s="3" t="s">
        <v>270</v>
      </c>
      <c r="Q725" s="5" t="n">
        <v>3158.99</v>
      </c>
      <c r="R725" s="3" t="n">
        <v>13</v>
      </c>
      <c r="S725" s="6" t="n">
        <v>0</v>
      </c>
      <c r="T725" s="5" t="n">
        <v>596.17</v>
      </c>
      <c r="U725" s="3" t="str">
        <f aca="false">IF(T725&lt;0,"Loss",IF(T725=0,"Break-even","Profit"))</f>
        <v>Profit</v>
      </c>
      <c r="V725" s="3" t="str">
        <f aca="false">IF(Q725&lt;100,"Low",IF(Q725&lt;=500,"Medium","High"))</f>
        <v>High</v>
      </c>
      <c r="W725" s="3" t="n">
        <f aca="false">D725-C725</f>
        <v>7</v>
      </c>
      <c r="X725" s="3" t="str">
        <f aca="false">TEXT(C725,"mmmm")</f>
        <v>May</v>
      </c>
      <c r="Y725" s="3" t="str">
        <f aca="false">LEFT(G725,1)&amp;MID(G725,FIND(" ",G725)+1,1)</f>
        <v>JN</v>
      </c>
    </row>
    <row r="726" customFormat="false" ht="15" hidden="false" customHeight="false" outlineLevel="0" collapsed="false">
      <c r="A726" s="3" t="n">
        <v>725</v>
      </c>
      <c r="B726" s="3" t="s">
        <v>1991</v>
      </c>
      <c r="C726" s="4" t="s">
        <v>1976</v>
      </c>
      <c r="D726" s="4" t="s">
        <v>1992</v>
      </c>
      <c r="E726" s="3" t="s">
        <v>28</v>
      </c>
      <c r="F726" s="3" t="s">
        <v>1670</v>
      </c>
      <c r="G726" s="3" t="s">
        <v>1671</v>
      </c>
      <c r="H726" s="3" t="s">
        <v>56</v>
      </c>
      <c r="I726" s="3" t="s">
        <v>32</v>
      </c>
      <c r="J726" s="3" t="s">
        <v>77</v>
      </c>
      <c r="K726" s="3" t="s">
        <v>78</v>
      </c>
      <c r="L726" s="3" t="s">
        <v>59</v>
      </c>
      <c r="M726" s="3" t="s">
        <v>158</v>
      </c>
      <c r="N726" s="3" t="s">
        <v>49</v>
      </c>
      <c r="O726" s="3" t="s">
        <v>159</v>
      </c>
      <c r="P726" s="3" t="s">
        <v>160</v>
      </c>
      <c r="Q726" s="5" t="n">
        <v>197.92</v>
      </c>
      <c r="R726" s="3" t="n">
        <v>3</v>
      </c>
      <c r="S726" s="6" t="n">
        <v>0</v>
      </c>
      <c r="T726" s="5" t="n">
        <v>-45.46</v>
      </c>
      <c r="U726" s="3" t="str">
        <f aca="false">IF(T726&lt;0,"Loss",IF(T726=0,"Break-even","Profit"))</f>
        <v>Loss</v>
      </c>
      <c r="V726" s="3" t="str">
        <f aca="false">IF(Q726&lt;100,"Low",IF(Q726&lt;=500,"Medium","High"))</f>
        <v>Medium</v>
      </c>
      <c r="W726" s="3" t="n">
        <f aca="false">D726-C726</f>
        <v>6</v>
      </c>
      <c r="X726" s="3" t="str">
        <f aca="false">TEXT(C726,"mmmm")</f>
        <v>May</v>
      </c>
      <c r="Y726" s="3" t="str">
        <f aca="false">LEFT(G726,1)&amp;MID(G726,FIND(" ",G726)+1,1)</f>
        <v>FS</v>
      </c>
    </row>
    <row r="727" customFormat="false" ht="15" hidden="false" customHeight="false" outlineLevel="0" collapsed="false">
      <c r="A727" s="3" t="n">
        <v>726</v>
      </c>
      <c r="B727" s="3" t="s">
        <v>1993</v>
      </c>
      <c r="C727" s="4" t="s">
        <v>1994</v>
      </c>
      <c r="D727" s="4" t="s">
        <v>1992</v>
      </c>
      <c r="E727" s="3" t="s">
        <v>28</v>
      </c>
      <c r="F727" s="3" t="s">
        <v>283</v>
      </c>
      <c r="G727" s="3" t="s">
        <v>284</v>
      </c>
      <c r="H727" s="3" t="s">
        <v>56</v>
      </c>
      <c r="I727" s="3" t="s">
        <v>32</v>
      </c>
      <c r="J727" s="3" t="s">
        <v>285</v>
      </c>
      <c r="K727" s="3" t="s">
        <v>202</v>
      </c>
      <c r="L727" s="3" t="s">
        <v>35</v>
      </c>
      <c r="M727" s="3" t="s">
        <v>158</v>
      </c>
      <c r="N727" s="3" t="s">
        <v>49</v>
      </c>
      <c r="O727" s="3" t="s">
        <v>159</v>
      </c>
      <c r="P727" s="3" t="s">
        <v>160</v>
      </c>
      <c r="Q727" s="5" t="n">
        <v>1309.9</v>
      </c>
      <c r="R727" s="3" t="n">
        <v>13</v>
      </c>
      <c r="S727" s="6" t="n">
        <v>0.5</v>
      </c>
      <c r="T727" s="5" t="n">
        <v>-110.91</v>
      </c>
      <c r="U727" s="3" t="str">
        <f aca="false">IF(T727&lt;0,"Loss",IF(T727=0,"Break-even","Profit"))</f>
        <v>Loss</v>
      </c>
      <c r="V727" s="3" t="str">
        <f aca="false">IF(Q727&lt;100,"Low",IF(Q727&lt;=500,"Medium","High"))</f>
        <v>High</v>
      </c>
      <c r="W727" s="3" t="n">
        <f aca="false">D727-C727</f>
        <v>5</v>
      </c>
      <c r="X727" s="3" t="str">
        <f aca="false">TEXT(C727,"mmmm")</f>
        <v>May</v>
      </c>
      <c r="Y727" s="3" t="str">
        <f aca="false">LEFT(G727,1)&amp;MID(G727,FIND(" ",G727)+1,1)</f>
        <v>OS</v>
      </c>
    </row>
    <row r="728" customFormat="false" ht="15" hidden="false" customHeight="false" outlineLevel="0" collapsed="false">
      <c r="A728" s="3" t="n">
        <v>727</v>
      </c>
      <c r="B728" s="3" t="s">
        <v>1995</v>
      </c>
      <c r="C728" s="4" t="s">
        <v>1994</v>
      </c>
      <c r="D728" s="4" t="s">
        <v>1996</v>
      </c>
      <c r="E728" s="3" t="s">
        <v>28</v>
      </c>
      <c r="F728" s="3" t="s">
        <v>1997</v>
      </c>
      <c r="G728" s="3" t="s">
        <v>1998</v>
      </c>
      <c r="H728" s="3" t="s">
        <v>45</v>
      </c>
      <c r="I728" s="3" t="s">
        <v>32</v>
      </c>
      <c r="J728" s="3" t="s">
        <v>67</v>
      </c>
      <c r="K728" s="3" t="s">
        <v>68</v>
      </c>
      <c r="L728" s="3" t="s">
        <v>69</v>
      </c>
      <c r="M728" s="3" t="s">
        <v>447</v>
      </c>
      <c r="N728" s="3" t="s">
        <v>89</v>
      </c>
      <c r="O728" s="3" t="s">
        <v>323</v>
      </c>
      <c r="P728" s="3" t="s">
        <v>448</v>
      </c>
      <c r="Q728" s="5" t="n">
        <v>298.96</v>
      </c>
      <c r="R728" s="3" t="n">
        <v>7</v>
      </c>
      <c r="S728" s="6" t="n">
        <v>0.1</v>
      </c>
      <c r="T728" s="5" t="n">
        <v>-12.97</v>
      </c>
      <c r="U728" s="3" t="str">
        <f aca="false">IF(T728&lt;0,"Loss",IF(T728=0,"Break-even","Profit"))</f>
        <v>Loss</v>
      </c>
      <c r="V728" s="3" t="str">
        <f aca="false">IF(Q728&lt;100,"Low",IF(Q728&lt;=500,"Medium","High"))</f>
        <v>Medium</v>
      </c>
      <c r="W728" s="3" t="n">
        <f aca="false">D728-C728</f>
        <v>4</v>
      </c>
      <c r="X728" s="3" t="str">
        <f aca="false">TEXT(C728,"mmmm")</f>
        <v>May</v>
      </c>
      <c r="Y728" s="3" t="str">
        <f aca="false">LEFT(G728,1)&amp;MID(G728,FIND(" ",G728)+1,1)</f>
        <v>AC</v>
      </c>
    </row>
    <row r="729" customFormat="false" ht="15" hidden="false" customHeight="false" outlineLevel="0" collapsed="false">
      <c r="A729" s="3" t="n">
        <v>728</v>
      </c>
      <c r="B729" s="3" t="s">
        <v>1999</v>
      </c>
      <c r="C729" s="4" t="s">
        <v>2000</v>
      </c>
      <c r="D729" s="4" t="s">
        <v>1990</v>
      </c>
      <c r="E729" s="3" t="s">
        <v>42</v>
      </c>
      <c r="F729" s="3" t="s">
        <v>1350</v>
      </c>
      <c r="G729" s="3" t="s">
        <v>1351</v>
      </c>
      <c r="H729" s="3" t="s">
        <v>56</v>
      </c>
      <c r="I729" s="3" t="s">
        <v>32</v>
      </c>
      <c r="J729" s="3" t="s">
        <v>77</v>
      </c>
      <c r="K729" s="3" t="s">
        <v>78</v>
      </c>
      <c r="L729" s="3" t="s">
        <v>59</v>
      </c>
      <c r="M729" s="3" t="s">
        <v>195</v>
      </c>
      <c r="N729" s="3" t="s">
        <v>37</v>
      </c>
      <c r="O729" s="3" t="s">
        <v>196</v>
      </c>
      <c r="P729" s="3" t="s">
        <v>197</v>
      </c>
      <c r="Q729" s="5" t="n">
        <v>18979.39</v>
      </c>
      <c r="R729" s="3" t="n">
        <v>12</v>
      </c>
      <c r="S729" s="6" t="n">
        <v>0.2</v>
      </c>
      <c r="T729" s="5" t="n">
        <v>3051.44</v>
      </c>
      <c r="U729" s="3" t="str">
        <f aca="false">IF(T729&lt;0,"Loss",IF(T729=0,"Break-even","Profit"))</f>
        <v>Profit</v>
      </c>
      <c r="V729" s="3" t="str">
        <f aca="false">IF(Q729&lt;100,"Low",IF(Q729&lt;=500,"Medium","High"))</f>
        <v>High</v>
      </c>
      <c r="W729" s="3" t="n">
        <f aca="false">D729-C729</f>
        <v>2</v>
      </c>
      <c r="X729" s="3" t="str">
        <f aca="false">TEXT(C729,"mmmm")</f>
        <v>May</v>
      </c>
      <c r="Y729" s="3" t="str">
        <f aca="false">LEFT(G729,1)&amp;MID(G729,FIND(" ",G729)+1,1)</f>
        <v>JB</v>
      </c>
    </row>
    <row r="730" customFormat="false" ht="15" hidden="false" customHeight="false" outlineLevel="0" collapsed="false">
      <c r="A730" s="3" t="n">
        <v>729</v>
      </c>
      <c r="B730" s="3" t="s">
        <v>2001</v>
      </c>
      <c r="C730" s="4" t="s">
        <v>1985</v>
      </c>
      <c r="D730" s="4" t="s">
        <v>1996</v>
      </c>
      <c r="E730" s="3" t="s">
        <v>42</v>
      </c>
      <c r="F730" s="3" t="s">
        <v>1020</v>
      </c>
      <c r="G730" s="3" t="s">
        <v>1021</v>
      </c>
      <c r="H730" s="3" t="s">
        <v>45</v>
      </c>
      <c r="I730" s="3" t="s">
        <v>32</v>
      </c>
      <c r="J730" s="3" t="s">
        <v>188</v>
      </c>
      <c r="K730" s="3" t="s">
        <v>189</v>
      </c>
      <c r="L730" s="3" t="s">
        <v>59</v>
      </c>
      <c r="M730" s="3" t="s">
        <v>470</v>
      </c>
      <c r="N730" s="3" t="s">
        <v>49</v>
      </c>
      <c r="O730" s="3" t="s">
        <v>159</v>
      </c>
      <c r="P730" s="3" t="s">
        <v>471</v>
      </c>
      <c r="Q730" s="5" t="n">
        <v>333.71</v>
      </c>
      <c r="R730" s="3" t="n">
        <v>5</v>
      </c>
      <c r="S730" s="6" t="n">
        <v>0.4</v>
      </c>
      <c r="T730" s="5" t="n">
        <v>53.03</v>
      </c>
      <c r="U730" s="3" t="str">
        <f aca="false">IF(T730&lt;0,"Loss",IF(T730=0,"Break-even","Profit"))</f>
        <v>Profit</v>
      </c>
      <c r="V730" s="3" t="str">
        <f aca="false">IF(Q730&lt;100,"Low",IF(Q730&lt;=500,"Medium","High"))</f>
        <v>Medium</v>
      </c>
      <c r="W730" s="3" t="n">
        <f aca="false">D730-C730</f>
        <v>2</v>
      </c>
      <c r="X730" s="3" t="str">
        <f aca="false">TEXT(C730,"mmmm")</f>
        <v>May</v>
      </c>
      <c r="Y730" s="3" t="str">
        <f aca="false">LEFT(G730,1)&amp;MID(G730,FIND(" ",G730)+1,1)</f>
        <v>LK</v>
      </c>
    </row>
    <row r="731" customFormat="false" ht="15" hidden="false" customHeight="false" outlineLevel="0" collapsed="false">
      <c r="A731" s="3" t="n">
        <v>730</v>
      </c>
      <c r="B731" s="3" t="s">
        <v>1648</v>
      </c>
      <c r="C731" s="4" t="s">
        <v>1985</v>
      </c>
      <c r="D731" s="4" t="s">
        <v>2002</v>
      </c>
      <c r="E731" s="3" t="s">
        <v>28</v>
      </c>
      <c r="F731" s="3" t="s">
        <v>934</v>
      </c>
      <c r="G731" s="3" t="s">
        <v>935</v>
      </c>
      <c r="H731" s="3" t="s">
        <v>56</v>
      </c>
      <c r="I731" s="3" t="s">
        <v>32</v>
      </c>
      <c r="J731" s="3" t="s">
        <v>133</v>
      </c>
      <c r="K731" s="3" t="s">
        <v>134</v>
      </c>
      <c r="L731" s="3" t="s">
        <v>69</v>
      </c>
      <c r="M731" s="3" t="s">
        <v>195</v>
      </c>
      <c r="N731" s="3" t="s">
        <v>37</v>
      </c>
      <c r="O731" s="3" t="s">
        <v>196</v>
      </c>
      <c r="P731" s="3" t="s">
        <v>197</v>
      </c>
      <c r="Q731" s="5" t="n">
        <v>6380.17</v>
      </c>
      <c r="R731" s="3" t="n">
        <v>12</v>
      </c>
      <c r="S731" s="6" t="n">
        <v>0</v>
      </c>
      <c r="T731" s="5" t="n">
        <v>805.6</v>
      </c>
      <c r="U731" s="3" t="str">
        <f aca="false">IF(T731&lt;0,"Loss",IF(T731=0,"Break-even","Profit"))</f>
        <v>Profit</v>
      </c>
      <c r="V731" s="3" t="str">
        <f aca="false">IF(Q731&lt;100,"Low",IF(Q731&lt;=500,"Medium","High"))</f>
        <v>High</v>
      </c>
      <c r="W731" s="3" t="n">
        <f aca="false">D731-C731</f>
        <v>6</v>
      </c>
      <c r="X731" s="3" t="str">
        <f aca="false">TEXT(C731,"mmmm")</f>
        <v>May</v>
      </c>
      <c r="Y731" s="3" t="str">
        <f aca="false">LEFT(G731,1)&amp;MID(G731,FIND(" ",G731)+1,1)</f>
        <v>PN</v>
      </c>
    </row>
    <row r="732" customFormat="false" ht="15" hidden="false" customHeight="false" outlineLevel="0" collapsed="false">
      <c r="A732" s="3" t="n">
        <v>731</v>
      </c>
      <c r="B732" s="3" t="s">
        <v>2003</v>
      </c>
      <c r="C732" s="4" t="s">
        <v>1985</v>
      </c>
      <c r="D732" s="4" t="s">
        <v>1996</v>
      </c>
      <c r="E732" s="3" t="s">
        <v>84</v>
      </c>
      <c r="F732" s="3" t="s">
        <v>1348</v>
      </c>
      <c r="G732" s="3" t="s">
        <v>1349</v>
      </c>
      <c r="H732" s="3" t="s">
        <v>31</v>
      </c>
      <c r="I732" s="3" t="s">
        <v>32</v>
      </c>
      <c r="J732" s="3" t="s">
        <v>33</v>
      </c>
      <c r="K732" s="3" t="s">
        <v>34</v>
      </c>
      <c r="L732" s="3" t="s">
        <v>35</v>
      </c>
      <c r="M732" s="3" t="s">
        <v>237</v>
      </c>
      <c r="N732" s="3" t="s">
        <v>49</v>
      </c>
      <c r="O732" s="3" t="s">
        <v>220</v>
      </c>
      <c r="P732" s="3" t="s">
        <v>238</v>
      </c>
      <c r="Q732" s="5" t="n">
        <v>1135.79</v>
      </c>
      <c r="R732" s="3" t="n">
        <v>14</v>
      </c>
      <c r="S732" s="6" t="n">
        <v>0.1</v>
      </c>
      <c r="T732" s="5" t="n">
        <v>297.57</v>
      </c>
      <c r="U732" s="3" t="str">
        <f aca="false">IF(T732&lt;0,"Loss",IF(T732=0,"Break-even","Profit"))</f>
        <v>Profit</v>
      </c>
      <c r="V732" s="3" t="str">
        <f aca="false">IF(Q732&lt;100,"Low",IF(Q732&lt;=500,"Medium","High"))</f>
        <v>High</v>
      </c>
      <c r="W732" s="3" t="n">
        <f aca="false">D732-C732</f>
        <v>2</v>
      </c>
      <c r="X732" s="3" t="str">
        <f aca="false">TEXT(C732,"mmmm")</f>
        <v>May</v>
      </c>
      <c r="Y732" s="3" t="str">
        <f aca="false">LEFT(G732,1)&amp;MID(G732,FIND(" ",G732)+1,1)</f>
        <v>AG</v>
      </c>
    </row>
    <row r="733" customFormat="false" ht="15" hidden="false" customHeight="false" outlineLevel="0" collapsed="false">
      <c r="A733" s="3" t="n">
        <v>732</v>
      </c>
      <c r="B733" s="3" t="s">
        <v>2004</v>
      </c>
      <c r="C733" s="4" t="s">
        <v>1990</v>
      </c>
      <c r="D733" s="4" t="s">
        <v>2005</v>
      </c>
      <c r="E733" s="3" t="s">
        <v>28</v>
      </c>
      <c r="F733" s="3" t="s">
        <v>932</v>
      </c>
      <c r="G733" s="3" t="s">
        <v>933</v>
      </c>
      <c r="H733" s="3" t="s">
        <v>45</v>
      </c>
      <c r="I733" s="3" t="s">
        <v>32</v>
      </c>
      <c r="J733" s="3" t="s">
        <v>104</v>
      </c>
      <c r="K733" s="3" t="s">
        <v>96</v>
      </c>
      <c r="L733" s="3" t="s">
        <v>59</v>
      </c>
      <c r="M733" s="3" t="s">
        <v>114</v>
      </c>
      <c r="N733" s="3" t="s">
        <v>49</v>
      </c>
      <c r="O733" s="3" t="s">
        <v>61</v>
      </c>
      <c r="P733" s="3" t="s">
        <v>115</v>
      </c>
      <c r="Q733" s="5" t="n">
        <v>116.17</v>
      </c>
      <c r="R733" s="3" t="n">
        <v>14</v>
      </c>
      <c r="S733" s="6" t="n">
        <v>0</v>
      </c>
      <c r="T733" s="5" t="n">
        <v>5.06</v>
      </c>
      <c r="U733" s="3" t="str">
        <f aca="false">IF(T733&lt;0,"Loss",IF(T733=0,"Break-even","Profit"))</f>
        <v>Profit</v>
      </c>
      <c r="V733" s="3" t="str">
        <f aca="false">IF(Q733&lt;100,"Low",IF(Q733&lt;=500,"Medium","High"))</f>
        <v>Medium</v>
      </c>
      <c r="W733" s="3" t="n">
        <f aca="false">D733-C733</f>
        <v>4</v>
      </c>
      <c r="X733" s="3" t="str">
        <f aca="false">TEXT(C733,"mmmm")</f>
        <v>May</v>
      </c>
      <c r="Y733" s="3" t="str">
        <f aca="false">LEFT(G733,1)&amp;MID(G733,FIND(" ",G733)+1,1)</f>
        <v>LM</v>
      </c>
    </row>
    <row r="734" customFormat="false" ht="15" hidden="false" customHeight="false" outlineLevel="0" collapsed="false">
      <c r="A734" s="3" t="n">
        <v>733</v>
      </c>
      <c r="B734" s="3" t="s">
        <v>2006</v>
      </c>
      <c r="C734" s="4" t="s">
        <v>1996</v>
      </c>
      <c r="D734" s="4" t="s">
        <v>2005</v>
      </c>
      <c r="E734" s="3" t="s">
        <v>28</v>
      </c>
      <c r="F734" s="3" t="s">
        <v>393</v>
      </c>
      <c r="G734" s="3" t="s">
        <v>394</v>
      </c>
      <c r="H734" s="3" t="s">
        <v>56</v>
      </c>
      <c r="I734" s="3" t="s">
        <v>32</v>
      </c>
      <c r="J734" s="3" t="s">
        <v>188</v>
      </c>
      <c r="K734" s="3" t="s">
        <v>189</v>
      </c>
      <c r="L734" s="3" t="s">
        <v>59</v>
      </c>
      <c r="M734" s="3" t="s">
        <v>195</v>
      </c>
      <c r="N734" s="3" t="s">
        <v>37</v>
      </c>
      <c r="O734" s="3" t="s">
        <v>196</v>
      </c>
      <c r="P734" s="3" t="s">
        <v>197</v>
      </c>
      <c r="Q734" s="5" t="n">
        <v>523.13</v>
      </c>
      <c r="R734" s="3" t="n">
        <v>1</v>
      </c>
      <c r="S734" s="6" t="n">
        <v>0</v>
      </c>
      <c r="T734" s="5" t="n">
        <v>111.95</v>
      </c>
      <c r="U734" s="3" t="str">
        <f aca="false">IF(T734&lt;0,"Loss",IF(T734=0,"Break-even","Profit"))</f>
        <v>Profit</v>
      </c>
      <c r="V734" s="3" t="str">
        <f aca="false">IF(Q734&lt;100,"Low",IF(Q734&lt;=500,"Medium","High"))</f>
        <v>High</v>
      </c>
      <c r="W734" s="3" t="n">
        <f aca="false">D734-C734</f>
        <v>3</v>
      </c>
      <c r="X734" s="3" t="str">
        <f aca="false">TEXT(C734,"mmmm")</f>
        <v>May</v>
      </c>
      <c r="Y734" s="3" t="str">
        <f aca="false">LEFT(G734,1)&amp;MID(G734,FIND(" ",G734)+1,1)</f>
        <v>LD</v>
      </c>
    </row>
    <row r="735" customFormat="false" ht="15" hidden="false" customHeight="false" outlineLevel="0" collapsed="false">
      <c r="A735" s="3" t="n">
        <v>734</v>
      </c>
      <c r="B735" s="3" t="s">
        <v>2007</v>
      </c>
      <c r="C735" s="4" t="s">
        <v>1996</v>
      </c>
      <c r="D735" s="4" t="s">
        <v>2008</v>
      </c>
      <c r="E735" s="3" t="s">
        <v>28</v>
      </c>
      <c r="F735" s="3" t="s">
        <v>483</v>
      </c>
      <c r="G735" s="3" t="s">
        <v>484</v>
      </c>
      <c r="H735" s="3" t="s">
        <v>56</v>
      </c>
      <c r="I735" s="3" t="s">
        <v>32</v>
      </c>
      <c r="J735" s="3" t="s">
        <v>873</v>
      </c>
      <c r="K735" s="3" t="s">
        <v>387</v>
      </c>
      <c r="L735" s="3" t="s">
        <v>35</v>
      </c>
      <c r="M735" s="3" t="s">
        <v>300</v>
      </c>
      <c r="N735" s="3" t="s">
        <v>49</v>
      </c>
      <c r="O735" s="3" t="s">
        <v>143</v>
      </c>
      <c r="P735" s="3" t="s">
        <v>301</v>
      </c>
      <c r="Q735" s="5" t="n">
        <v>1065.37</v>
      </c>
      <c r="R735" s="3" t="n">
        <v>12</v>
      </c>
      <c r="S735" s="6" t="n">
        <v>0</v>
      </c>
      <c r="T735" s="5" t="n">
        <v>-136.73</v>
      </c>
      <c r="U735" s="3" t="str">
        <f aca="false">IF(T735&lt;0,"Loss",IF(T735=0,"Break-even","Profit"))</f>
        <v>Loss</v>
      </c>
      <c r="V735" s="3" t="str">
        <f aca="false">IF(Q735&lt;100,"Low",IF(Q735&lt;=500,"Medium","High"))</f>
        <v>High</v>
      </c>
      <c r="W735" s="3" t="n">
        <f aca="false">D735-C735</f>
        <v>5</v>
      </c>
      <c r="X735" s="3" t="str">
        <f aca="false">TEXT(C735,"mmmm")</f>
        <v>May</v>
      </c>
      <c r="Y735" s="3" t="str">
        <f aca="false">LEFT(G735,1)&amp;MID(G735,FIND(" ",G735)+1,1)</f>
        <v>MS</v>
      </c>
    </row>
    <row r="736" customFormat="false" ht="15" hidden="false" customHeight="false" outlineLevel="0" collapsed="false">
      <c r="A736" s="3" t="n">
        <v>735</v>
      </c>
      <c r="B736" s="3" t="s">
        <v>2009</v>
      </c>
      <c r="C736" s="4" t="s">
        <v>2010</v>
      </c>
      <c r="D736" s="4" t="s">
        <v>2010</v>
      </c>
      <c r="E736" s="3" t="s">
        <v>53</v>
      </c>
      <c r="F736" s="3" t="s">
        <v>1206</v>
      </c>
      <c r="G736" s="3" t="s">
        <v>1207</v>
      </c>
      <c r="H736" s="3" t="s">
        <v>45</v>
      </c>
      <c r="I736" s="3" t="s">
        <v>32</v>
      </c>
      <c r="J736" s="3" t="s">
        <v>873</v>
      </c>
      <c r="K736" s="3" t="s">
        <v>387</v>
      </c>
      <c r="L736" s="3" t="s">
        <v>35</v>
      </c>
      <c r="M736" s="3" t="s">
        <v>420</v>
      </c>
      <c r="N736" s="3" t="s">
        <v>49</v>
      </c>
      <c r="O736" s="3" t="s">
        <v>80</v>
      </c>
      <c r="P736" s="3" t="s">
        <v>421</v>
      </c>
      <c r="Q736" s="5" t="n">
        <v>159.5</v>
      </c>
      <c r="R736" s="3" t="n">
        <v>8</v>
      </c>
      <c r="S736" s="6" t="n">
        <v>0.5</v>
      </c>
      <c r="T736" s="5" t="n">
        <v>34.77</v>
      </c>
      <c r="U736" s="3" t="str">
        <f aca="false">IF(T736&lt;0,"Loss",IF(T736=0,"Break-even","Profit"))</f>
        <v>Profit</v>
      </c>
      <c r="V736" s="3" t="str">
        <f aca="false">IF(Q736&lt;100,"Low",IF(Q736&lt;=500,"Medium","High"))</f>
        <v>Medium</v>
      </c>
      <c r="W736" s="3" t="n">
        <f aca="false">D736-C736</f>
        <v>0</v>
      </c>
      <c r="X736" s="3" t="str">
        <f aca="false">TEXT(C736,"mmmm")</f>
        <v>May</v>
      </c>
      <c r="Y736" s="3" t="str">
        <f aca="false">LEFT(G736,1)&amp;MID(G736,FIND(" ",G736)+1,1)</f>
        <v>LN</v>
      </c>
    </row>
    <row r="737" customFormat="false" ht="15" hidden="false" customHeight="false" outlineLevel="0" collapsed="false">
      <c r="A737" s="3" t="n">
        <v>736</v>
      </c>
      <c r="B737" s="3" t="s">
        <v>2011</v>
      </c>
      <c r="C737" s="4" t="s">
        <v>2005</v>
      </c>
      <c r="D737" s="4" t="s">
        <v>2008</v>
      </c>
      <c r="E737" s="3" t="s">
        <v>42</v>
      </c>
      <c r="F737" s="3" t="s">
        <v>1243</v>
      </c>
      <c r="G737" s="3" t="s">
        <v>1244</v>
      </c>
      <c r="H737" s="3" t="s">
        <v>56</v>
      </c>
      <c r="I737" s="3" t="s">
        <v>32</v>
      </c>
      <c r="J737" s="3" t="s">
        <v>285</v>
      </c>
      <c r="K737" s="3" t="s">
        <v>202</v>
      </c>
      <c r="L737" s="3" t="s">
        <v>35</v>
      </c>
      <c r="M737" s="3" t="s">
        <v>190</v>
      </c>
      <c r="N737" s="3" t="s">
        <v>49</v>
      </c>
      <c r="O737" s="3" t="s">
        <v>150</v>
      </c>
      <c r="P737" s="3" t="s">
        <v>191</v>
      </c>
      <c r="Q737" s="5" t="n">
        <v>527.25</v>
      </c>
      <c r="R737" s="3" t="n">
        <v>10</v>
      </c>
      <c r="S737" s="6" t="n">
        <v>0.4</v>
      </c>
      <c r="T737" s="5" t="n">
        <v>-85.33</v>
      </c>
      <c r="U737" s="3" t="str">
        <f aca="false">IF(T737&lt;0,"Loss",IF(T737=0,"Break-even","Profit"))</f>
        <v>Loss</v>
      </c>
      <c r="V737" s="3" t="str">
        <f aca="false">IF(Q737&lt;100,"Low",IF(Q737&lt;=500,"Medium","High"))</f>
        <v>High</v>
      </c>
      <c r="W737" s="3" t="n">
        <f aca="false">D737-C737</f>
        <v>2</v>
      </c>
      <c r="X737" s="3" t="str">
        <f aca="false">TEXT(C737,"mmmm")</f>
        <v>May</v>
      </c>
      <c r="Y737" s="3" t="str">
        <f aca="false">LEFT(G737,1)&amp;MID(G737,FIND(" ",G737)+1,1)</f>
        <v>SS</v>
      </c>
    </row>
    <row r="738" customFormat="false" ht="15" hidden="false" customHeight="false" outlineLevel="0" collapsed="false">
      <c r="A738" s="3" t="n">
        <v>737</v>
      </c>
      <c r="B738" s="3" t="s">
        <v>2012</v>
      </c>
      <c r="C738" s="4" t="s">
        <v>2002</v>
      </c>
      <c r="D738" s="4" t="s">
        <v>2013</v>
      </c>
      <c r="E738" s="3" t="s">
        <v>28</v>
      </c>
      <c r="F738" s="3" t="s">
        <v>1775</v>
      </c>
      <c r="G738" s="3" t="s">
        <v>1776</v>
      </c>
      <c r="H738" s="3" t="s">
        <v>56</v>
      </c>
      <c r="I738" s="3" t="s">
        <v>32</v>
      </c>
      <c r="J738" s="3" t="s">
        <v>873</v>
      </c>
      <c r="K738" s="3" t="s">
        <v>387</v>
      </c>
      <c r="L738" s="3" t="s">
        <v>35</v>
      </c>
      <c r="M738" s="3" t="s">
        <v>280</v>
      </c>
      <c r="N738" s="3" t="s">
        <v>89</v>
      </c>
      <c r="O738" s="3" t="s">
        <v>166</v>
      </c>
      <c r="P738" s="3" t="s">
        <v>281</v>
      </c>
      <c r="Q738" s="5" t="n">
        <v>833.27</v>
      </c>
      <c r="R738" s="3" t="n">
        <v>4</v>
      </c>
      <c r="S738" s="6" t="n">
        <v>0</v>
      </c>
      <c r="T738" s="5" t="n">
        <v>162.73</v>
      </c>
      <c r="U738" s="3" t="str">
        <f aca="false">IF(T738&lt;0,"Loss",IF(T738=0,"Break-even","Profit"))</f>
        <v>Profit</v>
      </c>
      <c r="V738" s="3" t="str">
        <f aca="false">IF(Q738&lt;100,"Low",IF(Q738&lt;=500,"Medium","High"))</f>
        <v>High</v>
      </c>
      <c r="W738" s="3" t="n">
        <f aca="false">D738-C738</f>
        <v>5</v>
      </c>
      <c r="X738" s="3" t="str">
        <f aca="false">TEXT(C738,"mmmm")</f>
        <v>May</v>
      </c>
      <c r="Y738" s="3" t="str">
        <f aca="false">LEFT(G738,1)&amp;MID(G738,FIND(" ",G738)+1,1)</f>
        <v>LA</v>
      </c>
    </row>
    <row r="739" customFormat="false" ht="15" hidden="false" customHeight="false" outlineLevel="0" collapsed="false">
      <c r="A739" s="3" t="n">
        <v>738</v>
      </c>
      <c r="B739" s="3" t="s">
        <v>1961</v>
      </c>
      <c r="C739" s="4" t="s">
        <v>2013</v>
      </c>
      <c r="D739" s="4" t="s">
        <v>2014</v>
      </c>
      <c r="E739" s="3" t="s">
        <v>28</v>
      </c>
      <c r="F739" s="3" t="s">
        <v>1330</v>
      </c>
      <c r="G739" s="3" t="s">
        <v>1331</v>
      </c>
      <c r="H739" s="3" t="s">
        <v>56</v>
      </c>
      <c r="I739" s="3" t="s">
        <v>32</v>
      </c>
      <c r="J739" s="3" t="s">
        <v>33</v>
      </c>
      <c r="K739" s="3" t="s">
        <v>34</v>
      </c>
      <c r="L739" s="3" t="s">
        <v>35</v>
      </c>
      <c r="M739" s="3" t="s">
        <v>105</v>
      </c>
      <c r="N739" s="3" t="s">
        <v>49</v>
      </c>
      <c r="O739" s="3" t="s">
        <v>106</v>
      </c>
      <c r="P739" s="3" t="s">
        <v>107</v>
      </c>
      <c r="Q739" s="5" t="n">
        <v>35.12</v>
      </c>
      <c r="R739" s="3" t="n">
        <v>2</v>
      </c>
      <c r="S739" s="6" t="n">
        <v>0.1</v>
      </c>
      <c r="T739" s="5" t="n">
        <v>0.24</v>
      </c>
      <c r="U739" s="3" t="str">
        <f aca="false">IF(T739&lt;0,"Loss",IF(T739=0,"Break-even","Profit"))</f>
        <v>Profit</v>
      </c>
      <c r="V739" s="3" t="str">
        <f aca="false">IF(Q739&lt;100,"Low",IF(Q739&lt;=500,"Medium","High"))</f>
        <v>Low</v>
      </c>
      <c r="W739" s="3" t="n">
        <f aca="false">D739-C739</f>
        <v>3</v>
      </c>
      <c r="X739" s="3" t="str">
        <f aca="false">TEXT(C739,"mmmm")</f>
        <v>June</v>
      </c>
      <c r="Y739" s="3" t="str">
        <f aca="false">LEFT(G739,1)&amp;MID(G739,FIND(" ",G739)+1,1)</f>
        <v>JR</v>
      </c>
    </row>
    <row r="740" customFormat="false" ht="15" hidden="false" customHeight="false" outlineLevel="0" collapsed="false">
      <c r="A740" s="3" t="n">
        <v>739</v>
      </c>
      <c r="B740" s="3" t="s">
        <v>2015</v>
      </c>
      <c r="C740" s="4" t="s">
        <v>2013</v>
      </c>
      <c r="D740" s="4" t="s">
        <v>2014</v>
      </c>
      <c r="E740" s="3" t="s">
        <v>84</v>
      </c>
      <c r="F740" s="3" t="s">
        <v>163</v>
      </c>
      <c r="G740" s="3" t="s">
        <v>164</v>
      </c>
      <c r="H740" s="3" t="s">
        <v>45</v>
      </c>
      <c r="I740" s="3" t="s">
        <v>32</v>
      </c>
      <c r="J740" s="3" t="s">
        <v>148</v>
      </c>
      <c r="K740" s="3" t="s">
        <v>78</v>
      </c>
      <c r="L740" s="3" t="s">
        <v>59</v>
      </c>
      <c r="M740" s="3" t="s">
        <v>105</v>
      </c>
      <c r="N740" s="3" t="s">
        <v>49</v>
      </c>
      <c r="O740" s="3" t="s">
        <v>106</v>
      </c>
      <c r="P740" s="3" t="s">
        <v>107</v>
      </c>
      <c r="Q740" s="5" t="n">
        <v>113.06</v>
      </c>
      <c r="R740" s="3" t="n">
        <v>10</v>
      </c>
      <c r="S740" s="6" t="n">
        <v>0.2</v>
      </c>
      <c r="T740" s="5" t="n">
        <v>-8.71</v>
      </c>
      <c r="U740" s="3" t="str">
        <f aca="false">IF(T740&lt;0,"Loss",IF(T740=0,"Break-even","Profit"))</f>
        <v>Loss</v>
      </c>
      <c r="V740" s="3" t="str">
        <f aca="false">IF(Q740&lt;100,"Low",IF(Q740&lt;=500,"Medium","High"))</f>
        <v>Medium</v>
      </c>
      <c r="W740" s="3" t="n">
        <f aca="false">D740-C740</f>
        <v>3</v>
      </c>
      <c r="X740" s="3" t="str">
        <f aca="false">TEXT(C740,"mmmm")</f>
        <v>June</v>
      </c>
      <c r="Y740" s="3" t="str">
        <f aca="false">LEFT(G740,1)&amp;MID(G740,FIND(" ",G740)+1,1)</f>
        <v>PA</v>
      </c>
    </row>
    <row r="741" customFormat="false" ht="15" hidden="false" customHeight="false" outlineLevel="0" collapsed="false">
      <c r="A741" s="3" t="n">
        <v>740</v>
      </c>
      <c r="B741" s="3" t="s">
        <v>2016</v>
      </c>
      <c r="C741" s="4" t="s">
        <v>2017</v>
      </c>
      <c r="D741" s="4" t="s">
        <v>2018</v>
      </c>
      <c r="E741" s="3" t="s">
        <v>28</v>
      </c>
      <c r="F741" s="3" t="s">
        <v>131</v>
      </c>
      <c r="G741" s="3" t="s">
        <v>132</v>
      </c>
      <c r="H741" s="3" t="s">
        <v>56</v>
      </c>
      <c r="I741" s="3" t="s">
        <v>32</v>
      </c>
      <c r="J741" s="3" t="s">
        <v>95</v>
      </c>
      <c r="K741" s="3" t="s">
        <v>96</v>
      </c>
      <c r="L741" s="3" t="s">
        <v>59</v>
      </c>
      <c r="M741" s="3" t="s">
        <v>121</v>
      </c>
      <c r="N741" s="3" t="s">
        <v>49</v>
      </c>
      <c r="O741" s="3" t="s">
        <v>50</v>
      </c>
      <c r="P741" s="3" t="s">
        <v>122</v>
      </c>
      <c r="Q741" s="5" t="n">
        <v>212.04</v>
      </c>
      <c r="R741" s="3" t="n">
        <v>14</v>
      </c>
      <c r="S741" s="6" t="n">
        <v>0</v>
      </c>
      <c r="T741" s="5" t="n">
        <v>37.69</v>
      </c>
      <c r="U741" s="3" t="str">
        <f aca="false">IF(T741&lt;0,"Loss",IF(T741=0,"Break-even","Profit"))</f>
        <v>Profit</v>
      </c>
      <c r="V741" s="3" t="str">
        <f aca="false">IF(Q741&lt;100,"Low",IF(Q741&lt;=500,"Medium","High"))</f>
        <v>Medium</v>
      </c>
      <c r="W741" s="3" t="n">
        <f aca="false">D741-C741</f>
        <v>3</v>
      </c>
      <c r="X741" s="3" t="str">
        <f aca="false">TEXT(C741,"mmmm")</f>
        <v>June</v>
      </c>
      <c r="Y741" s="3" t="str">
        <f aca="false">LEFT(G741,1)&amp;MID(G741,FIND(" ",G741)+1,1)</f>
        <v>JM</v>
      </c>
    </row>
    <row r="742" customFormat="false" ht="15" hidden="false" customHeight="false" outlineLevel="0" collapsed="false">
      <c r="A742" s="3" t="n">
        <v>741</v>
      </c>
      <c r="B742" s="3" t="s">
        <v>2019</v>
      </c>
      <c r="C742" s="4" t="s">
        <v>2017</v>
      </c>
      <c r="D742" s="4" t="s">
        <v>2020</v>
      </c>
      <c r="E742" s="3" t="s">
        <v>28</v>
      </c>
      <c r="F742" s="3" t="s">
        <v>1456</v>
      </c>
      <c r="G742" s="3" t="s">
        <v>1457</v>
      </c>
      <c r="H742" s="3" t="s">
        <v>56</v>
      </c>
      <c r="I742" s="3" t="s">
        <v>32</v>
      </c>
      <c r="J742" s="3" t="s">
        <v>188</v>
      </c>
      <c r="K742" s="3" t="s">
        <v>189</v>
      </c>
      <c r="L742" s="3" t="s">
        <v>59</v>
      </c>
      <c r="M742" s="3" t="s">
        <v>121</v>
      </c>
      <c r="N742" s="3" t="s">
        <v>49</v>
      </c>
      <c r="O742" s="3" t="s">
        <v>50</v>
      </c>
      <c r="P742" s="3" t="s">
        <v>122</v>
      </c>
      <c r="Q742" s="5" t="n">
        <v>23.59</v>
      </c>
      <c r="R742" s="3" t="n">
        <v>5</v>
      </c>
      <c r="S742" s="6" t="n">
        <v>0.3</v>
      </c>
      <c r="T742" s="5" t="n">
        <v>-3.35</v>
      </c>
      <c r="U742" s="3" t="str">
        <f aca="false">IF(T742&lt;0,"Loss",IF(T742=0,"Break-even","Profit"))</f>
        <v>Loss</v>
      </c>
      <c r="V742" s="3" t="str">
        <f aca="false">IF(Q742&lt;100,"Low",IF(Q742&lt;=500,"Medium","High"))</f>
        <v>Low</v>
      </c>
      <c r="W742" s="3" t="n">
        <f aca="false">D742-C742</f>
        <v>6</v>
      </c>
      <c r="X742" s="3" t="str">
        <f aca="false">TEXT(C742,"mmmm")</f>
        <v>June</v>
      </c>
      <c r="Y742" s="3" t="str">
        <f aca="false">LEFT(G742,1)&amp;MID(G742,FIND(" ",G742)+1,1)</f>
        <v>LB</v>
      </c>
    </row>
    <row r="743" customFormat="false" ht="15" hidden="false" customHeight="false" outlineLevel="0" collapsed="false">
      <c r="A743" s="3" t="n">
        <v>742</v>
      </c>
      <c r="B743" s="3" t="s">
        <v>2021</v>
      </c>
      <c r="C743" s="4" t="s">
        <v>2017</v>
      </c>
      <c r="D743" s="4" t="s">
        <v>2022</v>
      </c>
      <c r="E743" s="3" t="s">
        <v>28</v>
      </c>
      <c r="F743" s="3" t="s">
        <v>527</v>
      </c>
      <c r="G743" s="3" t="s">
        <v>528</v>
      </c>
      <c r="H743" s="3" t="s">
        <v>45</v>
      </c>
      <c r="I743" s="3" t="s">
        <v>32</v>
      </c>
      <c r="J743" s="3" t="s">
        <v>171</v>
      </c>
      <c r="K743" s="3" t="s">
        <v>172</v>
      </c>
      <c r="L743" s="3" t="s">
        <v>157</v>
      </c>
      <c r="M743" s="3" t="s">
        <v>48</v>
      </c>
      <c r="N743" s="3" t="s">
        <v>49</v>
      </c>
      <c r="O743" s="3" t="s">
        <v>50</v>
      </c>
      <c r="P743" s="3" t="s">
        <v>51</v>
      </c>
      <c r="Q743" s="5" t="n">
        <v>645.87</v>
      </c>
      <c r="R743" s="3" t="n">
        <v>8</v>
      </c>
      <c r="S743" s="6" t="n">
        <v>0</v>
      </c>
      <c r="T743" s="5" t="n">
        <v>-53.03</v>
      </c>
      <c r="U743" s="3" t="str">
        <f aca="false">IF(T743&lt;0,"Loss",IF(T743=0,"Break-even","Profit"))</f>
        <v>Loss</v>
      </c>
      <c r="V743" s="3" t="str">
        <f aca="false">IF(Q743&lt;100,"Low",IF(Q743&lt;=500,"Medium","High"))</f>
        <v>High</v>
      </c>
      <c r="W743" s="3" t="n">
        <f aca="false">D743-C743</f>
        <v>7</v>
      </c>
      <c r="X743" s="3" t="str">
        <f aca="false">TEXT(C743,"mmmm")</f>
        <v>June</v>
      </c>
      <c r="Y743" s="3" t="str">
        <f aca="false">LEFT(G743,1)&amp;MID(G743,FIND(" ",G743)+1,1)</f>
        <v>CC</v>
      </c>
    </row>
    <row r="744" customFormat="false" ht="15" hidden="false" customHeight="false" outlineLevel="0" collapsed="false">
      <c r="A744" s="3" t="n">
        <v>743</v>
      </c>
      <c r="B744" s="3" t="s">
        <v>2023</v>
      </c>
      <c r="C744" s="4" t="s">
        <v>2024</v>
      </c>
      <c r="D744" s="4" t="s">
        <v>2025</v>
      </c>
      <c r="E744" s="3" t="s">
        <v>28</v>
      </c>
      <c r="F744" s="3" t="s">
        <v>2026</v>
      </c>
      <c r="G744" s="3" t="s">
        <v>2027</v>
      </c>
      <c r="H744" s="3" t="s">
        <v>56</v>
      </c>
      <c r="I744" s="3" t="s">
        <v>32</v>
      </c>
      <c r="J744" s="3" t="s">
        <v>215</v>
      </c>
      <c r="K744" s="3" t="s">
        <v>34</v>
      </c>
      <c r="L744" s="3" t="s">
        <v>35</v>
      </c>
      <c r="M744" s="3" t="s">
        <v>447</v>
      </c>
      <c r="N744" s="3" t="s">
        <v>89</v>
      </c>
      <c r="O744" s="3" t="s">
        <v>323</v>
      </c>
      <c r="P744" s="3" t="s">
        <v>448</v>
      </c>
      <c r="Q744" s="5" t="n">
        <v>2664.13</v>
      </c>
      <c r="R744" s="3" t="n">
        <v>4</v>
      </c>
      <c r="S744" s="6" t="n">
        <v>0.1</v>
      </c>
      <c r="T744" s="5" t="n">
        <v>131.04</v>
      </c>
      <c r="U744" s="3" t="str">
        <f aca="false">IF(T744&lt;0,"Loss",IF(T744=0,"Break-even","Profit"))</f>
        <v>Profit</v>
      </c>
      <c r="V744" s="3" t="str">
        <f aca="false">IF(Q744&lt;100,"Low",IF(Q744&lt;=500,"Medium","High"))</f>
        <v>High</v>
      </c>
      <c r="W744" s="3" t="n">
        <f aca="false">D744-C744</f>
        <v>3</v>
      </c>
      <c r="X744" s="3" t="str">
        <f aca="false">TEXT(C744,"mmmm")</f>
        <v>June</v>
      </c>
      <c r="Y744" s="3" t="str">
        <f aca="false">LEFT(G744,1)&amp;MID(G744,FIND(" ",G744)+1,1)</f>
        <v>MM</v>
      </c>
    </row>
    <row r="745" customFormat="false" ht="15" hidden="false" customHeight="false" outlineLevel="0" collapsed="false">
      <c r="A745" s="3" t="n">
        <v>744</v>
      </c>
      <c r="B745" s="3" t="s">
        <v>2028</v>
      </c>
      <c r="C745" s="4" t="s">
        <v>2018</v>
      </c>
      <c r="D745" s="4" t="s">
        <v>2025</v>
      </c>
      <c r="E745" s="3" t="s">
        <v>42</v>
      </c>
      <c r="F745" s="3" t="s">
        <v>518</v>
      </c>
      <c r="G745" s="3" t="s">
        <v>519</v>
      </c>
      <c r="H745" s="3" t="s">
        <v>56</v>
      </c>
      <c r="I745" s="3" t="s">
        <v>32</v>
      </c>
      <c r="J745" s="3" t="s">
        <v>112</v>
      </c>
      <c r="K745" s="3" t="s">
        <v>113</v>
      </c>
      <c r="L745" s="3" t="s">
        <v>69</v>
      </c>
      <c r="M745" s="3" t="s">
        <v>219</v>
      </c>
      <c r="N745" s="3" t="s">
        <v>49</v>
      </c>
      <c r="O745" s="3" t="s">
        <v>220</v>
      </c>
      <c r="P745" s="3" t="s">
        <v>221</v>
      </c>
      <c r="Q745" s="5" t="n">
        <v>56.03</v>
      </c>
      <c r="R745" s="3" t="n">
        <v>1</v>
      </c>
      <c r="S745" s="6" t="n">
        <v>0</v>
      </c>
      <c r="T745" s="5" t="n">
        <v>-2.35</v>
      </c>
      <c r="U745" s="3" t="str">
        <f aca="false">IF(T745&lt;0,"Loss",IF(T745=0,"Break-even","Profit"))</f>
        <v>Loss</v>
      </c>
      <c r="V745" s="3" t="str">
        <f aca="false">IF(Q745&lt;100,"Low",IF(Q745&lt;=500,"Medium","High"))</f>
        <v>Low</v>
      </c>
      <c r="W745" s="3" t="n">
        <f aca="false">D745-C745</f>
        <v>1</v>
      </c>
      <c r="X745" s="3" t="str">
        <f aca="false">TEXT(C745,"mmmm")</f>
        <v>June</v>
      </c>
      <c r="Y745" s="3" t="str">
        <f aca="false">LEFT(G745,1)&amp;MID(G745,FIND(" ",G745)+1,1)</f>
        <v>RW</v>
      </c>
    </row>
    <row r="746" customFormat="false" ht="15" hidden="false" customHeight="false" outlineLevel="0" collapsed="false">
      <c r="A746" s="3" t="n">
        <v>745</v>
      </c>
      <c r="B746" s="3" t="s">
        <v>2029</v>
      </c>
      <c r="C746" s="4" t="s">
        <v>2018</v>
      </c>
      <c r="D746" s="4" t="s">
        <v>2030</v>
      </c>
      <c r="E746" s="3" t="s">
        <v>28</v>
      </c>
      <c r="F746" s="3" t="s">
        <v>1253</v>
      </c>
      <c r="G746" s="3" t="s">
        <v>1254</v>
      </c>
      <c r="H746" s="3" t="s">
        <v>56</v>
      </c>
      <c r="I746" s="3" t="s">
        <v>32</v>
      </c>
      <c r="J746" s="3" t="s">
        <v>299</v>
      </c>
      <c r="K746" s="3" t="s">
        <v>189</v>
      </c>
      <c r="L746" s="3" t="s">
        <v>59</v>
      </c>
      <c r="M746" s="3" t="s">
        <v>300</v>
      </c>
      <c r="N746" s="3" t="s">
        <v>49</v>
      </c>
      <c r="O746" s="3" t="s">
        <v>143</v>
      </c>
      <c r="P746" s="3" t="s">
        <v>301</v>
      </c>
      <c r="Q746" s="5" t="n">
        <v>73.33</v>
      </c>
      <c r="R746" s="3" t="n">
        <v>1</v>
      </c>
      <c r="S746" s="6" t="n">
        <v>0</v>
      </c>
      <c r="T746" s="5" t="n">
        <v>18.91</v>
      </c>
      <c r="U746" s="3" t="str">
        <f aca="false">IF(T746&lt;0,"Loss",IF(T746=0,"Break-even","Profit"))</f>
        <v>Profit</v>
      </c>
      <c r="V746" s="3" t="str">
        <f aca="false">IF(Q746&lt;100,"Low",IF(Q746&lt;=500,"Medium","High"))</f>
        <v>Low</v>
      </c>
      <c r="W746" s="3" t="n">
        <f aca="false">D746-C746</f>
        <v>6</v>
      </c>
      <c r="X746" s="3" t="str">
        <f aca="false">TEXT(C746,"mmmm")</f>
        <v>June</v>
      </c>
      <c r="Y746" s="3" t="str">
        <f aca="false">LEFT(G746,1)&amp;MID(G746,FIND(" ",G746)+1,1)</f>
        <v>AN</v>
      </c>
    </row>
    <row r="747" customFormat="false" ht="15" hidden="false" customHeight="false" outlineLevel="0" collapsed="false">
      <c r="A747" s="3" t="n">
        <v>746</v>
      </c>
      <c r="B747" s="3" t="s">
        <v>2031</v>
      </c>
      <c r="C747" s="4" t="s">
        <v>2018</v>
      </c>
      <c r="D747" s="4" t="s">
        <v>2025</v>
      </c>
      <c r="E747" s="3" t="s">
        <v>42</v>
      </c>
      <c r="F747" s="3" t="s">
        <v>1536</v>
      </c>
      <c r="G747" s="3" t="s">
        <v>1537</v>
      </c>
      <c r="H747" s="3" t="s">
        <v>56</v>
      </c>
      <c r="I747" s="3" t="s">
        <v>32</v>
      </c>
      <c r="J747" s="3" t="s">
        <v>104</v>
      </c>
      <c r="K747" s="3" t="s">
        <v>96</v>
      </c>
      <c r="L747" s="3" t="s">
        <v>59</v>
      </c>
      <c r="M747" s="3" t="s">
        <v>659</v>
      </c>
      <c r="N747" s="3" t="s">
        <v>89</v>
      </c>
      <c r="O747" s="3" t="s">
        <v>323</v>
      </c>
      <c r="P747" s="3" t="s">
        <v>660</v>
      </c>
      <c r="Q747" s="5" t="n">
        <v>2047.79</v>
      </c>
      <c r="R747" s="3" t="n">
        <v>8</v>
      </c>
      <c r="S747" s="6" t="n">
        <v>0.4</v>
      </c>
      <c r="T747" s="5" t="n">
        <v>-561.61</v>
      </c>
      <c r="U747" s="3" t="str">
        <f aca="false">IF(T747&lt;0,"Loss",IF(T747=0,"Break-even","Profit"))</f>
        <v>Loss</v>
      </c>
      <c r="V747" s="3" t="str">
        <f aca="false">IF(Q747&lt;100,"Low",IF(Q747&lt;=500,"Medium","High"))</f>
        <v>High</v>
      </c>
      <c r="W747" s="3" t="n">
        <f aca="false">D747-C747</f>
        <v>1</v>
      </c>
      <c r="X747" s="3" t="str">
        <f aca="false">TEXT(C747,"mmmm")</f>
        <v>June</v>
      </c>
      <c r="Y747" s="3" t="str">
        <f aca="false">LEFT(G747,1)&amp;MID(G747,FIND(" ",G747)+1,1)</f>
        <v>PM</v>
      </c>
    </row>
    <row r="748" customFormat="false" ht="15" hidden="false" customHeight="false" outlineLevel="0" collapsed="false">
      <c r="A748" s="3" t="n">
        <v>747</v>
      </c>
      <c r="B748" s="3" t="s">
        <v>2032</v>
      </c>
      <c r="C748" s="4" t="s">
        <v>2018</v>
      </c>
      <c r="D748" s="4" t="s">
        <v>2033</v>
      </c>
      <c r="E748" s="3" t="s">
        <v>28</v>
      </c>
      <c r="F748" s="3" t="s">
        <v>434</v>
      </c>
      <c r="G748" s="3" t="s">
        <v>435</v>
      </c>
      <c r="H748" s="3" t="s">
        <v>56</v>
      </c>
      <c r="I748" s="3" t="s">
        <v>32</v>
      </c>
      <c r="J748" s="3" t="s">
        <v>663</v>
      </c>
      <c r="K748" s="3" t="s">
        <v>307</v>
      </c>
      <c r="L748" s="3" t="s">
        <v>69</v>
      </c>
      <c r="M748" s="3" t="s">
        <v>269</v>
      </c>
      <c r="N748" s="3" t="s">
        <v>89</v>
      </c>
      <c r="O748" s="3" t="s">
        <v>174</v>
      </c>
      <c r="P748" s="3" t="s">
        <v>270</v>
      </c>
      <c r="Q748" s="5" t="n">
        <v>65.22</v>
      </c>
      <c r="R748" s="3" t="n">
        <v>1</v>
      </c>
      <c r="S748" s="6" t="n">
        <v>0</v>
      </c>
      <c r="T748" s="5" t="n">
        <v>22</v>
      </c>
      <c r="U748" s="3" t="str">
        <f aca="false">IF(T748&lt;0,"Loss",IF(T748=0,"Break-even","Profit"))</f>
        <v>Profit</v>
      </c>
      <c r="V748" s="3" t="str">
        <f aca="false">IF(Q748&lt;100,"Low",IF(Q748&lt;=500,"Medium","High"))</f>
        <v>Low</v>
      </c>
      <c r="W748" s="3" t="n">
        <f aca="false">D748-C748</f>
        <v>5</v>
      </c>
      <c r="X748" s="3" t="str">
        <f aca="false">TEXT(C748,"mmmm")</f>
        <v>June</v>
      </c>
      <c r="Y748" s="3" t="str">
        <f aca="false">LEFT(G748,1)&amp;MID(G748,FIND(" ",G748)+1,1)</f>
        <v>JC</v>
      </c>
    </row>
    <row r="749" customFormat="false" ht="15" hidden="false" customHeight="false" outlineLevel="0" collapsed="false">
      <c r="A749" s="3" t="n">
        <v>748</v>
      </c>
      <c r="B749" s="3" t="s">
        <v>2034</v>
      </c>
      <c r="C749" s="4" t="s">
        <v>2025</v>
      </c>
      <c r="D749" s="4" t="s">
        <v>2022</v>
      </c>
      <c r="E749" s="3" t="s">
        <v>28</v>
      </c>
      <c r="F749" s="3" t="s">
        <v>808</v>
      </c>
      <c r="G749" s="3" t="s">
        <v>809</v>
      </c>
      <c r="H749" s="3" t="s">
        <v>45</v>
      </c>
      <c r="I749" s="3" t="s">
        <v>32</v>
      </c>
      <c r="J749" s="3" t="s">
        <v>33</v>
      </c>
      <c r="K749" s="3" t="s">
        <v>34</v>
      </c>
      <c r="L749" s="3" t="s">
        <v>35</v>
      </c>
      <c r="M749" s="3" t="s">
        <v>142</v>
      </c>
      <c r="N749" s="3" t="s">
        <v>49</v>
      </c>
      <c r="O749" s="3" t="s">
        <v>143</v>
      </c>
      <c r="P749" s="3" t="s">
        <v>144</v>
      </c>
      <c r="Q749" s="5" t="n">
        <v>1639.22</v>
      </c>
      <c r="R749" s="3" t="n">
        <v>14</v>
      </c>
      <c r="S749" s="6" t="n">
        <v>0</v>
      </c>
      <c r="T749" s="5" t="n">
        <v>248.45</v>
      </c>
      <c r="U749" s="3" t="str">
        <f aca="false">IF(T749&lt;0,"Loss",IF(T749=0,"Break-even","Profit"))</f>
        <v>Profit</v>
      </c>
      <c r="V749" s="3" t="str">
        <f aca="false">IF(Q749&lt;100,"Low",IF(Q749&lt;=500,"Medium","High"))</f>
        <v>High</v>
      </c>
      <c r="W749" s="3" t="n">
        <f aca="false">D749-C749</f>
        <v>3</v>
      </c>
      <c r="X749" s="3" t="str">
        <f aca="false">TEXT(C749,"mmmm")</f>
        <v>June</v>
      </c>
      <c r="Y749" s="3" t="str">
        <f aca="false">LEFT(G749,1)&amp;MID(G749,FIND(" ",G749)+1,1)</f>
        <v>ET</v>
      </c>
    </row>
    <row r="750" customFormat="false" ht="15" hidden="false" customHeight="false" outlineLevel="0" collapsed="false">
      <c r="A750" s="3" t="n">
        <v>749</v>
      </c>
      <c r="B750" s="3" t="s">
        <v>2035</v>
      </c>
      <c r="C750" s="4" t="s">
        <v>2036</v>
      </c>
      <c r="D750" s="4" t="s">
        <v>2033</v>
      </c>
      <c r="E750" s="3" t="s">
        <v>84</v>
      </c>
      <c r="F750" s="3" t="s">
        <v>1509</v>
      </c>
      <c r="G750" s="3" t="s">
        <v>1510</v>
      </c>
      <c r="H750" s="3" t="s">
        <v>45</v>
      </c>
      <c r="I750" s="3" t="s">
        <v>32</v>
      </c>
      <c r="J750" s="3" t="s">
        <v>737</v>
      </c>
      <c r="K750" s="3" t="s">
        <v>307</v>
      </c>
      <c r="L750" s="3" t="s">
        <v>69</v>
      </c>
      <c r="M750" s="3" t="s">
        <v>135</v>
      </c>
      <c r="N750" s="3" t="s">
        <v>37</v>
      </c>
      <c r="O750" s="3" t="s">
        <v>136</v>
      </c>
      <c r="P750" s="3" t="s">
        <v>137</v>
      </c>
      <c r="Q750" s="5" t="n">
        <v>1207.73</v>
      </c>
      <c r="R750" s="3" t="n">
        <v>2</v>
      </c>
      <c r="S750" s="6" t="n">
        <v>0</v>
      </c>
      <c r="T750" s="5" t="n">
        <v>297.88</v>
      </c>
      <c r="U750" s="3" t="str">
        <f aca="false">IF(T750&lt;0,"Loss",IF(T750=0,"Break-even","Profit"))</f>
        <v>Profit</v>
      </c>
      <c r="V750" s="3" t="str">
        <f aca="false">IF(Q750&lt;100,"Low",IF(Q750&lt;=500,"Medium","High"))</f>
        <v>High</v>
      </c>
      <c r="W750" s="3" t="n">
        <f aca="false">D750-C750</f>
        <v>3</v>
      </c>
      <c r="X750" s="3" t="str">
        <f aca="false">TEXT(C750,"mmmm")</f>
        <v>June</v>
      </c>
      <c r="Y750" s="3" t="str">
        <f aca="false">LEFT(G750,1)&amp;MID(G750,FIND(" ",G750)+1,1)</f>
        <v>EC</v>
      </c>
    </row>
    <row r="751" customFormat="false" ht="15" hidden="false" customHeight="false" outlineLevel="0" collapsed="false">
      <c r="A751" s="3" t="n">
        <v>750</v>
      </c>
      <c r="B751" s="3" t="s">
        <v>2037</v>
      </c>
      <c r="C751" s="4" t="s">
        <v>2020</v>
      </c>
      <c r="D751" s="4" t="s">
        <v>2038</v>
      </c>
      <c r="E751" s="3" t="s">
        <v>84</v>
      </c>
      <c r="F751" s="3" t="s">
        <v>2039</v>
      </c>
      <c r="G751" s="3" t="s">
        <v>2040</v>
      </c>
      <c r="H751" s="3" t="s">
        <v>56</v>
      </c>
      <c r="I751" s="3" t="s">
        <v>32</v>
      </c>
      <c r="J751" s="3" t="s">
        <v>215</v>
      </c>
      <c r="K751" s="3" t="s">
        <v>34</v>
      </c>
      <c r="L751" s="3" t="s">
        <v>35</v>
      </c>
      <c r="M751" s="3" t="s">
        <v>121</v>
      </c>
      <c r="N751" s="3" t="s">
        <v>49</v>
      </c>
      <c r="O751" s="3" t="s">
        <v>50</v>
      </c>
      <c r="P751" s="3" t="s">
        <v>122</v>
      </c>
      <c r="Q751" s="5" t="n">
        <v>813.52</v>
      </c>
      <c r="R751" s="3" t="n">
        <v>8</v>
      </c>
      <c r="S751" s="6" t="n">
        <v>0</v>
      </c>
      <c r="T751" s="5" t="n">
        <v>129.61</v>
      </c>
      <c r="U751" s="3" t="str">
        <f aca="false">IF(T751&lt;0,"Loss",IF(T751=0,"Break-even","Profit"))</f>
        <v>Profit</v>
      </c>
      <c r="V751" s="3" t="str">
        <f aca="false">IF(Q751&lt;100,"Low",IF(Q751&lt;=500,"Medium","High"))</f>
        <v>High</v>
      </c>
      <c r="W751" s="3" t="n">
        <f aca="false">D751-C751</f>
        <v>4</v>
      </c>
      <c r="X751" s="3" t="str">
        <f aca="false">TEXT(C751,"mmmm")</f>
        <v>June</v>
      </c>
      <c r="Y751" s="3" t="str">
        <f aca="false">LEFT(G751,1)&amp;MID(G751,FIND(" ",G751)+1,1)</f>
        <v>OJ</v>
      </c>
    </row>
    <row r="752" customFormat="false" ht="15" hidden="false" customHeight="false" outlineLevel="0" collapsed="false">
      <c r="A752" s="3" t="n">
        <v>751</v>
      </c>
      <c r="B752" s="3" t="s">
        <v>2041</v>
      </c>
      <c r="C752" s="4" t="s">
        <v>2020</v>
      </c>
      <c r="D752" s="4" t="s">
        <v>2030</v>
      </c>
      <c r="E752" s="3" t="s">
        <v>84</v>
      </c>
      <c r="F752" s="3" t="s">
        <v>2042</v>
      </c>
      <c r="G752" s="3" t="s">
        <v>2043</v>
      </c>
      <c r="H752" s="3" t="s">
        <v>56</v>
      </c>
      <c r="I752" s="3" t="s">
        <v>32</v>
      </c>
      <c r="J752" s="3" t="s">
        <v>306</v>
      </c>
      <c r="K752" s="3" t="s">
        <v>307</v>
      </c>
      <c r="L752" s="3" t="s">
        <v>69</v>
      </c>
      <c r="M752" s="3" t="s">
        <v>659</v>
      </c>
      <c r="N752" s="3" t="s">
        <v>89</v>
      </c>
      <c r="O752" s="3" t="s">
        <v>323</v>
      </c>
      <c r="P752" s="3" t="s">
        <v>660</v>
      </c>
      <c r="Q752" s="5" t="n">
        <v>161.72</v>
      </c>
      <c r="R752" s="3" t="n">
        <v>1</v>
      </c>
      <c r="S752" s="6" t="n">
        <v>0.2</v>
      </c>
      <c r="T752" s="5" t="n">
        <v>-28.42</v>
      </c>
      <c r="U752" s="3" t="str">
        <f aca="false">IF(T752&lt;0,"Loss",IF(T752=0,"Break-even","Profit"))</f>
        <v>Loss</v>
      </c>
      <c r="V752" s="3" t="str">
        <f aca="false">IF(Q752&lt;100,"Low",IF(Q752&lt;=500,"Medium","High"))</f>
        <v>Medium</v>
      </c>
      <c r="W752" s="3" t="n">
        <f aca="false">D752-C752</f>
        <v>3</v>
      </c>
      <c r="X752" s="3" t="str">
        <f aca="false">TEXT(C752,"mmmm")</f>
        <v>June</v>
      </c>
      <c r="Y752" s="3" t="str">
        <f aca="false">LEFT(G752,1)&amp;MID(G752,FIND(" ",G752)+1,1)</f>
        <v>LK</v>
      </c>
    </row>
    <row r="753" customFormat="false" ht="15" hidden="false" customHeight="false" outlineLevel="0" collapsed="false">
      <c r="A753" s="3" t="n">
        <v>752</v>
      </c>
      <c r="B753" s="3" t="s">
        <v>2044</v>
      </c>
      <c r="C753" s="4" t="s">
        <v>2020</v>
      </c>
      <c r="D753" s="4" t="s">
        <v>2038</v>
      </c>
      <c r="E753" s="3" t="s">
        <v>84</v>
      </c>
      <c r="F753" s="3" t="s">
        <v>2045</v>
      </c>
      <c r="G753" s="3" t="s">
        <v>2046</v>
      </c>
      <c r="H753" s="3" t="s">
        <v>45</v>
      </c>
      <c r="I753" s="3" t="s">
        <v>32</v>
      </c>
      <c r="J753" s="3" t="s">
        <v>873</v>
      </c>
      <c r="K753" s="3" t="s">
        <v>387</v>
      </c>
      <c r="L753" s="3" t="s">
        <v>35</v>
      </c>
      <c r="M753" s="3" t="s">
        <v>659</v>
      </c>
      <c r="N753" s="3" t="s">
        <v>89</v>
      </c>
      <c r="O753" s="3" t="s">
        <v>323</v>
      </c>
      <c r="P753" s="3" t="s">
        <v>660</v>
      </c>
      <c r="Q753" s="5" t="n">
        <v>2526.76</v>
      </c>
      <c r="R753" s="3" t="n">
        <v>12</v>
      </c>
      <c r="S753" s="6" t="n">
        <v>0</v>
      </c>
      <c r="T753" s="5" t="n">
        <v>425.29</v>
      </c>
      <c r="U753" s="3" t="str">
        <f aca="false">IF(T753&lt;0,"Loss",IF(T753=0,"Break-even","Profit"))</f>
        <v>Profit</v>
      </c>
      <c r="V753" s="3" t="str">
        <f aca="false">IF(Q753&lt;100,"Low",IF(Q753&lt;=500,"Medium","High"))</f>
        <v>High</v>
      </c>
      <c r="W753" s="3" t="n">
        <f aca="false">D753-C753</f>
        <v>4</v>
      </c>
      <c r="X753" s="3" t="str">
        <f aca="false">TEXT(C753,"mmmm")</f>
        <v>June</v>
      </c>
      <c r="Y753" s="3" t="str">
        <f aca="false">LEFT(G753,1)&amp;MID(G753,FIND(" ",G753)+1,1)</f>
        <v>WC</v>
      </c>
    </row>
    <row r="754" customFormat="false" ht="15" hidden="false" customHeight="false" outlineLevel="0" collapsed="false">
      <c r="A754" s="3" t="n">
        <v>753</v>
      </c>
      <c r="B754" s="3" t="s">
        <v>2047</v>
      </c>
      <c r="C754" s="4" t="s">
        <v>2022</v>
      </c>
      <c r="D754" s="4" t="s">
        <v>2048</v>
      </c>
      <c r="E754" s="3" t="s">
        <v>28</v>
      </c>
      <c r="F754" s="3" t="s">
        <v>1772</v>
      </c>
      <c r="G754" s="3" t="s">
        <v>1773</v>
      </c>
      <c r="H754" s="3" t="s">
        <v>56</v>
      </c>
      <c r="I754" s="3" t="s">
        <v>32</v>
      </c>
      <c r="J754" s="3" t="s">
        <v>133</v>
      </c>
      <c r="K754" s="3" t="s">
        <v>134</v>
      </c>
      <c r="L754" s="3" t="s">
        <v>69</v>
      </c>
      <c r="M754" s="3" t="s">
        <v>135</v>
      </c>
      <c r="N754" s="3" t="s">
        <v>37</v>
      </c>
      <c r="O754" s="3" t="s">
        <v>136</v>
      </c>
      <c r="P754" s="3" t="s">
        <v>137</v>
      </c>
      <c r="Q754" s="5" t="n">
        <v>1643.12</v>
      </c>
      <c r="R754" s="3" t="n">
        <v>1</v>
      </c>
      <c r="S754" s="6" t="n">
        <v>0</v>
      </c>
      <c r="T754" s="5" t="n">
        <v>-329.66</v>
      </c>
      <c r="U754" s="3" t="str">
        <f aca="false">IF(T754&lt;0,"Loss",IF(T754=0,"Break-even","Profit"))</f>
        <v>Loss</v>
      </c>
      <c r="V754" s="3" t="str">
        <f aca="false">IF(Q754&lt;100,"Low",IF(Q754&lt;=500,"Medium","High"))</f>
        <v>High</v>
      </c>
      <c r="W754" s="3" t="n">
        <f aca="false">D754-C754</f>
        <v>4</v>
      </c>
      <c r="X754" s="3" t="str">
        <f aca="false">TEXT(C754,"mmmm")</f>
        <v>June</v>
      </c>
      <c r="Y754" s="3" t="str">
        <f aca="false">LEFT(G754,1)&amp;MID(G754,FIND(" ",G754)+1,1)</f>
        <v>RC</v>
      </c>
    </row>
    <row r="755" customFormat="false" ht="15" hidden="false" customHeight="false" outlineLevel="0" collapsed="false">
      <c r="A755" s="3" t="n">
        <v>754</v>
      </c>
      <c r="B755" s="3" t="s">
        <v>2049</v>
      </c>
      <c r="C755" s="4" t="s">
        <v>2022</v>
      </c>
      <c r="D755" s="4" t="s">
        <v>2030</v>
      </c>
      <c r="E755" s="3" t="s">
        <v>42</v>
      </c>
      <c r="F755" s="3" t="s">
        <v>720</v>
      </c>
      <c r="G755" s="3" t="s">
        <v>721</v>
      </c>
      <c r="H755" s="3" t="s">
        <v>56</v>
      </c>
      <c r="I755" s="3" t="s">
        <v>32</v>
      </c>
      <c r="J755" s="3" t="s">
        <v>133</v>
      </c>
      <c r="K755" s="3" t="s">
        <v>134</v>
      </c>
      <c r="L755" s="3" t="s">
        <v>69</v>
      </c>
      <c r="M755" s="3" t="s">
        <v>659</v>
      </c>
      <c r="N755" s="3" t="s">
        <v>89</v>
      </c>
      <c r="O755" s="3" t="s">
        <v>323</v>
      </c>
      <c r="P755" s="3" t="s">
        <v>660</v>
      </c>
      <c r="Q755" s="5" t="n">
        <v>1400.81</v>
      </c>
      <c r="R755" s="3" t="n">
        <v>6</v>
      </c>
      <c r="S755" s="6" t="n">
        <v>0.1</v>
      </c>
      <c r="T755" s="5" t="n">
        <v>363.68</v>
      </c>
      <c r="U755" s="3" t="str">
        <f aca="false">IF(T755&lt;0,"Loss",IF(T755=0,"Break-even","Profit"))</f>
        <v>Profit</v>
      </c>
      <c r="V755" s="3" t="str">
        <f aca="false">IF(Q755&lt;100,"Low",IF(Q755&lt;=500,"Medium","High"))</f>
        <v>High</v>
      </c>
      <c r="W755" s="3" t="n">
        <f aca="false">D755-C755</f>
        <v>2</v>
      </c>
      <c r="X755" s="3" t="str">
        <f aca="false">TEXT(C755,"mmmm")</f>
        <v>June</v>
      </c>
      <c r="Y755" s="3" t="str">
        <f aca="false">LEFT(G755,1)&amp;MID(G755,FIND(" ",G755)+1,1)</f>
        <v>LJ</v>
      </c>
    </row>
    <row r="756" customFormat="false" ht="15" hidden="false" customHeight="false" outlineLevel="0" collapsed="false">
      <c r="A756" s="3" t="n">
        <v>755</v>
      </c>
      <c r="B756" s="3" t="s">
        <v>2050</v>
      </c>
      <c r="C756" s="4" t="s">
        <v>2030</v>
      </c>
      <c r="D756" s="4" t="s">
        <v>2051</v>
      </c>
      <c r="E756" s="3" t="s">
        <v>28</v>
      </c>
      <c r="F756" s="3" t="s">
        <v>957</v>
      </c>
      <c r="G756" s="3" t="s">
        <v>958</v>
      </c>
      <c r="H756" s="3" t="s">
        <v>31</v>
      </c>
      <c r="I756" s="3" t="s">
        <v>32</v>
      </c>
      <c r="J756" s="3" t="s">
        <v>148</v>
      </c>
      <c r="K756" s="3" t="s">
        <v>78</v>
      </c>
      <c r="L756" s="3" t="s">
        <v>59</v>
      </c>
      <c r="M756" s="3" t="s">
        <v>209</v>
      </c>
      <c r="N756" s="3" t="s">
        <v>49</v>
      </c>
      <c r="O756" s="3" t="s">
        <v>106</v>
      </c>
      <c r="P756" s="3" t="s">
        <v>210</v>
      </c>
      <c r="Q756" s="5" t="n">
        <v>80.39</v>
      </c>
      <c r="R756" s="3" t="n">
        <v>4</v>
      </c>
      <c r="S756" s="6" t="n">
        <v>0.4</v>
      </c>
      <c r="T756" s="5" t="n">
        <v>0.22</v>
      </c>
      <c r="U756" s="3" t="str">
        <f aca="false">IF(T756&lt;0,"Loss",IF(T756=0,"Break-even","Profit"))</f>
        <v>Profit</v>
      </c>
      <c r="V756" s="3" t="str">
        <f aca="false">IF(Q756&lt;100,"Low",IF(Q756&lt;=500,"Medium","High"))</f>
        <v>Low</v>
      </c>
      <c r="W756" s="3" t="n">
        <f aca="false">D756-C756</f>
        <v>7</v>
      </c>
      <c r="X756" s="3" t="str">
        <f aca="false">TEXT(C756,"mmmm")</f>
        <v>June</v>
      </c>
      <c r="Y756" s="3" t="str">
        <f aca="false">LEFT(G756,1)&amp;MID(G756,FIND(" ",G756)+1,1)</f>
        <v>JM</v>
      </c>
    </row>
    <row r="757" customFormat="false" ht="15" hidden="false" customHeight="false" outlineLevel="0" collapsed="false">
      <c r="A757" s="3" t="n">
        <v>756</v>
      </c>
      <c r="B757" s="3" t="s">
        <v>2052</v>
      </c>
      <c r="C757" s="4" t="s">
        <v>2030</v>
      </c>
      <c r="D757" s="4" t="s">
        <v>2053</v>
      </c>
      <c r="E757" s="3" t="s">
        <v>28</v>
      </c>
      <c r="F757" s="3" t="s">
        <v>1197</v>
      </c>
      <c r="G757" s="3" t="s">
        <v>1198</v>
      </c>
      <c r="H757" s="3" t="s">
        <v>45</v>
      </c>
      <c r="I757" s="3" t="s">
        <v>32</v>
      </c>
      <c r="J757" s="3" t="s">
        <v>112</v>
      </c>
      <c r="K757" s="3" t="s">
        <v>113</v>
      </c>
      <c r="L757" s="3" t="s">
        <v>69</v>
      </c>
      <c r="M757" s="3" t="s">
        <v>36</v>
      </c>
      <c r="N757" s="3" t="s">
        <v>37</v>
      </c>
      <c r="O757" s="3" t="s">
        <v>38</v>
      </c>
      <c r="P757" s="3" t="s">
        <v>39</v>
      </c>
      <c r="Q757" s="5" t="n">
        <v>6712.56</v>
      </c>
      <c r="R757" s="3" t="n">
        <v>12</v>
      </c>
      <c r="S757" s="6" t="n">
        <v>0</v>
      </c>
      <c r="T757" s="5" t="n">
        <v>831.25</v>
      </c>
      <c r="U757" s="3" t="str">
        <f aca="false">IF(T757&lt;0,"Loss",IF(T757=0,"Break-even","Profit"))</f>
        <v>Profit</v>
      </c>
      <c r="V757" s="3" t="str">
        <f aca="false">IF(Q757&lt;100,"Low",IF(Q757&lt;=500,"Medium","High"))</f>
        <v>High</v>
      </c>
      <c r="W757" s="3" t="n">
        <f aca="false">D757-C757</f>
        <v>4</v>
      </c>
      <c r="X757" s="3" t="str">
        <f aca="false">TEXT(C757,"mmmm")</f>
        <v>June</v>
      </c>
      <c r="Y757" s="3" t="str">
        <f aca="false">LEFT(G757,1)&amp;MID(G757,FIND(" ",G757)+1,1)</f>
        <v>PT</v>
      </c>
    </row>
    <row r="758" customFormat="false" ht="15" hidden="false" customHeight="false" outlineLevel="0" collapsed="false">
      <c r="A758" s="3" t="n">
        <v>757</v>
      </c>
      <c r="B758" s="3" t="s">
        <v>2054</v>
      </c>
      <c r="C758" s="4" t="s">
        <v>2030</v>
      </c>
      <c r="D758" s="4" t="s">
        <v>2053</v>
      </c>
      <c r="E758" s="3" t="s">
        <v>84</v>
      </c>
      <c r="F758" s="3" t="s">
        <v>2055</v>
      </c>
      <c r="G758" s="3" t="s">
        <v>2056</v>
      </c>
      <c r="H758" s="3" t="s">
        <v>45</v>
      </c>
      <c r="I758" s="3" t="s">
        <v>32</v>
      </c>
      <c r="J758" s="3" t="s">
        <v>188</v>
      </c>
      <c r="K758" s="3" t="s">
        <v>189</v>
      </c>
      <c r="L758" s="3" t="s">
        <v>59</v>
      </c>
      <c r="M758" s="3" t="s">
        <v>70</v>
      </c>
      <c r="N758" s="3" t="s">
        <v>37</v>
      </c>
      <c r="O758" s="3" t="s">
        <v>71</v>
      </c>
      <c r="P758" s="3" t="s">
        <v>72</v>
      </c>
      <c r="Q758" s="5" t="n">
        <v>4820.09</v>
      </c>
      <c r="R758" s="3" t="n">
        <v>10</v>
      </c>
      <c r="S758" s="6" t="n">
        <v>0.1</v>
      </c>
      <c r="T758" s="5" t="n">
        <v>653.67</v>
      </c>
      <c r="U758" s="3" t="str">
        <f aca="false">IF(T758&lt;0,"Loss",IF(T758=0,"Break-even","Profit"))</f>
        <v>Profit</v>
      </c>
      <c r="V758" s="3" t="str">
        <f aca="false">IF(Q758&lt;100,"Low",IF(Q758&lt;=500,"Medium","High"))</f>
        <v>High</v>
      </c>
      <c r="W758" s="3" t="n">
        <f aca="false">D758-C758</f>
        <v>4</v>
      </c>
      <c r="X758" s="3" t="str">
        <f aca="false">TEXT(C758,"mmmm")</f>
        <v>June</v>
      </c>
      <c r="Y758" s="3" t="str">
        <f aca="false">LEFT(G758,1)&amp;MID(G758,FIND(" ",G758)+1,1)</f>
        <v>ED</v>
      </c>
    </row>
    <row r="759" customFormat="false" ht="15" hidden="false" customHeight="false" outlineLevel="0" collapsed="false">
      <c r="A759" s="3" t="n">
        <v>758</v>
      </c>
      <c r="B759" s="3" t="s">
        <v>2057</v>
      </c>
      <c r="C759" s="4" t="s">
        <v>2038</v>
      </c>
      <c r="D759" s="4" t="s">
        <v>2058</v>
      </c>
      <c r="E759" s="3" t="s">
        <v>28</v>
      </c>
      <c r="F759" s="3" t="s">
        <v>153</v>
      </c>
      <c r="G759" s="3" t="s">
        <v>154</v>
      </c>
      <c r="H759" s="3" t="s">
        <v>56</v>
      </c>
      <c r="I759" s="3" t="s">
        <v>32</v>
      </c>
      <c r="J759" s="3" t="s">
        <v>208</v>
      </c>
      <c r="K759" s="3" t="s">
        <v>134</v>
      </c>
      <c r="L759" s="3" t="s">
        <v>69</v>
      </c>
      <c r="M759" s="3" t="s">
        <v>190</v>
      </c>
      <c r="N759" s="3" t="s">
        <v>49</v>
      </c>
      <c r="O759" s="3" t="s">
        <v>150</v>
      </c>
      <c r="P759" s="3" t="s">
        <v>191</v>
      </c>
      <c r="Q759" s="5" t="n">
        <v>371.72</v>
      </c>
      <c r="R759" s="3" t="n">
        <v>5</v>
      </c>
      <c r="S759" s="6" t="n">
        <v>0.5</v>
      </c>
      <c r="T759" s="5" t="n">
        <v>-63.12</v>
      </c>
      <c r="U759" s="3" t="str">
        <f aca="false">IF(T759&lt;0,"Loss",IF(T759=0,"Break-even","Profit"))</f>
        <v>Loss</v>
      </c>
      <c r="V759" s="3" t="str">
        <f aca="false">IF(Q759&lt;100,"Low",IF(Q759&lt;=500,"Medium","High"))</f>
        <v>Medium</v>
      </c>
      <c r="W759" s="3" t="n">
        <f aca="false">D759-C759</f>
        <v>5</v>
      </c>
      <c r="X759" s="3" t="str">
        <f aca="false">TEXT(C759,"mmmm")</f>
        <v>June</v>
      </c>
      <c r="Y759" s="3" t="str">
        <f aca="false">LEFT(G759,1)&amp;MID(G759,FIND(" ",G759)+1,1)</f>
        <v>SK</v>
      </c>
    </row>
    <row r="760" customFormat="false" ht="15" hidden="false" customHeight="false" outlineLevel="0" collapsed="false">
      <c r="A760" s="3" t="n">
        <v>759</v>
      </c>
      <c r="B760" s="3" t="s">
        <v>2059</v>
      </c>
      <c r="C760" s="4" t="s">
        <v>2038</v>
      </c>
      <c r="D760" s="4" t="s">
        <v>2060</v>
      </c>
      <c r="E760" s="3" t="s">
        <v>28</v>
      </c>
      <c r="F760" s="3" t="s">
        <v>454</v>
      </c>
      <c r="G760" s="3" t="s">
        <v>455</v>
      </c>
      <c r="H760" s="3" t="s">
        <v>45</v>
      </c>
      <c r="I760" s="3" t="s">
        <v>32</v>
      </c>
      <c r="J760" s="3" t="s">
        <v>243</v>
      </c>
      <c r="K760" s="3" t="s">
        <v>244</v>
      </c>
      <c r="L760" s="3" t="s">
        <v>157</v>
      </c>
      <c r="M760" s="3" t="s">
        <v>404</v>
      </c>
      <c r="N760" s="3" t="s">
        <v>89</v>
      </c>
      <c r="O760" s="3" t="s">
        <v>166</v>
      </c>
      <c r="P760" s="3" t="s">
        <v>405</v>
      </c>
      <c r="Q760" s="5" t="n">
        <v>785.21</v>
      </c>
      <c r="R760" s="3" t="n">
        <v>1</v>
      </c>
      <c r="S760" s="6" t="n">
        <v>0.1</v>
      </c>
      <c r="T760" s="5" t="n">
        <v>135.16</v>
      </c>
      <c r="U760" s="3" t="str">
        <f aca="false">IF(T760&lt;0,"Loss",IF(T760=0,"Break-even","Profit"))</f>
        <v>Profit</v>
      </c>
      <c r="V760" s="3" t="str">
        <f aca="false">IF(Q760&lt;100,"Low",IF(Q760&lt;=500,"Medium","High"))</f>
        <v>High</v>
      </c>
      <c r="W760" s="3" t="n">
        <f aca="false">D760-C760</f>
        <v>7</v>
      </c>
      <c r="X760" s="3" t="str">
        <f aca="false">TEXT(C760,"mmmm")</f>
        <v>June</v>
      </c>
      <c r="Y760" s="3" t="str">
        <f aca="false">LEFT(G760,1)&amp;MID(G760,FIND(" ",G760)+1,1)</f>
        <v>OD</v>
      </c>
    </row>
    <row r="761" customFormat="false" ht="15" hidden="false" customHeight="false" outlineLevel="0" collapsed="false">
      <c r="A761" s="3" t="n">
        <v>760</v>
      </c>
      <c r="B761" s="3" t="s">
        <v>2061</v>
      </c>
      <c r="C761" s="4" t="s">
        <v>2048</v>
      </c>
      <c r="D761" s="4" t="s">
        <v>2058</v>
      </c>
      <c r="E761" s="3" t="s">
        <v>28</v>
      </c>
      <c r="F761" s="3" t="s">
        <v>1423</v>
      </c>
      <c r="G761" s="3" t="s">
        <v>1424</v>
      </c>
      <c r="H761" s="3" t="s">
        <v>31</v>
      </c>
      <c r="I761" s="3" t="s">
        <v>32</v>
      </c>
      <c r="J761" s="3" t="s">
        <v>252</v>
      </c>
      <c r="K761" s="3" t="s">
        <v>172</v>
      </c>
      <c r="L761" s="3" t="s">
        <v>157</v>
      </c>
      <c r="M761" s="3" t="s">
        <v>461</v>
      </c>
      <c r="N761" s="3" t="s">
        <v>37</v>
      </c>
      <c r="O761" s="3" t="s">
        <v>71</v>
      </c>
      <c r="P761" s="3" t="s">
        <v>462</v>
      </c>
      <c r="Q761" s="5" t="n">
        <v>18853.26</v>
      </c>
      <c r="R761" s="3" t="n">
        <v>11</v>
      </c>
      <c r="S761" s="6" t="n">
        <v>0.1</v>
      </c>
      <c r="T761" s="5" t="n">
        <v>-3747.62</v>
      </c>
      <c r="U761" s="3" t="str">
        <f aca="false">IF(T761&lt;0,"Loss",IF(T761=0,"Break-even","Profit"))</f>
        <v>Loss</v>
      </c>
      <c r="V761" s="3" t="str">
        <f aca="false">IF(Q761&lt;100,"Low",IF(Q761&lt;=500,"Medium","High"))</f>
        <v>High</v>
      </c>
      <c r="W761" s="3" t="n">
        <f aca="false">D761-C761</f>
        <v>4</v>
      </c>
      <c r="X761" s="3" t="str">
        <f aca="false">TEXT(C761,"mmmm")</f>
        <v>June</v>
      </c>
      <c r="Y761" s="3" t="str">
        <f aca="false">LEFT(G761,1)&amp;MID(G761,FIND(" ",G761)+1,1)</f>
        <v>RJ</v>
      </c>
    </row>
    <row r="762" customFormat="false" ht="15" hidden="false" customHeight="false" outlineLevel="0" collapsed="false">
      <c r="A762" s="3" t="n">
        <v>761</v>
      </c>
      <c r="B762" s="3" t="s">
        <v>2062</v>
      </c>
      <c r="C762" s="4" t="s">
        <v>2063</v>
      </c>
      <c r="D762" s="4" t="s">
        <v>2053</v>
      </c>
      <c r="E762" s="3" t="s">
        <v>42</v>
      </c>
      <c r="F762" s="3" t="s">
        <v>1434</v>
      </c>
      <c r="G762" s="3" t="s">
        <v>1435</v>
      </c>
      <c r="H762" s="3" t="s">
        <v>56</v>
      </c>
      <c r="I762" s="3" t="s">
        <v>32</v>
      </c>
      <c r="J762" s="3" t="s">
        <v>87</v>
      </c>
      <c r="K762" s="3" t="s">
        <v>68</v>
      </c>
      <c r="L762" s="3" t="s">
        <v>69</v>
      </c>
      <c r="M762" s="3" t="s">
        <v>97</v>
      </c>
      <c r="N762" s="3" t="s">
        <v>89</v>
      </c>
      <c r="O762" s="3" t="s">
        <v>90</v>
      </c>
      <c r="P762" s="3" t="s">
        <v>98</v>
      </c>
      <c r="Q762" s="5" t="n">
        <v>2429.13</v>
      </c>
      <c r="R762" s="3" t="n">
        <v>3</v>
      </c>
      <c r="S762" s="6" t="n">
        <v>0.1</v>
      </c>
      <c r="T762" s="5" t="n">
        <v>-98.05</v>
      </c>
      <c r="U762" s="3" t="str">
        <f aca="false">IF(T762&lt;0,"Loss",IF(T762=0,"Break-even","Profit"))</f>
        <v>Loss</v>
      </c>
      <c r="V762" s="3" t="str">
        <f aca="false">IF(Q762&lt;100,"Low",IF(Q762&lt;=500,"Medium","High"))</f>
        <v>High</v>
      </c>
      <c r="W762" s="3" t="n">
        <f aca="false">D762-C762</f>
        <v>1</v>
      </c>
      <c r="X762" s="3" t="str">
        <f aca="false">TEXT(C762,"mmmm")</f>
        <v>June</v>
      </c>
      <c r="Y762" s="3" t="str">
        <f aca="false">LEFT(G762,1)&amp;MID(G762,FIND(" ",G762)+1,1)</f>
        <v>CJ</v>
      </c>
    </row>
    <row r="763" customFormat="false" ht="15" hidden="false" customHeight="false" outlineLevel="0" collapsed="false">
      <c r="A763" s="3" t="n">
        <v>762</v>
      </c>
      <c r="B763" s="3" t="s">
        <v>2064</v>
      </c>
      <c r="C763" s="4" t="s">
        <v>2063</v>
      </c>
      <c r="D763" s="4" t="s">
        <v>2058</v>
      </c>
      <c r="E763" s="3" t="s">
        <v>28</v>
      </c>
      <c r="F763" s="3" t="s">
        <v>592</v>
      </c>
      <c r="G763" s="3" t="s">
        <v>593</v>
      </c>
      <c r="H763" s="3" t="s">
        <v>56</v>
      </c>
      <c r="I763" s="3" t="s">
        <v>32</v>
      </c>
      <c r="J763" s="3" t="s">
        <v>57</v>
      </c>
      <c r="K763" s="3" t="s">
        <v>58</v>
      </c>
      <c r="L763" s="3" t="s">
        <v>59</v>
      </c>
      <c r="M763" s="3" t="s">
        <v>559</v>
      </c>
      <c r="N763" s="3" t="s">
        <v>37</v>
      </c>
      <c r="O763" s="3" t="s">
        <v>38</v>
      </c>
      <c r="P763" s="3" t="s">
        <v>560</v>
      </c>
      <c r="Q763" s="5" t="n">
        <v>3119.85</v>
      </c>
      <c r="R763" s="3" t="n">
        <v>7</v>
      </c>
      <c r="S763" s="6" t="n">
        <v>0.3</v>
      </c>
      <c r="T763" s="5" t="n">
        <v>-807.28</v>
      </c>
      <c r="U763" s="3" t="str">
        <f aca="false">IF(T763&lt;0,"Loss",IF(T763=0,"Break-even","Profit"))</f>
        <v>Loss</v>
      </c>
      <c r="V763" s="3" t="str">
        <f aca="false">IF(Q763&lt;100,"Low",IF(Q763&lt;=500,"Medium","High"))</f>
        <v>High</v>
      </c>
      <c r="W763" s="3" t="n">
        <f aca="false">D763-C763</f>
        <v>3</v>
      </c>
      <c r="X763" s="3" t="str">
        <f aca="false">TEXT(C763,"mmmm")</f>
        <v>June</v>
      </c>
      <c r="Y763" s="3" t="str">
        <f aca="false">LEFT(G763,1)&amp;MID(G763,FIND(" ",G763)+1,1)</f>
        <v>PB</v>
      </c>
    </row>
    <row r="764" customFormat="false" ht="15" hidden="false" customHeight="false" outlineLevel="0" collapsed="false">
      <c r="A764" s="3" t="n">
        <v>763</v>
      </c>
      <c r="B764" s="3" t="s">
        <v>2065</v>
      </c>
      <c r="C764" s="4" t="s">
        <v>2053</v>
      </c>
      <c r="D764" s="4" t="s">
        <v>2066</v>
      </c>
      <c r="E764" s="3" t="s">
        <v>28</v>
      </c>
      <c r="F764" s="3" t="s">
        <v>586</v>
      </c>
      <c r="G764" s="3" t="s">
        <v>587</v>
      </c>
      <c r="H764" s="3" t="s">
        <v>45</v>
      </c>
      <c r="I764" s="3" t="s">
        <v>32</v>
      </c>
      <c r="J764" s="3" t="s">
        <v>243</v>
      </c>
      <c r="K764" s="3" t="s">
        <v>244</v>
      </c>
      <c r="L764" s="3" t="s">
        <v>157</v>
      </c>
      <c r="M764" s="3" t="s">
        <v>237</v>
      </c>
      <c r="N764" s="3" t="s">
        <v>49</v>
      </c>
      <c r="O764" s="3" t="s">
        <v>220</v>
      </c>
      <c r="P764" s="3" t="s">
        <v>238</v>
      </c>
      <c r="Q764" s="5" t="n">
        <v>752.09</v>
      </c>
      <c r="R764" s="3" t="n">
        <v>12</v>
      </c>
      <c r="S764" s="6" t="n">
        <v>0</v>
      </c>
      <c r="T764" s="5" t="n">
        <v>34.95</v>
      </c>
      <c r="U764" s="3" t="str">
        <f aca="false">IF(T764&lt;0,"Loss",IF(T764=0,"Break-even","Profit"))</f>
        <v>Profit</v>
      </c>
      <c r="V764" s="3" t="str">
        <f aca="false">IF(Q764&lt;100,"Low",IF(Q764&lt;=500,"Medium","High"))</f>
        <v>High</v>
      </c>
      <c r="W764" s="3" t="n">
        <f aca="false">D764-C764</f>
        <v>6</v>
      </c>
      <c r="X764" s="3" t="str">
        <f aca="false">TEXT(C764,"mmmm")</f>
        <v>June</v>
      </c>
      <c r="Y764" s="3" t="str">
        <f aca="false">LEFT(G764,1)&amp;MID(G764,FIND(" ",G764)+1,1)</f>
        <v>MN</v>
      </c>
    </row>
    <row r="765" customFormat="false" ht="15" hidden="false" customHeight="false" outlineLevel="0" collapsed="false">
      <c r="A765" s="3" t="n">
        <v>764</v>
      </c>
      <c r="B765" s="3" t="s">
        <v>2067</v>
      </c>
      <c r="C765" s="4" t="s">
        <v>2058</v>
      </c>
      <c r="D765" s="4" t="s">
        <v>2066</v>
      </c>
      <c r="E765" s="3" t="s">
        <v>84</v>
      </c>
      <c r="F765" s="3" t="s">
        <v>2068</v>
      </c>
      <c r="G765" s="3" t="s">
        <v>2069</v>
      </c>
      <c r="H765" s="3" t="s">
        <v>56</v>
      </c>
      <c r="I765" s="3" t="s">
        <v>32</v>
      </c>
      <c r="J765" s="3" t="s">
        <v>188</v>
      </c>
      <c r="K765" s="3" t="s">
        <v>189</v>
      </c>
      <c r="L765" s="3" t="s">
        <v>59</v>
      </c>
      <c r="M765" s="3" t="s">
        <v>659</v>
      </c>
      <c r="N765" s="3" t="s">
        <v>89</v>
      </c>
      <c r="O765" s="3" t="s">
        <v>323</v>
      </c>
      <c r="P765" s="3" t="s">
        <v>660</v>
      </c>
      <c r="Q765" s="5" t="n">
        <v>8143.97</v>
      </c>
      <c r="R765" s="3" t="n">
        <v>13</v>
      </c>
      <c r="S765" s="6" t="n">
        <v>0</v>
      </c>
      <c r="T765" s="5" t="n">
        <v>-1718.68</v>
      </c>
      <c r="U765" s="3" t="str">
        <f aca="false">IF(T765&lt;0,"Loss",IF(T765=0,"Break-even","Profit"))</f>
        <v>Loss</v>
      </c>
      <c r="V765" s="3" t="str">
        <f aca="false">IF(Q765&lt;100,"Low",IF(Q765&lt;=500,"Medium","High"))</f>
        <v>High</v>
      </c>
      <c r="W765" s="3" t="n">
        <f aca="false">D765-C765</f>
        <v>4</v>
      </c>
      <c r="X765" s="3" t="str">
        <f aca="false">TEXT(C765,"mmmm")</f>
        <v>June</v>
      </c>
      <c r="Y765" s="3" t="str">
        <f aca="false">LEFT(G765,1)&amp;MID(G765,FIND(" ",G765)+1,1)</f>
        <v>CW</v>
      </c>
    </row>
    <row r="766" customFormat="false" ht="15" hidden="false" customHeight="false" outlineLevel="0" collapsed="false">
      <c r="A766" s="3" t="n">
        <v>765</v>
      </c>
      <c r="B766" s="3" t="s">
        <v>2070</v>
      </c>
      <c r="C766" s="4" t="s">
        <v>2060</v>
      </c>
      <c r="D766" s="4" t="s">
        <v>2071</v>
      </c>
      <c r="E766" s="3" t="s">
        <v>84</v>
      </c>
      <c r="F766" s="3" t="s">
        <v>1997</v>
      </c>
      <c r="G766" s="3" t="s">
        <v>1998</v>
      </c>
      <c r="H766" s="3" t="s">
        <v>45</v>
      </c>
      <c r="I766" s="3" t="s">
        <v>32</v>
      </c>
      <c r="J766" s="3" t="s">
        <v>46</v>
      </c>
      <c r="K766" s="3" t="s">
        <v>47</v>
      </c>
      <c r="L766" s="3" t="s">
        <v>35</v>
      </c>
      <c r="M766" s="3" t="s">
        <v>334</v>
      </c>
      <c r="N766" s="3" t="s">
        <v>37</v>
      </c>
      <c r="O766" s="3" t="s">
        <v>136</v>
      </c>
      <c r="P766" s="3" t="s">
        <v>335</v>
      </c>
      <c r="Q766" s="5" t="n">
        <v>1265.23</v>
      </c>
      <c r="R766" s="3" t="n">
        <v>4</v>
      </c>
      <c r="S766" s="6" t="n">
        <v>0.1</v>
      </c>
      <c r="T766" s="5" t="n">
        <v>297.46</v>
      </c>
      <c r="U766" s="3" t="str">
        <f aca="false">IF(T766&lt;0,"Loss",IF(T766=0,"Break-even","Profit"))</f>
        <v>Profit</v>
      </c>
      <c r="V766" s="3" t="str">
        <f aca="false">IF(Q766&lt;100,"Low",IF(Q766&lt;=500,"Medium","High"))</f>
        <v>High</v>
      </c>
      <c r="W766" s="3" t="n">
        <f aca="false">D766-C766</f>
        <v>3</v>
      </c>
      <c r="X766" s="3" t="str">
        <f aca="false">TEXT(C766,"mmmm")</f>
        <v>June</v>
      </c>
      <c r="Y766" s="3" t="str">
        <f aca="false">LEFT(G766,1)&amp;MID(G766,FIND(" ",G766)+1,1)</f>
        <v>AC</v>
      </c>
    </row>
    <row r="767" customFormat="false" ht="15" hidden="false" customHeight="false" outlineLevel="0" collapsed="false">
      <c r="A767" s="3" t="n">
        <v>766</v>
      </c>
      <c r="B767" s="3" t="s">
        <v>2072</v>
      </c>
      <c r="C767" s="4" t="s">
        <v>2073</v>
      </c>
      <c r="D767" s="4" t="s">
        <v>2074</v>
      </c>
      <c r="E767" s="3" t="s">
        <v>28</v>
      </c>
      <c r="F767" s="3" t="s">
        <v>1428</v>
      </c>
      <c r="G767" s="3" t="s">
        <v>1429</v>
      </c>
      <c r="H767" s="3" t="s">
        <v>45</v>
      </c>
      <c r="I767" s="3" t="s">
        <v>32</v>
      </c>
      <c r="J767" s="3" t="s">
        <v>179</v>
      </c>
      <c r="K767" s="3" t="s">
        <v>47</v>
      </c>
      <c r="L767" s="3" t="s">
        <v>35</v>
      </c>
      <c r="M767" s="3" t="s">
        <v>190</v>
      </c>
      <c r="N767" s="3" t="s">
        <v>49</v>
      </c>
      <c r="O767" s="3" t="s">
        <v>150</v>
      </c>
      <c r="P767" s="3" t="s">
        <v>191</v>
      </c>
      <c r="Q767" s="5" t="n">
        <v>56.76</v>
      </c>
      <c r="R767" s="3" t="n">
        <v>1</v>
      </c>
      <c r="S767" s="6" t="n">
        <v>0.2</v>
      </c>
      <c r="T767" s="5" t="n">
        <v>-13.06</v>
      </c>
      <c r="U767" s="3" t="str">
        <f aca="false">IF(T767&lt;0,"Loss",IF(T767=0,"Break-even","Profit"))</f>
        <v>Loss</v>
      </c>
      <c r="V767" s="3" t="str">
        <f aca="false">IF(Q767&lt;100,"Low",IF(Q767&lt;=500,"Medium","High"))</f>
        <v>Low</v>
      </c>
      <c r="W767" s="3" t="n">
        <f aca="false">D767-C767</f>
        <v>3</v>
      </c>
      <c r="X767" s="3" t="str">
        <f aca="false">TEXT(C767,"mmmm")</f>
        <v>June</v>
      </c>
      <c r="Y767" s="3" t="str">
        <f aca="false">LEFT(G767,1)&amp;MID(G767,FIND(" ",G767)+1,1)</f>
        <v>RS</v>
      </c>
    </row>
    <row r="768" customFormat="false" ht="15" hidden="false" customHeight="false" outlineLevel="0" collapsed="false">
      <c r="A768" s="3" t="n">
        <v>767</v>
      </c>
      <c r="B768" s="3" t="s">
        <v>2075</v>
      </c>
      <c r="C768" s="4" t="s">
        <v>2074</v>
      </c>
      <c r="D768" s="4" t="s">
        <v>2076</v>
      </c>
      <c r="E768" s="3" t="s">
        <v>84</v>
      </c>
      <c r="F768" s="3" t="s">
        <v>1434</v>
      </c>
      <c r="G768" s="3" t="s">
        <v>1435</v>
      </c>
      <c r="H768" s="3" t="s">
        <v>45</v>
      </c>
      <c r="I768" s="3" t="s">
        <v>32</v>
      </c>
      <c r="J768" s="3" t="s">
        <v>299</v>
      </c>
      <c r="K768" s="3" t="s">
        <v>189</v>
      </c>
      <c r="L768" s="3" t="s">
        <v>59</v>
      </c>
      <c r="M768" s="3" t="s">
        <v>420</v>
      </c>
      <c r="N768" s="3" t="s">
        <v>49</v>
      </c>
      <c r="O768" s="3" t="s">
        <v>80</v>
      </c>
      <c r="P768" s="3" t="s">
        <v>421</v>
      </c>
      <c r="Q768" s="5" t="n">
        <v>116.49</v>
      </c>
      <c r="R768" s="3" t="n">
        <v>4</v>
      </c>
      <c r="S768" s="6" t="n">
        <v>0</v>
      </c>
      <c r="T768" s="5" t="n">
        <v>20.22</v>
      </c>
      <c r="U768" s="3" t="str">
        <f aca="false">IF(T768&lt;0,"Loss",IF(T768=0,"Break-even","Profit"))</f>
        <v>Profit</v>
      </c>
      <c r="V768" s="3" t="str">
        <f aca="false">IF(Q768&lt;100,"Low",IF(Q768&lt;=500,"Medium","High"))</f>
        <v>Medium</v>
      </c>
      <c r="W768" s="3" t="n">
        <f aca="false">D768-C768</f>
        <v>4</v>
      </c>
      <c r="X768" s="3" t="str">
        <f aca="false">TEXT(C768,"mmmm")</f>
        <v>June</v>
      </c>
      <c r="Y768" s="3" t="str">
        <f aca="false">LEFT(G768,1)&amp;MID(G768,FIND(" ",G768)+1,1)</f>
        <v>CJ</v>
      </c>
    </row>
    <row r="769" customFormat="false" ht="15" hidden="false" customHeight="false" outlineLevel="0" collapsed="false">
      <c r="A769" s="3" t="n">
        <v>768</v>
      </c>
      <c r="B769" s="3" t="s">
        <v>2077</v>
      </c>
      <c r="C769" s="4" t="s">
        <v>2074</v>
      </c>
      <c r="D769" s="4" t="s">
        <v>2078</v>
      </c>
      <c r="E769" s="3" t="s">
        <v>28</v>
      </c>
      <c r="F769" s="3" t="s">
        <v>2079</v>
      </c>
      <c r="G769" s="3" t="s">
        <v>2080</v>
      </c>
      <c r="H769" s="3" t="s">
        <v>56</v>
      </c>
      <c r="I769" s="3" t="s">
        <v>32</v>
      </c>
      <c r="J769" s="3" t="s">
        <v>386</v>
      </c>
      <c r="K769" s="3" t="s">
        <v>387</v>
      </c>
      <c r="L769" s="3" t="s">
        <v>35</v>
      </c>
      <c r="M769" s="3" t="s">
        <v>253</v>
      </c>
      <c r="N769" s="3" t="s">
        <v>89</v>
      </c>
      <c r="O769" s="3" t="s">
        <v>90</v>
      </c>
      <c r="P769" s="3" t="s">
        <v>254</v>
      </c>
      <c r="Q769" s="5" t="n">
        <v>707.21</v>
      </c>
      <c r="R769" s="3" t="n">
        <v>9</v>
      </c>
      <c r="S769" s="6" t="n">
        <v>0.5</v>
      </c>
      <c r="T769" s="5" t="n">
        <v>44.02</v>
      </c>
      <c r="U769" s="3" t="str">
        <f aca="false">IF(T769&lt;0,"Loss",IF(T769=0,"Break-even","Profit"))</f>
        <v>Profit</v>
      </c>
      <c r="V769" s="3" t="str">
        <f aca="false">IF(Q769&lt;100,"Low",IF(Q769&lt;=500,"Medium","High"))</f>
        <v>High</v>
      </c>
      <c r="W769" s="3" t="n">
        <f aca="false">D769-C769</f>
        <v>5</v>
      </c>
      <c r="X769" s="3" t="str">
        <f aca="false">TEXT(C769,"mmmm")</f>
        <v>June</v>
      </c>
      <c r="Y769" s="3" t="str">
        <f aca="false">LEFT(G769,1)&amp;MID(G769,FIND(" ",G769)+1,1)</f>
        <v>LD</v>
      </c>
    </row>
    <row r="770" customFormat="false" ht="15" hidden="false" customHeight="false" outlineLevel="0" collapsed="false">
      <c r="A770" s="3" t="n">
        <v>769</v>
      </c>
      <c r="B770" s="3" t="s">
        <v>2081</v>
      </c>
      <c r="C770" s="4" t="s">
        <v>2074</v>
      </c>
      <c r="D770" s="4" t="s">
        <v>2076</v>
      </c>
      <c r="E770" s="3" t="s">
        <v>84</v>
      </c>
      <c r="F770" s="3" t="s">
        <v>2082</v>
      </c>
      <c r="G770" s="3" t="s">
        <v>2083</v>
      </c>
      <c r="H770" s="3" t="s">
        <v>45</v>
      </c>
      <c r="I770" s="3" t="s">
        <v>32</v>
      </c>
      <c r="J770" s="3" t="s">
        <v>285</v>
      </c>
      <c r="K770" s="3" t="s">
        <v>202</v>
      </c>
      <c r="L770" s="3" t="s">
        <v>35</v>
      </c>
      <c r="M770" s="3" t="s">
        <v>316</v>
      </c>
      <c r="N770" s="3" t="s">
        <v>49</v>
      </c>
      <c r="O770" s="3" t="s">
        <v>143</v>
      </c>
      <c r="P770" s="3" t="s">
        <v>317</v>
      </c>
      <c r="Q770" s="5" t="n">
        <v>137.55</v>
      </c>
      <c r="R770" s="3" t="n">
        <v>8</v>
      </c>
      <c r="S770" s="6" t="n">
        <v>0.4</v>
      </c>
      <c r="T770" s="5" t="n">
        <v>3.27</v>
      </c>
      <c r="U770" s="3" t="str">
        <f aca="false">IF(T770&lt;0,"Loss",IF(T770=0,"Break-even","Profit"))</f>
        <v>Profit</v>
      </c>
      <c r="V770" s="3" t="str">
        <f aca="false">IF(Q770&lt;100,"Low",IF(Q770&lt;=500,"Medium","High"))</f>
        <v>Medium</v>
      </c>
      <c r="W770" s="3" t="n">
        <f aca="false">D770-C770</f>
        <v>4</v>
      </c>
      <c r="X770" s="3" t="str">
        <f aca="false">TEXT(C770,"mmmm")</f>
        <v>June</v>
      </c>
      <c r="Y770" s="3" t="str">
        <f aca="false">LEFT(G770,1)&amp;MID(G770,FIND(" ",G770)+1,1)</f>
        <v>FA</v>
      </c>
    </row>
    <row r="771" customFormat="false" ht="15" hidden="false" customHeight="false" outlineLevel="0" collapsed="false">
      <c r="A771" s="3" t="n">
        <v>770</v>
      </c>
      <c r="B771" s="3" t="s">
        <v>2084</v>
      </c>
      <c r="C771" s="4" t="s">
        <v>2074</v>
      </c>
      <c r="D771" s="4" t="s">
        <v>2076</v>
      </c>
      <c r="E771" s="3" t="s">
        <v>84</v>
      </c>
      <c r="F771" s="3" t="s">
        <v>2085</v>
      </c>
      <c r="G771" s="3" t="s">
        <v>2086</v>
      </c>
      <c r="H771" s="3" t="s">
        <v>31</v>
      </c>
      <c r="I771" s="3" t="s">
        <v>32</v>
      </c>
      <c r="J771" s="3" t="s">
        <v>381</v>
      </c>
      <c r="K771" s="3" t="s">
        <v>58</v>
      </c>
      <c r="L771" s="3" t="s">
        <v>59</v>
      </c>
      <c r="M771" s="3" t="s">
        <v>88</v>
      </c>
      <c r="N771" s="3" t="s">
        <v>89</v>
      </c>
      <c r="O771" s="3" t="s">
        <v>90</v>
      </c>
      <c r="P771" s="3" t="s">
        <v>91</v>
      </c>
      <c r="Q771" s="5" t="n">
        <v>7339.49</v>
      </c>
      <c r="R771" s="3" t="n">
        <v>10</v>
      </c>
      <c r="S771" s="6" t="n">
        <v>0.1</v>
      </c>
      <c r="T771" s="5" t="n">
        <v>1539.51</v>
      </c>
      <c r="U771" s="3" t="str">
        <f aca="false">IF(T771&lt;0,"Loss",IF(T771=0,"Break-even","Profit"))</f>
        <v>Profit</v>
      </c>
      <c r="V771" s="3" t="str">
        <f aca="false">IF(Q771&lt;100,"Low",IF(Q771&lt;=500,"Medium","High"))</f>
        <v>High</v>
      </c>
      <c r="W771" s="3" t="n">
        <f aca="false">D771-C771</f>
        <v>4</v>
      </c>
      <c r="X771" s="3" t="str">
        <f aca="false">TEXT(C771,"mmmm")</f>
        <v>June</v>
      </c>
      <c r="Y771" s="3" t="str">
        <f aca="false">LEFT(G771,1)&amp;MID(G771,FIND(" ",G771)+1,1)</f>
        <v>RK</v>
      </c>
    </row>
    <row r="772" customFormat="false" ht="15" hidden="false" customHeight="false" outlineLevel="0" collapsed="false">
      <c r="A772" s="3" t="n">
        <v>771</v>
      </c>
      <c r="B772" s="3" t="s">
        <v>2087</v>
      </c>
      <c r="C772" s="4" t="s">
        <v>2074</v>
      </c>
      <c r="D772" s="4" t="s">
        <v>2074</v>
      </c>
      <c r="E772" s="3" t="s">
        <v>53</v>
      </c>
      <c r="F772" s="3" t="s">
        <v>2088</v>
      </c>
      <c r="G772" s="3" t="s">
        <v>2089</v>
      </c>
      <c r="H772" s="3" t="s">
        <v>31</v>
      </c>
      <c r="I772" s="3" t="s">
        <v>32</v>
      </c>
      <c r="J772" s="3" t="s">
        <v>171</v>
      </c>
      <c r="K772" s="3" t="s">
        <v>172</v>
      </c>
      <c r="L772" s="3" t="s">
        <v>157</v>
      </c>
      <c r="M772" s="3" t="s">
        <v>60</v>
      </c>
      <c r="N772" s="3" t="s">
        <v>49</v>
      </c>
      <c r="O772" s="3" t="s">
        <v>61</v>
      </c>
      <c r="P772" s="3" t="s">
        <v>62</v>
      </c>
      <c r="Q772" s="5" t="n">
        <v>37.82</v>
      </c>
      <c r="R772" s="3" t="n">
        <v>10</v>
      </c>
      <c r="S772" s="6" t="n">
        <v>0.4</v>
      </c>
      <c r="T772" s="5" t="n">
        <v>6.39</v>
      </c>
      <c r="U772" s="3" t="str">
        <f aca="false">IF(T772&lt;0,"Loss",IF(T772=0,"Break-even","Profit"))</f>
        <v>Profit</v>
      </c>
      <c r="V772" s="3" t="str">
        <f aca="false">IF(Q772&lt;100,"Low",IF(Q772&lt;=500,"Medium","High"))</f>
        <v>Low</v>
      </c>
      <c r="W772" s="3" t="n">
        <f aca="false">D772-C772</f>
        <v>0</v>
      </c>
      <c r="X772" s="3" t="str">
        <f aca="false">TEXT(C772,"mmmm")</f>
        <v>June</v>
      </c>
      <c r="Y772" s="3" t="str">
        <f aca="false">LEFT(G772,1)&amp;MID(G772,FIND(" ",G772)+1,1)</f>
        <v>AS</v>
      </c>
    </row>
    <row r="773" customFormat="false" ht="15" hidden="false" customHeight="false" outlineLevel="0" collapsed="false">
      <c r="A773" s="3" t="n">
        <v>772</v>
      </c>
      <c r="B773" s="3" t="s">
        <v>2090</v>
      </c>
      <c r="C773" s="4" t="s">
        <v>2091</v>
      </c>
      <c r="D773" s="4" t="s">
        <v>2076</v>
      </c>
      <c r="E773" s="3" t="s">
        <v>84</v>
      </c>
      <c r="F773" s="3" t="s">
        <v>1243</v>
      </c>
      <c r="G773" s="3" t="s">
        <v>1244</v>
      </c>
      <c r="H773" s="3" t="s">
        <v>45</v>
      </c>
      <c r="I773" s="3" t="s">
        <v>32</v>
      </c>
      <c r="J773" s="3" t="s">
        <v>252</v>
      </c>
      <c r="K773" s="3" t="s">
        <v>172</v>
      </c>
      <c r="L773" s="3" t="s">
        <v>157</v>
      </c>
      <c r="M773" s="3" t="s">
        <v>683</v>
      </c>
      <c r="N773" s="3" t="s">
        <v>37</v>
      </c>
      <c r="O773" s="3" t="s">
        <v>136</v>
      </c>
      <c r="P773" s="3" t="s">
        <v>684</v>
      </c>
      <c r="Q773" s="5" t="n">
        <v>7844.08</v>
      </c>
      <c r="R773" s="3" t="n">
        <v>6</v>
      </c>
      <c r="S773" s="6" t="n">
        <v>0</v>
      </c>
      <c r="T773" s="5" t="n">
        <v>738.02</v>
      </c>
      <c r="U773" s="3" t="str">
        <f aca="false">IF(T773&lt;0,"Loss",IF(T773=0,"Break-even","Profit"))</f>
        <v>Profit</v>
      </c>
      <c r="V773" s="3" t="str">
        <f aca="false">IF(Q773&lt;100,"Low",IF(Q773&lt;=500,"Medium","High"))</f>
        <v>High</v>
      </c>
      <c r="W773" s="3" t="n">
        <f aca="false">D773-C773</f>
        <v>2</v>
      </c>
      <c r="X773" s="3" t="str">
        <f aca="false">TEXT(C773,"mmmm")</f>
        <v>June</v>
      </c>
      <c r="Y773" s="3" t="str">
        <f aca="false">LEFT(G773,1)&amp;MID(G773,FIND(" ",G773)+1,1)</f>
        <v>SS</v>
      </c>
    </row>
    <row r="774" customFormat="false" ht="15" hidden="false" customHeight="false" outlineLevel="0" collapsed="false">
      <c r="A774" s="3" t="n">
        <v>773</v>
      </c>
      <c r="B774" s="3" t="s">
        <v>2092</v>
      </c>
      <c r="C774" s="4" t="s">
        <v>2091</v>
      </c>
      <c r="D774" s="4" t="s">
        <v>2078</v>
      </c>
      <c r="E774" s="3" t="s">
        <v>84</v>
      </c>
      <c r="F774" s="3" t="s">
        <v>536</v>
      </c>
      <c r="G774" s="3" t="s">
        <v>537</v>
      </c>
      <c r="H774" s="3" t="s">
        <v>56</v>
      </c>
      <c r="I774" s="3" t="s">
        <v>32</v>
      </c>
      <c r="J774" s="3" t="s">
        <v>112</v>
      </c>
      <c r="K774" s="3" t="s">
        <v>113</v>
      </c>
      <c r="L774" s="3" t="s">
        <v>69</v>
      </c>
      <c r="M774" s="3" t="s">
        <v>559</v>
      </c>
      <c r="N774" s="3" t="s">
        <v>37</v>
      </c>
      <c r="O774" s="3" t="s">
        <v>38</v>
      </c>
      <c r="P774" s="3" t="s">
        <v>560</v>
      </c>
      <c r="Q774" s="5" t="n">
        <v>9396.99</v>
      </c>
      <c r="R774" s="3" t="n">
        <v>12</v>
      </c>
      <c r="S774" s="6" t="n">
        <v>0.1</v>
      </c>
      <c r="T774" s="5" t="n">
        <v>-822.66</v>
      </c>
      <c r="U774" s="3" t="str">
        <f aca="false">IF(T774&lt;0,"Loss",IF(T774=0,"Break-even","Profit"))</f>
        <v>Loss</v>
      </c>
      <c r="V774" s="3" t="str">
        <f aca="false">IF(Q774&lt;100,"Low",IF(Q774&lt;=500,"Medium","High"))</f>
        <v>High</v>
      </c>
      <c r="W774" s="3" t="n">
        <f aca="false">D774-C774</f>
        <v>3</v>
      </c>
      <c r="X774" s="3" t="str">
        <f aca="false">TEXT(C774,"mmmm")</f>
        <v>June</v>
      </c>
      <c r="Y774" s="3" t="str">
        <f aca="false">LEFT(G774,1)&amp;MID(G774,FIND(" ",G774)+1,1)</f>
        <v>EB</v>
      </c>
    </row>
    <row r="775" customFormat="false" ht="15" hidden="false" customHeight="false" outlineLevel="0" collapsed="false">
      <c r="A775" s="3" t="n">
        <v>774</v>
      </c>
      <c r="B775" s="3" t="s">
        <v>2093</v>
      </c>
      <c r="C775" s="4" t="s">
        <v>2091</v>
      </c>
      <c r="D775" s="4" t="s">
        <v>2078</v>
      </c>
      <c r="E775" s="3" t="s">
        <v>84</v>
      </c>
      <c r="F775" s="3" t="s">
        <v>1802</v>
      </c>
      <c r="G775" s="3" t="s">
        <v>1803</v>
      </c>
      <c r="H775" s="3" t="s">
        <v>56</v>
      </c>
      <c r="I775" s="3" t="s">
        <v>32</v>
      </c>
      <c r="J775" s="3" t="s">
        <v>179</v>
      </c>
      <c r="K775" s="3" t="s">
        <v>47</v>
      </c>
      <c r="L775" s="3" t="s">
        <v>35</v>
      </c>
      <c r="M775" s="3" t="s">
        <v>190</v>
      </c>
      <c r="N775" s="3" t="s">
        <v>49</v>
      </c>
      <c r="O775" s="3" t="s">
        <v>150</v>
      </c>
      <c r="P775" s="3" t="s">
        <v>191</v>
      </c>
      <c r="Q775" s="5" t="n">
        <v>18.7</v>
      </c>
      <c r="R775" s="3" t="n">
        <v>1</v>
      </c>
      <c r="S775" s="6" t="n">
        <v>0</v>
      </c>
      <c r="T775" s="5" t="n">
        <v>4.64</v>
      </c>
      <c r="U775" s="3" t="str">
        <f aca="false">IF(T775&lt;0,"Loss",IF(T775=0,"Break-even","Profit"))</f>
        <v>Profit</v>
      </c>
      <c r="V775" s="3" t="str">
        <f aca="false">IF(Q775&lt;100,"Low",IF(Q775&lt;=500,"Medium","High"))</f>
        <v>Low</v>
      </c>
      <c r="W775" s="3" t="n">
        <f aca="false">D775-C775</f>
        <v>3</v>
      </c>
      <c r="X775" s="3" t="str">
        <f aca="false">TEXT(C775,"mmmm")</f>
        <v>June</v>
      </c>
      <c r="Y775" s="3" t="str">
        <f aca="false">LEFT(G775,1)&amp;MID(G775,FIND(" ",G775)+1,1)</f>
        <v>AJ</v>
      </c>
    </row>
    <row r="776" customFormat="false" ht="15" hidden="false" customHeight="false" outlineLevel="0" collapsed="false">
      <c r="A776" s="3" t="n">
        <v>775</v>
      </c>
      <c r="B776" s="3" t="s">
        <v>1908</v>
      </c>
      <c r="C776" s="4" t="s">
        <v>2094</v>
      </c>
      <c r="D776" s="4" t="s">
        <v>2095</v>
      </c>
      <c r="E776" s="3" t="s">
        <v>28</v>
      </c>
      <c r="F776" s="3" t="s">
        <v>912</v>
      </c>
      <c r="G776" s="3" t="s">
        <v>913</v>
      </c>
      <c r="H776" s="3" t="s">
        <v>56</v>
      </c>
      <c r="I776" s="3" t="s">
        <v>32</v>
      </c>
      <c r="J776" s="3" t="s">
        <v>252</v>
      </c>
      <c r="K776" s="3" t="s">
        <v>172</v>
      </c>
      <c r="L776" s="3" t="s">
        <v>157</v>
      </c>
      <c r="M776" s="3" t="s">
        <v>470</v>
      </c>
      <c r="N776" s="3" t="s">
        <v>49</v>
      </c>
      <c r="O776" s="3" t="s">
        <v>159</v>
      </c>
      <c r="P776" s="3" t="s">
        <v>471</v>
      </c>
      <c r="Q776" s="5" t="n">
        <v>953.4</v>
      </c>
      <c r="R776" s="3" t="n">
        <v>11</v>
      </c>
      <c r="S776" s="6" t="n">
        <v>0.2</v>
      </c>
      <c r="T776" s="5" t="n">
        <v>-121.96</v>
      </c>
      <c r="U776" s="3" t="str">
        <f aca="false">IF(T776&lt;0,"Loss",IF(T776=0,"Break-even","Profit"))</f>
        <v>Loss</v>
      </c>
      <c r="V776" s="3" t="str">
        <f aca="false">IF(Q776&lt;100,"Low",IF(Q776&lt;=500,"Medium","High"))</f>
        <v>High</v>
      </c>
      <c r="W776" s="3" t="n">
        <f aca="false">D776-C776</f>
        <v>4</v>
      </c>
      <c r="X776" s="3" t="str">
        <f aca="false">TEXT(C776,"mmmm")</f>
        <v>June</v>
      </c>
      <c r="Y776" s="3" t="str">
        <f aca="false">LEFT(G776,1)&amp;MID(G776,FIND(" ",G776)+1,1)</f>
        <v>AB</v>
      </c>
    </row>
    <row r="777" customFormat="false" ht="15" hidden="false" customHeight="false" outlineLevel="0" collapsed="false">
      <c r="A777" s="3" t="n">
        <v>776</v>
      </c>
      <c r="B777" s="3" t="s">
        <v>1968</v>
      </c>
      <c r="C777" s="4" t="s">
        <v>2094</v>
      </c>
      <c r="D777" s="4" t="s">
        <v>2096</v>
      </c>
      <c r="E777" s="3" t="s">
        <v>28</v>
      </c>
      <c r="F777" s="3" t="s">
        <v>75</v>
      </c>
      <c r="G777" s="3" t="s">
        <v>76</v>
      </c>
      <c r="H777" s="3" t="s">
        <v>45</v>
      </c>
      <c r="I777" s="3" t="s">
        <v>32</v>
      </c>
      <c r="J777" s="3" t="s">
        <v>476</v>
      </c>
      <c r="K777" s="3" t="s">
        <v>366</v>
      </c>
      <c r="L777" s="3" t="s">
        <v>157</v>
      </c>
      <c r="M777" s="3" t="s">
        <v>420</v>
      </c>
      <c r="N777" s="3" t="s">
        <v>49</v>
      </c>
      <c r="O777" s="3" t="s">
        <v>80</v>
      </c>
      <c r="P777" s="3" t="s">
        <v>421</v>
      </c>
      <c r="Q777" s="5" t="n">
        <v>200.06</v>
      </c>
      <c r="R777" s="3" t="n">
        <v>4</v>
      </c>
      <c r="S777" s="6" t="n">
        <v>0.2</v>
      </c>
      <c r="T777" s="5" t="n">
        <v>46.72</v>
      </c>
      <c r="U777" s="3" t="str">
        <f aca="false">IF(T777&lt;0,"Loss",IF(T777=0,"Break-even","Profit"))</f>
        <v>Profit</v>
      </c>
      <c r="V777" s="3" t="str">
        <f aca="false">IF(Q777&lt;100,"Low",IF(Q777&lt;=500,"Medium","High"))</f>
        <v>Medium</v>
      </c>
      <c r="W777" s="3" t="n">
        <f aca="false">D777-C777</f>
        <v>3</v>
      </c>
      <c r="X777" s="3" t="str">
        <f aca="false">TEXT(C777,"mmmm")</f>
        <v>June</v>
      </c>
      <c r="Y777" s="3" t="str">
        <f aca="false">LEFT(G777,1)&amp;MID(G777,FIND(" ",G777)+1,1)</f>
        <v>LM</v>
      </c>
    </row>
    <row r="778" customFormat="false" ht="15" hidden="false" customHeight="false" outlineLevel="0" collapsed="false">
      <c r="A778" s="3" t="n">
        <v>777</v>
      </c>
      <c r="B778" s="3" t="s">
        <v>2097</v>
      </c>
      <c r="C778" s="4" t="s">
        <v>2076</v>
      </c>
      <c r="D778" s="4" t="s">
        <v>2098</v>
      </c>
      <c r="E778" s="3" t="s">
        <v>84</v>
      </c>
      <c r="F778" s="3" t="s">
        <v>441</v>
      </c>
      <c r="G778" s="3" t="s">
        <v>442</v>
      </c>
      <c r="H778" s="3" t="s">
        <v>31</v>
      </c>
      <c r="I778" s="3" t="s">
        <v>32</v>
      </c>
      <c r="J778" s="3" t="s">
        <v>299</v>
      </c>
      <c r="K778" s="3" t="s">
        <v>189</v>
      </c>
      <c r="L778" s="3" t="s">
        <v>59</v>
      </c>
      <c r="M778" s="3" t="s">
        <v>173</v>
      </c>
      <c r="N778" s="3" t="s">
        <v>89</v>
      </c>
      <c r="O778" s="3" t="s">
        <v>174</v>
      </c>
      <c r="P778" s="3" t="s">
        <v>175</v>
      </c>
      <c r="Q778" s="5" t="n">
        <v>687.21</v>
      </c>
      <c r="R778" s="3" t="n">
        <v>3</v>
      </c>
      <c r="S778" s="6" t="n">
        <v>0.1</v>
      </c>
      <c r="T778" s="5" t="n">
        <v>95.44</v>
      </c>
      <c r="U778" s="3" t="str">
        <f aca="false">IF(T778&lt;0,"Loss",IF(T778=0,"Break-even","Profit"))</f>
        <v>Profit</v>
      </c>
      <c r="V778" s="3" t="str">
        <f aca="false">IF(Q778&lt;100,"Low",IF(Q778&lt;=500,"Medium","High"))</f>
        <v>High</v>
      </c>
      <c r="W778" s="3" t="n">
        <f aca="false">D778-C778</f>
        <v>4</v>
      </c>
      <c r="X778" s="3" t="str">
        <f aca="false">TEXT(C778,"mmmm")</f>
        <v>June</v>
      </c>
      <c r="Y778" s="3" t="str">
        <f aca="false">LEFT(G778,1)&amp;MID(G778,FIND(" ",G778)+1,1)</f>
        <v>AK</v>
      </c>
    </row>
    <row r="779" customFormat="false" ht="15" hidden="false" customHeight="false" outlineLevel="0" collapsed="false">
      <c r="A779" s="3" t="n">
        <v>778</v>
      </c>
      <c r="B779" s="3" t="s">
        <v>2099</v>
      </c>
      <c r="C779" s="4" t="s">
        <v>2078</v>
      </c>
      <c r="D779" s="4" t="s">
        <v>2100</v>
      </c>
      <c r="E779" s="3" t="s">
        <v>28</v>
      </c>
      <c r="F779" s="3" t="s">
        <v>1070</v>
      </c>
      <c r="G779" s="3" t="s">
        <v>1071</v>
      </c>
      <c r="H779" s="3" t="s">
        <v>56</v>
      </c>
      <c r="I779" s="3" t="s">
        <v>32</v>
      </c>
      <c r="J779" s="3" t="s">
        <v>208</v>
      </c>
      <c r="K779" s="3" t="s">
        <v>134</v>
      </c>
      <c r="L779" s="3" t="s">
        <v>69</v>
      </c>
      <c r="M779" s="3" t="s">
        <v>300</v>
      </c>
      <c r="N779" s="3" t="s">
        <v>49</v>
      </c>
      <c r="O779" s="3" t="s">
        <v>143</v>
      </c>
      <c r="P779" s="3" t="s">
        <v>301</v>
      </c>
      <c r="Q779" s="5" t="n">
        <v>733.12</v>
      </c>
      <c r="R779" s="3" t="n">
        <v>8</v>
      </c>
      <c r="S779" s="6" t="n">
        <v>0.1</v>
      </c>
      <c r="T779" s="5" t="n">
        <v>-59.75</v>
      </c>
      <c r="U779" s="3" t="str">
        <f aca="false">IF(T779&lt;0,"Loss",IF(T779=0,"Break-even","Profit"))</f>
        <v>Loss</v>
      </c>
      <c r="V779" s="3" t="str">
        <f aca="false">IF(Q779&lt;100,"Low",IF(Q779&lt;=500,"Medium","High"))</f>
        <v>High</v>
      </c>
      <c r="W779" s="3" t="n">
        <f aca="false">D779-C779</f>
        <v>5</v>
      </c>
      <c r="X779" s="3" t="str">
        <f aca="false">TEXT(C779,"mmmm")</f>
        <v>June</v>
      </c>
      <c r="Y779" s="3" t="str">
        <f aca="false">LEFT(G779,1)&amp;MID(G779,FIND(" ",G779)+1,1)</f>
        <v>PB</v>
      </c>
    </row>
    <row r="780" customFormat="false" ht="15" hidden="false" customHeight="false" outlineLevel="0" collapsed="false">
      <c r="A780" s="3" t="n">
        <v>779</v>
      </c>
      <c r="B780" s="3" t="s">
        <v>2101</v>
      </c>
      <c r="C780" s="4" t="s">
        <v>2078</v>
      </c>
      <c r="D780" s="4" t="s">
        <v>2096</v>
      </c>
      <c r="E780" s="3" t="s">
        <v>42</v>
      </c>
      <c r="F780" s="3" t="s">
        <v>2102</v>
      </c>
      <c r="G780" s="3" t="s">
        <v>2103</v>
      </c>
      <c r="H780" s="3" t="s">
        <v>56</v>
      </c>
      <c r="I780" s="3" t="s">
        <v>32</v>
      </c>
      <c r="J780" s="3" t="s">
        <v>201</v>
      </c>
      <c r="K780" s="3" t="s">
        <v>202</v>
      </c>
      <c r="L780" s="3" t="s">
        <v>35</v>
      </c>
      <c r="M780" s="3" t="s">
        <v>269</v>
      </c>
      <c r="N780" s="3" t="s">
        <v>89</v>
      </c>
      <c r="O780" s="3" t="s">
        <v>174</v>
      </c>
      <c r="P780" s="3" t="s">
        <v>270</v>
      </c>
      <c r="Q780" s="5" t="n">
        <v>512.46</v>
      </c>
      <c r="R780" s="3" t="n">
        <v>1</v>
      </c>
      <c r="S780" s="6" t="n">
        <v>0.3</v>
      </c>
      <c r="T780" s="5" t="n">
        <v>-17.4</v>
      </c>
      <c r="U780" s="3" t="str">
        <f aca="false">IF(T780&lt;0,"Loss",IF(T780=0,"Break-even","Profit"))</f>
        <v>Loss</v>
      </c>
      <c r="V780" s="3" t="str">
        <f aca="false">IF(Q780&lt;100,"Low",IF(Q780&lt;=500,"Medium","High"))</f>
        <v>High</v>
      </c>
      <c r="W780" s="3" t="n">
        <f aca="false">D780-C780</f>
        <v>1</v>
      </c>
      <c r="X780" s="3" t="str">
        <f aca="false">TEXT(C780,"mmmm")</f>
        <v>June</v>
      </c>
      <c r="Y780" s="3" t="str">
        <f aca="false">LEFT(G780,1)&amp;MID(G780,FIND(" ",G780)+1,1)</f>
        <v>PJ</v>
      </c>
    </row>
    <row r="781" customFormat="false" ht="15" hidden="false" customHeight="false" outlineLevel="0" collapsed="false">
      <c r="A781" s="3" t="n">
        <v>780</v>
      </c>
      <c r="B781" s="3" t="s">
        <v>2104</v>
      </c>
      <c r="C781" s="4" t="s">
        <v>2096</v>
      </c>
      <c r="D781" s="4" t="s">
        <v>2100</v>
      </c>
      <c r="E781" s="3" t="s">
        <v>28</v>
      </c>
      <c r="F781" s="3" t="s">
        <v>2105</v>
      </c>
      <c r="G781" s="3" t="s">
        <v>2106</v>
      </c>
      <c r="H781" s="3" t="s">
        <v>31</v>
      </c>
      <c r="I781" s="3" t="s">
        <v>32</v>
      </c>
      <c r="J781" s="3" t="s">
        <v>148</v>
      </c>
      <c r="K781" s="3" t="s">
        <v>78</v>
      </c>
      <c r="L781" s="3" t="s">
        <v>59</v>
      </c>
      <c r="M781" s="3" t="s">
        <v>659</v>
      </c>
      <c r="N781" s="3" t="s">
        <v>89</v>
      </c>
      <c r="O781" s="3" t="s">
        <v>323</v>
      </c>
      <c r="P781" s="3" t="s">
        <v>660</v>
      </c>
      <c r="Q781" s="5" t="n">
        <v>6980.22</v>
      </c>
      <c r="R781" s="3" t="n">
        <v>14</v>
      </c>
      <c r="S781" s="6" t="n">
        <v>0</v>
      </c>
      <c r="T781" s="5" t="n">
        <v>338.45</v>
      </c>
      <c r="U781" s="3" t="str">
        <f aca="false">IF(T781&lt;0,"Loss",IF(T781=0,"Break-even","Profit"))</f>
        <v>Profit</v>
      </c>
      <c r="V781" s="3" t="str">
        <f aca="false">IF(Q781&lt;100,"Low",IF(Q781&lt;=500,"Medium","High"))</f>
        <v>High</v>
      </c>
      <c r="W781" s="3" t="n">
        <f aca="false">D781-C781</f>
        <v>4</v>
      </c>
      <c r="X781" s="3" t="str">
        <f aca="false">TEXT(C781,"mmmm")</f>
        <v>June</v>
      </c>
      <c r="Y781" s="3" t="str">
        <f aca="false">LEFT(G781,1)&amp;MID(G781,FIND(" ",G781)+1,1)</f>
        <v>AM</v>
      </c>
    </row>
    <row r="782" customFormat="false" ht="15" hidden="false" customHeight="false" outlineLevel="0" collapsed="false">
      <c r="A782" s="3" t="n">
        <v>781</v>
      </c>
      <c r="B782" s="3" t="s">
        <v>2107</v>
      </c>
      <c r="C782" s="4" t="s">
        <v>2095</v>
      </c>
      <c r="D782" s="4" t="s">
        <v>2108</v>
      </c>
      <c r="E782" s="3" t="s">
        <v>84</v>
      </c>
      <c r="F782" s="3" t="s">
        <v>1112</v>
      </c>
      <c r="G782" s="3" t="s">
        <v>1113</v>
      </c>
      <c r="H782" s="3" t="s">
        <v>56</v>
      </c>
      <c r="I782" s="3" t="s">
        <v>32</v>
      </c>
      <c r="J782" s="3" t="s">
        <v>112</v>
      </c>
      <c r="K782" s="3" t="s">
        <v>113</v>
      </c>
      <c r="L782" s="3" t="s">
        <v>69</v>
      </c>
      <c r="M782" s="3" t="s">
        <v>300</v>
      </c>
      <c r="N782" s="3" t="s">
        <v>49</v>
      </c>
      <c r="O782" s="3" t="s">
        <v>143</v>
      </c>
      <c r="P782" s="3" t="s">
        <v>301</v>
      </c>
      <c r="Q782" s="5" t="n">
        <v>549.13</v>
      </c>
      <c r="R782" s="3" t="n">
        <v>14</v>
      </c>
      <c r="S782" s="6" t="n">
        <v>0</v>
      </c>
      <c r="T782" s="5" t="n">
        <v>173.39</v>
      </c>
      <c r="U782" s="3" t="str">
        <f aca="false">IF(T782&lt;0,"Loss",IF(T782=0,"Break-even","Profit"))</f>
        <v>Profit</v>
      </c>
      <c r="V782" s="3" t="str">
        <f aca="false">IF(Q782&lt;100,"Low",IF(Q782&lt;=500,"Medium","High"))</f>
        <v>High</v>
      </c>
      <c r="W782" s="3" t="n">
        <f aca="false">D782-C782</f>
        <v>4</v>
      </c>
      <c r="X782" s="3" t="str">
        <f aca="false">TEXT(C782,"mmmm")</f>
        <v>June</v>
      </c>
      <c r="Y782" s="3" t="str">
        <f aca="false">LEFT(G782,1)&amp;MID(G782,FIND(" ",G782)+1,1)</f>
        <v>MD</v>
      </c>
    </row>
    <row r="783" customFormat="false" ht="15" hidden="false" customHeight="false" outlineLevel="0" collapsed="false">
      <c r="A783" s="3" t="n">
        <v>782</v>
      </c>
      <c r="B783" s="3" t="s">
        <v>2109</v>
      </c>
      <c r="C783" s="4" t="s">
        <v>2095</v>
      </c>
      <c r="D783" s="4" t="s">
        <v>2110</v>
      </c>
      <c r="E783" s="3" t="s">
        <v>28</v>
      </c>
      <c r="F783" s="3" t="s">
        <v>821</v>
      </c>
      <c r="G783" s="3" t="s">
        <v>822</v>
      </c>
      <c r="H783" s="3" t="s">
        <v>45</v>
      </c>
      <c r="I783" s="3" t="s">
        <v>32</v>
      </c>
      <c r="J783" s="3" t="s">
        <v>476</v>
      </c>
      <c r="K783" s="3" t="s">
        <v>366</v>
      </c>
      <c r="L783" s="3" t="s">
        <v>157</v>
      </c>
      <c r="M783" s="3" t="s">
        <v>195</v>
      </c>
      <c r="N783" s="3" t="s">
        <v>37</v>
      </c>
      <c r="O783" s="3" t="s">
        <v>196</v>
      </c>
      <c r="P783" s="3" t="s">
        <v>197</v>
      </c>
      <c r="Q783" s="5" t="n">
        <v>5247.1</v>
      </c>
      <c r="R783" s="3" t="n">
        <v>6</v>
      </c>
      <c r="S783" s="6" t="n">
        <v>0.5</v>
      </c>
      <c r="T783" s="5" t="n">
        <v>-983.76</v>
      </c>
      <c r="U783" s="3" t="str">
        <f aca="false">IF(T783&lt;0,"Loss",IF(T783=0,"Break-even","Profit"))</f>
        <v>Loss</v>
      </c>
      <c r="V783" s="3" t="str">
        <f aca="false">IF(Q783&lt;100,"Low",IF(Q783&lt;=500,"Medium","High"))</f>
        <v>High</v>
      </c>
      <c r="W783" s="3" t="n">
        <f aca="false">D783-C783</f>
        <v>6</v>
      </c>
      <c r="X783" s="3" t="str">
        <f aca="false">TEXT(C783,"mmmm")</f>
        <v>June</v>
      </c>
      <c r="Y783" s="3" t="str">
        <f aca="false">LEFT(G783,1)&amp;MID(G783,FIND(" ",G783)+1,1)</f>
        <v>SM</v>
      </c>
    </row>
    <row r="784" customFormat="false" ht="15" hidden="false" customHeight="false" outlineLevel="0" collapsed="false">
      <c r="A784" s="3" t="n">
        <v>783</v>
      </c>
      <c r="B784" s="3" t="s">
        <v>2111</v>
      </c>
      <c r="C784" s="4" t="s">
        <v>2098</v>
      </c>
      <c r="D784" s="4" t="s">
        <v>2112</v>
      </c>
      <c r="E784" s="3" t="s">
        <v>42</v>
      </c>
      <c r="F784" s="3" t="s">
        <v>970</v>
      </c>
      <c r="G784" s="3" t="s">
        <v>971</v>
      </c>
      <c r="H784" s="3" t="s">
        <v>56</v>
      </c>
      <c r="I784" s="3" t="s">
        <v>32</v>
      </c>
      <c r="J784" s="3" t="s">
        <v>77</v>
      </c>
      <c r="K784" s="3" t="s">
        <v>78</v>
      </c>
      <c r="L784" s="3" t="s">
        <v>59</v>
      </c>
      <c r="M784" s="3" t="s">
        <v>36</v>
      </c>
      <c r="N784" s="3" t="s">
        <v>37</v>
      </c>
      <c r="O784" s="3" t="s">
        <v>38</v>
      </c>
      <c r="P784" s="3" t="s">
        <v>39</v>
      </c>
      <c r="Q784" s="5" t="n">
        <v>6928.83</v>
      </c>
      <c r="R784" s="3" t="n">
        <v>11</v>
      </c>
      <c r="S784" s="6" t="n">
        <v>0.2</v>
      </c>
      <c r="T784" s="5" t="n">
        <v>934.69</v>
      </c>
      <c r="U784" s="3" t="str">
        <f aca="false">IF(T784&lt;0,"Loss",IF(T784=0,"Break-even","Profit"))</f>
        <v>Profit</v>
      </c>
      <c r="V784" s="3" t="str">
        <f aca="false">IF(Q784&lt;100,"Low",IF(Q784&lt;=500,"Medium","High"))</f>
        <v>High</v>
      </c>
      <c r="W784" s="3" t="n">
        <f aca="false">D784-C784</f>
        <v>1</v>
      </c>
      <c r="X784" s="3" t="str">
        <f aca="false">TEXT(C784,"mmmm")</f>
        <v>July</v>
      </c>
      <c r="Y784" s="3" t="str">
        <f aca="false">LEFT(G784,1)&amp;MID(G784,FIND(" ",G784)+1,1)</f>
        <v>PG</v>
      </c>
    </row>
    <row r="785" customFormat="false" ht="15" hidden="false" customHeight="false" outlineLevel="0" collapsed="false">
      <c r="A785" s="3" t="n">
        <v>784</v>
      </c>
      <c r="B785" s="3" t="s">
        <v>2113</v>
      </c>
      <c r="C785" s="4" t="s">
        <v>2112</v>
      </c>
      <c r="D785" s="4" t="s">
        <v>2110</v>
      </c>
      <c r="E785" s="3" t="s">
        <v>84</v>
      </c>
      <c r="F785" s="3" t="s">
        <v>1258</v>
      </c>
      <c r="G785" s="3" t="s">
        <v>1259</v>
      </c>
      <c r="H785" s="3" t="s">
        <v>56</v>
      </c>
      <c r="I785" s="3" t="s">
        <v>32</v>
      </c>
      <c r="J785" s="3" t="s">
        <v>201</v>
      </c>
      <c r="K785" s="3" t="s">
        <v>202</v>
      </c>
      <c r="L785" s="3" t="s">
        <v>35</v>
      </c>
      <c r="M785" s="3" t="s">
        <v>253</v>
      </c>
      <c r="N785" s="3" t="s">
        <v>89</v>
      </c>
      <c r="O785" s="3" t="s">
        <v>90</v>
      </c>
      <c r="P785" s="3" t="s">
        <v>254</v>
      </c>
      <c r="Q785" s="5" t="n">
        <v>2338.62</v>
      </c>
      <c r="R785" s="3" t="n">
        <v>3</v>
      </c>
      <c r="S785" s="6" t="n">
        <v>0</v>
      </c>
      <c r="T785" s="5" t="n">
        <v>-136.33</v>
      </c>
      <c r="U785" s="3" t="str">
        <f aca="false">IF(T785&lt;0,"Loss",IF(T785=0,"Break-even","Profit"))</f>
        <v>Loss</v>
      </c>
      <c r="V785" s="3" t="str">
        <f aca="false">IF(Q785&lt;100,"Low",IF(Q785&lt;=500,"Medium","High"))</f>
        <v>High</v>
      </c>
      <c r="W785" s="3" t="n">
        <f aca="false">D785-C785</f>
        <v>4</v>
      </c>
      <c r="X785" s="3" t="str">
        <f aca="false">TEXT(C785,"mmmm")</f>
        <v>July</v>
      </c>
      <c r="Y785" s="3" t="str">
        <f aca="false">LEFT(G785,1)&amp;MID(G785,FIND(" ",G785)+1,1)</f>
        <v>MS</v>
      </c>
    </row>
    <row r="786" customFormat="false" ht="15" hidden="false" customHeight="false" outlineLevel="0" collapsed="false">
      <c r="A786" s="3" t="n">
        <v>785</v>
      </c>
      <c r="B786" s="3" t="s">
        <v>2114</v>
      </c>
      <c r="C786" s="4" t="s">
        <v>2112</v>
      </c>
      <c r="D786" s="4" t="s">
        <v>2115</v>
      </c>
      <c r="E786" s="3" t="s">
        <v>28</v>
      </c>
      <c r="F786" s="3" t="s">
        <v>310</v>
      </c>
      <c r="G786" s="3" t="s">
        <v>311</v>
      </c>
      <c r="H786" s="3" t="s">
        <v>45</v>
      </c>
      <c r="I786" s="3" t="s">
        <v>32</v>
      </c>
      <c r="J786" s="3" t="s">
        <v>386</v>
      </c>
      <c r="K786" s="3" t="s">
        <v>387</v>
      </c>
      <c r="L786" s="3" t="s">
        <v>35</v>
      </c>
      <c r="M786" s="3" t="s">
        <v>461</v>
      </c>
      <c r="N786" s="3" t="s">
        <v>37</v>
      </c>
      <c r="O786" s="3" t="s">
        <v>71</v>
      </c>
      <c r="P786" s="3" t="s">
        <v>462</v>
      </c>
      <c r="Q786" s="5" t="n">
        <v>522.02</v>
      </c>
      <c r="R786" s="3" t="n">
        <v>1</v>
      </c>
      <c r="S786" s="6" t="n">
        <v>0</v>
      </c>
      <c r="T786" s="5" t="n">
        <v>-46.22</v>
      </c>
      <c r="U786" s="3" t="str">
        <f aca="false">IF(T786&lt;0,"Loss",IF(T786=0,"Break-even","Profit"))</f>
        <v>Loss</v>
      </c>
      <c r="V786" s="3" t="str">
        <f aca="false">IF(Q786&lt;100,"Low",IF(Q786&lt;=500,"Medium","High"))</f>
        <v>High</v>
      </c>
      <c r="W786" s="3" t="n">
        <f aca="false">D786-C786</f>
        <v>6</v>
      </c>
      <c r="X786" s="3" t="str">
        <f aca="false">TEXT(C786,"mmmm")</f>
        <v>July</v>
      </c>
      <c r="Y786" s="3" t="str">
        <f aca="false">LEFT(G786,1)&amp;MID(G786,FIND(" ",G786)+1,1)</f>
        <v>FD</v>
      </c>
    </row>
    <row r="787" customFormat="false" ht="15" hidden="false" customHeight="false" outlineLevel="0" collapsed="false">
      <c r="A787" s="3" t="n">
        <v>786</v>
      </c>
      <c r="B787" s="3" t="s">
        <v>2116</v>
      </c>
      <c r="C787" s="4" t="s">
        <v>2112</v>
      </c>
      <c r="D787" s="4" t="s">
        <v>2117</v>
      </c>
      <c r="E787" s="3" t="s">
        <v>84</v>
      </c>
      <c r="F787" s="3" t="s">
        <v>575</v>
      </c>
      <c r="G787" s="3" t="s">
        <v>576</v>
      </c>
      <c r="H787" s="3" t="s">
        <v>56</v>
      </c>
      <c r="I787" s="3" t="s">
        <v>32</v>
      </c>
      <c r="J787" s="3" t="s">
        <v>381</v>
      </c>
      <c r="K787" s="3" t="s">
        <v>58</v>
      </c>
      <c r="L787" s="3" t="s">
        <v>59</v>
      </c>
      <c r="M787" s="3" t="s">
        <v>173</v>
      </c>
      <c r="N787" s="3" t="s">
        <v>89</v>
      </c>
      <c r="O787" s="3" t="s">
        <v>174</v>
      </c>
      <c r="P787" s="3" t="s">
        <v>175</v>
      </c>
      <c r="Q787" s="5" t="n">
        <v>4528.11</v>
      </c>
      <c r="R787" s="3" t="n">
        <v>10</v>
      </c>
      <c r="S787" s="6" t="n">
        <v>0.4</v>
      </c>
      <c r="T787" s="5" t="n">
        <v>-1225.63</v>
      </c>
      <c r="U787" s="3" t="str">
        <f aca="false">IF(T787&lt;0,"Loss",IF(T787=0,"Break-even","Profit"))</f>
        <v>Loss</v>
      </c>
      <c r="V787" s="3" t="str">
        <f aca="false">IF(Q787&lt;100,"Low",IF(Q787&lt;=500,"Medium","High"))</f>
        <v>High</v>
      </c>
      <c r="W787" s="3" t="n">
        <f aca="false">D787-C787</f>
        <v>3</v>
      </c>
      <c r="X787" s="3" t="str">
        <f aca="false">TEXT(C787,"mmmm")</f>
        <v>July</v>
      </c>
      <c r="Y787" s="3" t="str">
        <f aca="false">LEFT(G787,1)&amp;MID(G787,FIND(" ",G787)+1,1)</f>
        <v>PC</v>
      </c>
    </row>
    <row r="788" customFormat="false" ht="15" hidden="false" customHeight="false" outlineLevel="0" collapsed="false">
      <c r="A788" s="3" t="n">
        <v>787</v>
      </c>
      <c r="B788" s="3" t="s">
        <v>2118</v>
      </c>
      <c r="C788" s="4" t="s">
        <v>2112</v>
      </c>
      <c r="D788" s="4" t="s">
        <v>2115</v>
      </c>
      <c r="E788" s="3" t="s">
        <v>28</v>
      </c>
      <c r="F788" s="3" t="s">
        <v>1321</v>
      </c>
      <c r="G788" s="3" t="s">
        <v>1322</v>
      </c>
      <c r="H788" s="3" t="s">
        <v>45</v>
      </c>
      <c r="I788" s="3" t="s">
        <v>32</v>
      </c>
      <c r="J788" s="3" t="s">
        <v>329</v>
      </c>
      <c r="K788" s="3" t="s">
        <v>156</v>
      </c>
      <c r="L788" s="3" t="s">
        <v>157</v>
      </c>
      <c r="M788" s="3" t="s">
        <v>105</v>
      </c>
      <c r="N788" s="3" t="s">
        <v>49</v>
      </c>
      <c r="O788" s="3" t="s">
        <v>106</v>
      </c>
      <c r="P788" s="3" t="s">
        <v>107</v>
      </c>
      <c r="Q788" s="5" t="n">
        <v>190.51</v>
      </c>
      <c r="R788" s="3" t="n">
        <v>8</v>
      </c>
      <c r="S788" s="6" t="n">
        <v>0</v>
      </c>
      <c r="T788" s="5" t="n">
        <v>-31.96</v>
      </c>
      <c r="U788" s="3" t="str">
        <f aca="false">IF(T788&lt;0,"Loss",IF(T788=0,"Break-even","Profit"))</f>
        <v>Loss</v>
      </c>
      <c r="V788" s="3" t="str">
        <f aca="false">IF(Q788&lt;100,"Low",IF(Q788&lt;=500,"Medium","High"))</f>
        <v>Medium</v>
      </c>
      <c r="W788" s="3" t="n">
        <f aca="false">D788-C788</f>
        <v>6</v>
      </c>
      <c r="X788" s="3" t="str">
        <f aca="false">TEXT(C788,"mmmm")</f>
        <v>July</v>
      </c>
      <c r="Y788" s="3" t="str">
        <f aca="false">LEFT(G788,1)&amp;MID(G788,FIND(" ",G788)+1,1)</f>
        <v>CA</v>
      </c>
    </row>
    <row r="789" customFormat="false" ht="15" hidden="false" customHeight="false" outlineLevel="0" collapsed="false">
      <c r="A789" s="3" t="n">
        <v>788</v>
      </c>
      <c r="B789" s="3" t="s">
        <v>2119</v>
      </c>
      <c r="C789" s="4" t="s">
        <v>2112</v>
      </c>
      <c r="D789" s="4" t="s">
        <v>2120</v>
      </c>
      <c r="E789" s="3" t="s">
        <v>28</v>
      </c>
      <c r="F789" s="3" t="s">
        <v>1775</v>
      </c>
      <c r="G789" s="3" t="s">
        <v>1776</v>
      </c>
      <c r="H789" s="3" t="s">
        <v>56</v>
      </c>
      <c r="I789" s="3" t="s">
        <v>32</v>
      </c>
      <c r="J789" s="3" t="s">
        <v>252</v>
      </c>
      <c r="K789" s="3" t="s">
        <v>172</v>
      </c>
      <c r="L789" s="3" t="s">
        <v>157</v>
      </c>
      <c r="M789" s="3" t="s">
        <v>420</v>
      </c>
      <c r="N789" s="3" t="s">
        <v>49</v>
      </c>
      <c r="O789" s="3" t="s">
        <v>80</v>
      </c>
      <c r="P789" s="3" t="s">
        <v>421</v>
      </c>
      <c r="Q789" s="5" t="n">
        <v>252.2</v>
      </c>
      <c r="R789" s="3" t="n">
        <v>11</v>
      </c>
      <c r="S789" s="6" t="n">
        <v>0</v>
      </c>
      <c r="T789" s="5" t="n">
        <v>-1.8</v>
      </c>
      <c r="U789" s="3" t="str">
        <f aca="false">IF(T789&lt;0,"Loss",IF(T789=0,"Break-even","Profit"))</f>
        <v>Loss</v>
      </c>
      <c r="V789" s="3" t="str">
        <f aca="false">IF(Q789&lt;100,"Low",IF(Q789&lt;=500,"Medium","High"))</f>
        <v>Medium</v>
      </c>
      <c r="W789" s="3" t="n">
        <f aca="false">D789-C789</f>
        <v>7</v>
      </c>
      <c r="X789" s="3" t="str">
        <f aca="false">TEXT(C789,"mmmm")</f>
        <v>July</v>
      </c>
      <c r="Y789" s="3" t="str">
        <f aca="false">LEFT(G789,1)&amp;MID(G789,FIND(" ",G789)+1,1)</f>
        <v>LA</v>
      </c>
    </row>
    <row r="790" customFormat="false" ht="15" hidden="false" customHeight="false" outlineLevel="0" collapsed="false">
      <c r="A790" s="3" t="n">
        <v>789</v>
      </c>
      <c r="B790" s="3" t="s">
        <v>2121</v>
      </c>
      <c r="C790" s="4" t="s">
        <v>2100</v>
      </c>
      <c r="D790" s="4" t="s">
        <v>2110</v>
      </c>
      <c r="E790" s="3" t="s">
        <v>28</v>
      </c>
      <c r="F790" s="3" t="s">
        <v>582</v>
      </c>
      <c r="G790" s="3" t="s">
        <v>583</v>
      </c>
      <c r="H790" s="3" t="s">
        <v>56</v>
      </c>
      <c r="I790" s="3" t="s">
        <v>32</v>
      </c>
      <c r="J790" s="3" t="s">
        <v>476</v>
      </c>
      <c r="K790" s="3" t="s">
        <v>366</v>
      </c>
      <c r="L790" s="3" t="s">
        <v>157</v>
      </c>
      <c r="M790" s="3" t="s">
        <v>60</v>
      </c>
      <c r="N790" s="3" t="s">
        <v>49</v>
      </c>
      <c r="O790" s="3" t="s">
        <v>61</v>
      </c>
      <c r="P790" s="3" t="s">
        <v>62</v>
      </c>
      <c r="Q790" s="5" t="n">
        <v>689.82</v>
      </c>
      <c r="R790" s="3" t="n">
        <v>10</v>
      </c>
      <c r="S790" s="6" t="n">
        <v>0.2</v>
      </c>
      <c r="T790" s="5" t="n">
        <v>132.06</v>
      </c>
      <c r="U790" s="3" t="str">
        <f aca="false">IF(T790&lt;0,"Loss",IF(T790=0,"Break-even","Profit"))</f>
        <v>Profit</v>
      </c>
      <c r="V790" s="3" t="str">
        <f aca="false">IF(Q790&lt;100,"Low",IF(Q790&lt;=500,"Medium","High"))</f>
        <v>High</v>
      </c>
      <c r="W790" s="3" t="n">
        <f aca="false">D790-C790</f>
        <v>3</v>
      </c>
      <c r="X790" s="3" t="str">
        <f aca="false">TEXT(C790,"mmmm")</f>
        <v>July</v>
      </c>
      <c r="Y790" s="3" t="str">
        <f aca="false">LEFT(G790,1)&amp;MID(G790,FIND(" ",G790)+1,1)</f>
        <v>PB</v>
      </c>
    </row>
    <row r="791" customFormat="false" ht="15" hidden="false" customHeight="false" outlineLevel="0" collapsed="false">
      <c r="A791" s="3" t="n">
        <v>790</v>
      </c>
      <c r="B791" s="3" t="s">
        <v>2122</v>
      </c>
      <c r="C791" s="4" t="s">
        <v>2108</v>
      </c>
      <c r="D791" s="4" t="s">
        <v>2123</v>
      </c>
      <c r="E791" s="3" t="s">
        <v>28</v>
      </c>
      <c r="F791" s="3" t="s">
        <v>749</v>
      </c>
      <c r="G791" s="3" t="s">
        <v>750</v>
      </c>
      <c r="H791" s="3" t="s">
        <v>56</v>
      </c>
      <c r="I791" s="3" t="s">
        <v>32</v>
      </c>
      <c r="J791" s="3" t="s">
        <v>95</v>
      </c>
      <c r="K791" s="3" t="s">
        <v>96</v>
      </c>
      <c r="L791" s="3" t="s">
        <v>59</v>
      </c>
      <c r="M791" s="3" t="s">
        <v>149</v>
      </c>
      <c r="N791" s="3" t="s">
        <v>49</v>
      </c>
      <c r="O791" s="3" t="s">
        <v>150</v>
      </c>
      <c r="P791" s="3" t="s">
        <v>151</v>
      </c>
      <c r="Q791" s="5" t="n">
        <v>271.58</v>
      </c>
      <c r="R791" s="3" t="n">
        <v>6</v>
      </c>
      <c r="S791" s="6" t="n">
        <v>0.1</v>
      </c>
      <c r="T791" s="5" t="n">
        <v>19.2</v>
      </c>
      <c r="U791" s="3" t="str">
        <f aca="false">IF(T791&lt;0,"Loss",IF(T791=0,"Break-even","Profit"))</f>
        <v>Profit</v>
      </c>
      <c r="V791" s="3" t="str">
        <f aca="false">IF(Q791&lt;100,"Low",IF(Q791&lt;=500,"Medium","High"))</f>
        <v>Medium</v>
      </c>
      <c r="W791" s="3" t="n">
        <f aca="false">D791-C791</f>
        <v>7</v>
      </c>
      <c r="X791" s="3" t="str">
        <f aca="false">TEXT(C791,"mmmm")</f>
        <v>July</v>
      </c>
      <c r="Y791" s="3" t="str">
        <f aca="false">LEFT(G791,1)&amp;MID(G791,FIND(" ",G791)+1,1)</f>
        <v>EA</v>
      </c>
    </row>
    <row r="792" customFormat="false" ht="15" hidden="false" customHeight="false" outlineLevel="0" collapsed="false">
      <c r="A792" s="3" t="n">
        <v>791</v>
      </c>
      <c r="B792" s="3" t="s">
        <v>2124</v>
      </c>
      <c r="C792" s="4" t="s">
        <v>2108</v>
      </c>
      <c r="D792" s="4" t="s">
        <v>2125</v>
      </c>
      <c r="E792" s="3" t="s">
        <v>84</v>
      </c>
      <c r="F792" s="3" t="s">
        <v>789</v>
      </c>
      <c r="G792" s="3" t="s">
        <v>790</v>
      </c>
      <c r="H792" s="3" t="s">
        <v>45</v>
      </c>
      <c r="I792" s="3" t="s">
        <v>32</v>
      </c>
      <c r="J792" s="3" t="s">
        <v>95</v>
      </c>
      <c r="K792" s="3" t="s">
        <v>96</v>
      </c>
      <c r="L792" s="3" t="s">
        <v>59</v>
      </c>
      <c r="M792" s="3" t="s">
        <v>219</v>
      </c>
      <c r="N792" s="3" t="s">
        <v>49</v>
      </c>
      <c r="O792" s="3" t="s">
        <v>220</v>
      </c>
      <c r="P792" s="3" t="s">
        <v>221</v>
      </c>
      <c r="Q792" s="5" t="n">
        <v>85.18</v>
      </c>
      <c r="R792" s="3" t="n">
        <v>1</v>
      </c>
      <c r="S792" s="6" t="n">
        <v>0.5</v>
      </c>
      <c r="T792" s="5" t="n">
        <v>-18.9</v>
      </c>
      <c r="U792" s="3" t="str">
        <f aca="false">IF(T792&lt;0,"Loss",IF(T792=0,"Break-even","Profit"))</f>
        <v>Loss</v>
      </c>
      <c r="V792" s="3" t="str">
        <f aca="false">IF(Q792&lt;100,"Low",IF(Q792&lt;=500,"Medium","High"))</f>
        <v>Low</v>
      </c>
      <c r="W792" s="3" t="n">
        <f aca="false">D792-C792</f>
        <v>3</v>
      </c>
      <c r="X792" s="3" t="str">
        <f aca="false">TEXT(C792,"mmmm")</f>
        <v>July</v>
      </c>
      <c r="Y792" s="3" t="str">
        <f aca="false">LEFT(G792,1)&amp;MID(G792,FIND(" ",G792)+1,1)</f>
        <v>LB</v>
      </c>
    </row>
    <row r="793" customFormat="false" ht="15" hidden="false" customHeight="false" outlineLevel="0" collapsed="false">
      <c r="A793" s="3" t="n">
        <v>792</v>
      </c>
      <c r="B793" s="3" t="s">
        <v>2126</v>
      </c>
      <c r="C793" s="4" t="s">
        <v>2117</v>
      </c>
      <c r="D793" s="4" t="s">
        <v>2127</v>
      </c>
      <c r="E793" s="3" t="s">
        <v>28</v>
      </c>
      <c r="F793" s="3" t="s">
        <v>1468</v>
      </c>
      <c r="G793" s="3" t="s">
        <v>1469</v>
      </c>
      <c r="H793" s="3" t="s">
        <v>56</v>
      </c>
      <c r="I793" s="3" t="s">
        <v>32</v>
      </c>
      <c r="J793" s="3" t="s">
        <v>46</v>
      </c>
      <c r="K793" s="3" t="s">
        <v>47</v>
      </c>
      <c r="L793" s="3" t="s">
        <v>35</v>
      </c>
      <c r="M793" s="3" t="s">
        <v>127</v>
      </c>
      <c r="N793" s="3" t="s">
        <v>49</v>
      </c>
      <c r="O793" s="3" t="s">
        <v>61</v>
      </c>
      <c r="P793" s="3" t="s">
        <v>128</v>
      </c>
      <c r="Q793" s="5" t="n">
        <v>34.32</v>
      </c>
      <c r="R793" s="3" t="n">
        <v>1</v>
      </c>
      <c r="S793" s="6" t="n">
        <v>0</v>
      </c>
      <c r="T793" s="5" t="n">
        <v>-6.3</v>
      </c>
      <c r="U793" s="3" t="str">
        <f aca="false">IF(T793&lt;0,"Loss",IF(T793=0,"Break-even","Profit"))</f>
        <v>Loss</v>
      </c>
      <c r="V793" s="3" t="str">
        <f aca="false">IF(Q793&lt;100,"Low",IF(Q793&lt;=500,"Medium","High"))</f>
        <v>Low</v>
      </c>
      <c r="W793" s="3" t="n">
        <f aca="false">D793-C793</f>
        <v>5</v>
      </c>
      <c r="X793" s="3" t="str">
        <f aca="false">TEXT(C793,"mmmm")</f>
        <v>July</v>
      </c>
      <c r="Y793" s="3" t="str">
        <f aca="false">LEFT(G793,1)&amp;MID(G793,FIND(" ",G793)+1,1)</f>
        <v>EK</v>
      </c>
    </row>
    <row r="794" customFormat="false" ht="15" hidden="false" customHeight="false" outlineLevel="0" collapsed="false">
      <c r="A794" s="3" t="n">
        <v>793</v>
      </c>
      <c r="B794" s="3" t="s">
        <v>2128</v>
      </c>
      <c r="C794" s="4" t="s">
        <v>2110</v>
      </c>
      <c r="D794" s="4" t="s">
        <v>2125</v>
      </c>
      <c r="E794" s="3" t="s">
        <v>42</v>
      </c>
      <c r="F794" s="3" t="s">
        <v>490</v>
      </c>
      <c r="G794" s="3" t="s">
        <v>491</v>
      </c>
      <c r="H794" s="3" t="s">
        <v>45</v>
      </c>
      <c r="I794" s="3" t="s">
        <v>32</v>
      </c>
      <c r="J794" s="3" t="s">
        <v>57</v>
      </c>
      <c r="K794" s="3" t="s">
        <v>58</v>
      </c>
      <c r="L794" s="3" t="s">
        <v>59</v>
      </c>
      <c r="M794" s="3" t="s">
        <v>114</v>
      </c>
      <c r="N794" s="3" t="s">
        <v>49</v>
      </c>
      <c r="O794" s="3" t="s">
        <v>61</v>
      </c>
      <c r="P794" s="3" t="s">
        <v>115</v>
      </c>
      <c r="Q794" s="5" t="n">
        <v>527.43</v>
      </c>
      <c r="R794" s="3" t="n">
        <v>14</v>
      </c>
      <c r="S794" s="6" t="n">
        <v>0.1</v>
      </c>
      <c r="T794" s="5" t="n">
        <v>-134.99</v>
      </c>
      <c r="U794" s="3" t="str">
        <f aca="false">IF(T794&lt;0,"Loss",IF(T794=0,"Break-even","Profit"))</f>
        <v>Loss</v>
      </c>
      <c r="V794" s="3" t="str">
        <f aca="false">IF(Q794&lt;100,"Low",IF(Q794&lt;=500,"Medium","High"))</f>
        <v>High</v>
      </c>
      <c r="W794" s="3" t="n">
        <f aca="false">D794-C794</f>
        <v>1</v>
      </c>
      <c r="X794" s="3" t="str">
        <f aca="false">TEXT(C794,"mmmm")</f>
        <v>July</v>
      </c>
      <c r="Y794" s="3" t="str">
        <f aca="false">LEFT(G794,1)&amp;MID(G794,FIND(" ",G794)+1,1)</f>
        <v>WM</v>
      </c>
    </row>
    <row r="795" customFormat="false" ht="15" hidden="false" customHeight="false" outlineLevel="0" collapsed="false">
      <c r="A795" s="3" t="n">
        <v>794</v>
      </c>
      <c r="B795" s="3" t="s">
        <v>2129</v>
      </c>
      <c r="C795" s="4" t="s">
        <v>2110</v>
      </c>
      <c r="D795" s="4" t="s">
        <v>2120</v>
      </c>
      <c r="E795" s="3" t="s">
        <v>84</v>
      </c>
      <c r="F795" s="3" t="s">
        <v>609</v>
      </c>
      <c r="G795" s="3" t="s">
        <v>610</v>
      </c>
      <c r="H795" s="3" t="s">
        <v>45</v>
      </c>
      <c r="I795" s="3" t="s">
        <v>32</v>
      </c>
      <c r="J795" s="3" t="s">
        <v>46</v>
      </c>
      <c r="K795" s="3" t="s">
        <v>47</v>
      </c>
      <c r="L795" s="3" t="s">
        <v>35</v>
      </c>
      <c r="M795" s="3" t="s">
        <v>225</v>
      </c>
      <c r="N795" s="3" t="s">
        <v>37</v>
      </c>
      <c r="O795" s="3" t="s">
        <v>196</v>
      </c>
      <c r="P795" s="3" t="s">
        <v>226</v>
      </c>
      <c r="Q795" s="5" t="n">
        <v>1217.78</v>
      </c>
      <c r="R795" s="3" t="n">
        <v>4</v>
      </c>
      <c r="S795" s="6" t="n">
        <v>0.1</v>
      </c>
      <c r="T795" s="5" t="n">
        <v>336.37</v>
      </c>
      <c r="U795" s="3" t="str">
        <f aca="false">IF(T795&lt;0,"Loss",IF(T795=0,"Break-even","Profit"))</f>
        <v>Profit</v>
      </c>
      <c r="V795" s="3" t="str">
        <f aca="false">IF(Q795&lt;100,"Low",IF(Q795&lt;=500,"Medium","High"))</f>
        <v>High</v>
      </c>
      <c r="W795" s="3" t="n">
        <f aca="false">D795-C795</f>
        <v>3</v>
      </c>
      <c r="X795" s="3" t="str">
        <f aca="false">TEXT(C795,"mmmm")</f>
        <v>July</v>
      </c>
      <c r="Y795" s="3" t="str">
        <f aca="false">LEFT(G795,1)&amp;MID(G795,FIND(" ",G795)+1,1)</f>
        <v>DK</v>
      </c>
    </row>
    <row r="796" customFormat="false" ht="15" hidden="false" customHeight="false" outlineLevel="0" collapsed="false">
      <c r="A796" s="3" t="n">
        <v>795</v>
      </c>
      <c r="B796" s="3" t="s">
        <v>2130</v>
      </c>
      <c r="C796" s="4" t="s">
        <v>2110</v>
      </c>
      <c r="D796" s="4" t="s">
        <v>2125</v>
      </c>
      <c r="E796" s="3" t="s">
        <v>42</v>
      </c>
      <c r="F796" s="3" t="s">
        <v>546</v>
      </c>
      <c r="G796" s="3" t="s">
        <v>547</v>
      </c>
      <c r="H796" s="3" t="s">
        <v>31</v>
      </c>
      <c r="I796" s="3" t="s">
        <v>32</v>
      </c>
      <c r="J796" s="3" t="s">
        <v>188</v>
      </c>
      <c r="K796" s="3" t="s">
        <v>189</v>
      </c>
      <c r="L796" s="3" t="s">
        <v>59</v>
      </c>
      <c r="M796" s="3" t="s">
        <v>114</v>
      </c>
      <c r="N796" s="3" t="s">
        <v>49</v>
      </c>
      <c r="O796" s="3" t="s">
        <v>61</v>
      </c>
      <c r="P796" s="3" t="s">
        <v>115</v>
      </c>
      <c r="Q796" s="5" t="n">
        <v>37.25</v>
      </c>
      <c r="R796" s="3" t="n">
        <v>1</v>
      </c>
      <c r="S796" s="6" t="n">
        <v>0.1</v>
      </c>
      <c r="T796" s="5" t="n">
        <v>-1.41</v>
      </c>
      <c r="U796" s="3" t="str">
        <f aca="false">IF(T796&lt;0,"Loss",IF(T796=0,"Break-even","Profit"))</f>
        <v>Loss</v>
      </c>
      <c r="V796" s="3" t="str">
        <f aca="false">IF(Q796&lt;100,"Low",IF(Q796&lt;=500,"Medium","High"))</f>
        <v>Low</v>
      </c>
      <c r="W796" s="3" t="n">
        <f aca="false">D796-C796</f>
        <v>1</v>
      </c>
      <c r="X796" s="3" t="str">
        <f aca="false">TEXT(C796,"mmmm")</f>
        <v>July</v>
      </c>
      <c r="Y796" s="3" t="str">
        <f aca="false">LEFT(G796,1)&amp;MID(G796,FIND(" ",G796)+1,1)</f>
        <v>DB</v>
      </c>
    </row>
    <row r="797" customFormat="false" ht="15" hidden="false" customHeight="false" outlineLevel="0" collapsed="false">
      <c r="A797" s="3" t="n">
        <v>796</v>
      </c>
      <c r="B797" s="3" t="s">
        <v>2131</v>
      </c>
      <c r="C797" s="4" t="s">
        <v>2125</v>
      </c>
      <c r="D797" s="4" t="s">
        <v>2120</v>
      </c>
      <c r="E797" s="3" t="s">
        <v>84</v>
      </c>
      <c r="F797" s="3" t="s">
        <v>1826</v>
      </c>
      <c r="G797" s="3" t="s">
        <v>1827</v>
      </c>
      <c r="H797" s="3" t="s">
        <v>45</v>
      </c>
      <c r="I797" s="3" t="s">
        <v>32</v>
      </c>
      <c r="J797" s="3" t="s">
        <v>386</v>
      </c>
      <c r="K797" s="3" t="s">
        <v>387</v>
      </c>
      <c r="L797" s="3" t="s">
        <v>35</v>
      </c>
      <c r="M797" s="3" t="s">
        <v>173</v>
      </c>
      <c r="N797" s="3" t="s">
        <v>89</v>
      </c>
      <c r="O797" s="3" t="s">
        <v>174</v>
      </c>
      <c r="P797" s="3" t="s">
        <v>175</v>
      </c>
      <c r="Q797" s="5" t="n">
        <v>4549.82</v>
      </c>
      <c r="R797" s="3" t="n">
        <v>8</v>
      </c>
      <c r="S797" s="6" t="n">
        <v>0.1</v>
      </c>
      <c r="T797" s="5" t="n">
        <v>607.05</v>
      </c>
      <c r="U797" s="3" t="str">
        <f aca="false">IF(T797&lt;0,"Loss",IF(T797=0,"Break-even","Profit"))</f>
        <v>Profit</v>
      </c>
      <c r="V797" s="3" t="str">
        <f aca="false">IF(Q797&lt;100,"Low",IF(Q797&lt;=500,"Medium","High"))</f>
        <v>High</v>
      </c>
      <c r="W797" s="3" t="n">
        <f aca="false">D797-C797</f>
        <v>2</v>
      </c>
      <c r="X797" s="3" t="str">
        <f aca="false">TEXT(C797,"mmmm")</f>
        <v>July</v>
      </c>
      <c r="Y797" s="3" t="str">
        <f aca="false">LEFT(G797,1)&amp;MID(G797,FIND(" ",G797)+1,1)</f>
        <v>EG</v>
      </c>
    </row>
    <row r="798" customFormat="false" ht="15" hidden="false" customHeight="false" outlineLevel="0" collapsed="false">
      <c r="A798" s="3" t="n">
        <v>797</v>
      </c>
      <c r="B798" s="3" t="s">
        <v>2132</v>
      </c>
      <c r="C798" s="4" t="s">
        <v>2125</v>
      </c>
      <c r="D798" s="4" t="s">
        <v>2133</v>
      </c>
      <c r="E798" s="3" t="s">
        <v>28</v>
      </c>
      <c r="F798" s="3" t="s">
        <v>1355</v>
      </c>
      <c r="G798" s="3" t="s">
        <v>1356</v>
      </c>
      <c r="H798" s="3" t="s">
        <v>56</v>
      </c>
      <c r="I798" s="3" t="s">
        <v>32</v>
      </c>
      <c r="J798" s="3" t="s">
        <v>120</v>
      </c>
      <c r="K798" s="3" t="s">
        <v>113</v>
      </c>
      <c r="L798" s="3" t="s">
        <v>69</v>
      </c>
      <c r="M798" s="3" t="s">
        <v>48</v>
      </c>
      <c r="N798" s="3" t="s">
        <v>49</v>
      </c>
      <c r="O798" s="3" t="s">
        <v>50</v>
      </c>
      <c r="P798" s="3" t="s">
        <v>51</v>
      </c>
      <c r="Q798" s="5" t="n">
        <v>362.79</v>
      </c>
      <c r="R798" s="3" t="n">
        <v>11</v>
      </c>
      <c r="S798" s="6" t="n">
        <v>0.3</v>
      </c>
      <c r="T798" s="5" t="n">
        <v>7.85</v>
      </c>
      <c r="U798" s="3" t="str">
        <f aca="false">IF(T798&lt;0,"Loss",IF(T798=0,"Break-even","Profit"))</f>
        <v>Profit</v>
      </c>
      <c r="V798" s="3" t="str">
        <f aca="false">IF(Q798&lt;100,"Low",IF(Q798&lt;=500,"Medium","High"))</f>
        <v>Medium</v>
      </c>
      <c r="W798" s="3" t="n">
        <f aca="false">D798-C798</f>
        <v>6</v>
      </c>
      <c r="X798" s="3" t="str">
        <f aca="false">TEXT(C798,"mmmm")</f>
        <v>July</v>
      </c>
      <c r="Y798" s="3" t="str">
        <f aca="false">LEFT(G798,1)&amp;MID(G798,FIND(" ",G798)+1,1)</f>
        <v>FB</v>
      </c>
    </row>
    <row r="799" customFormat="false" ht="15" hidden="false" customHeight="false" outlineLevel="0" collapsed="false">
      <c r="A799" s="3" t="n">
        <v>798</v>
      </c>
      <c r="B799" s="3" t="s">
        <v>2134</v>
      </c>
      <c r="C799" s="4" t="s">
        <v>2115</v>
      </c>
      <c r="D799" s="4" t="s">
        <v>2127</v>
      </c>
      <c r="E799" s="3" t="s">
        <v>84</v>
      </c>
      <c r="F799" s="3" t="s">
        <v>943</v>
      </c>
      <c r="G799" s="3" t="s">
        <v>944</v>
      </c>
      <c r="H799" s="3" t="s">
        <v>56</v>
      </c>
      <c r="I799" s="3" t="s">
        <v>32</v>
      </c>
      <c r="J799" s="3" t="s">
        <v>95</v>
      </c>
      <c r="K799" s="3" t="s">
        <v>96</v>
      </c>
      <c r="L799" s="3" t="s">
        <v>59</v>
      </c>
      <c r="M799" s="3" t="s">
        <v>269</v>
      </c>
      <c r="N799" s="3" t="s">
        <v>89</v>
      </c>
      <c r="O799" s="3" t="s">
        <v>174</v>
      </c>
      <c r="P799" s="3" t="s">
        <v>270</v>
      </c>
      <c r="Q799" s="5" t="n">
        <v>1635.13</v>
      </c>
      <c r="R799" s="3" t="n">
        <v>2</v>
      </c>
      <c r="S799" s="6" t="n">
        <v>0.2</v>
      </c>
      <c r="T799" s="5" t="n">
        <v>315.24</v>
      </c>
      <c r="U799" s="3" t="str">
        <f aca="false">IF(T799&lt;0,"Loss",IF(T799=0,"Break-even","Profit"))</f>
        <v>Profit</v>
      </c>
      <c r="V799" s="3" t="str">
        <f aca="false">IF(Q799&lt;100,"Low",IF(Q799&lt;=500,"Medium","High"))</f>
        <v>High</v>
      </c>
      <c r="W799" s="3" t="n">
        <f aca="false">D799-C799</f>
        <v>2</v>
      </c>
      <c r="X799" s="3" t="str">
        <f aca="false">TEXT(C799,"mmmm")</f>
        <v>July</v>
      </c>
      <c r="Y799" s="3" t="str">
        <f aca="false">LEFT(G799,1)&amp;MID(G799,FIND(" ",G799)+1,1)</f>
        <v>AW</v>
      </c>
    </row>
    <row r="800" customFormat="false" ht="15" hidden="false" customHeight="false" outlineLevel="0" collapsed="false">
      <c r="A800" s="3" t="n">
        <v>799</v>
      </c>
      <c r="B800" s="3" t="s">
        <v>2135</v>
      </c>
      <c r="C800" s="4" t="s">
        <v>2115</v>
      </c>
      <c r="D800" s="4" t="s">
        <v>2127</v>
      </c>
      <c r="E800" s="3" t="s">
        <v>84</v>
      </c>
      <c r="F800" s="3" t="s">
        <v>868</v>
      </c>
      <c r="G800" s="3" t="s">
        <v>869</v>
      </c>
      <c r="H800" s="3" t="s">
        <v>56</v>
      </c>
      <c r="I800" s="3" t="s">
        <v>32</v>
      </c>
      <c r="J800" s="3" t="s">
        <v>365</v>
      </c>
      <c r="K800" s="3" t="s">
        <v>366</v>
      </c>
      <c r="L800" s="3" t="s">
        <v>157</v>
      </c>
      <c r="M800" s="3" t="s">
        <v>559</v>
      </c>
      <c r="N800" s="3" t="s">
        <v>37</v>
      </c>
      <c r="O800" s="3" t="s">
        <v>38</v>
      </c>
      <c r="P800" s="3" t="s">
        <v>560</v>
      </c>
      <c r="Q800" s="5" t="n">
        <v>17484.63</v>
      </c>
      <c r="R800" s="3" t="n">
        <v>11</v>
      </c>
      <c r="S800" s="6" t="n">
        <v>0</v>
      </c>
      <c r="T800" s="5" t="n">
        <v>4171.74</v>
      </c>
      <c r="U800" s="3" t="str">
        <f aca="false">IF(T800&lt;0,"Loss",IF(T800=0,"Break-even","Profit"))</f>
        <v>Profit</v>
      </c>
      <c r="V800" s="3" t="str">
        <f aca="false">IF(Q800&lt;100,"Low",IF(Q800&lt;=500,"Medium","High"))</f>
        <v>High</v>
      </c>
      <c r="W800" s="3" t="n">
        <f aca="false">D800-C800</f>
        <v>2</v>
      </c>
      <c r="X800" s="3" t="str">
        <f aca="false">TEXT(C800,"mmmm")</f>
        <v>July</v>
      </c>
      <c r="Y800" s="3" t="str">
        <f aca="false">LEFT(G800,1)&amp;MID(G800,FIND(" ",G800)+1,1)</f>
        <v>JG</v>
      </c>
    </row>
    <row r="801" customFormat="false" ht="15" hidden="false" customHeight="false" outlineLevel="0" collapsed="false">
      <c r="A801" s="3" t="n">
        <v>800</v>
      </c>
      <c r="B801" s="3" t="s">
        <v>1779</v>
      </c>
      <c r="C801" s="4" t="s">
        <v>2115</v>
      </c>
      <c r="D801" s="4" t="s">
        <v>2133</v>
      </c>
      <c r="E801" s="3" t="s">
        <v>28</v>
      </c>
      <c r="F801" s="3" t="s">
        <v>1565</v>
      </c>
      <c r="G801" s="3" t="s">
        <v>1566</v>
      </c>
      <c r="H801" s="3" t="s">
        <v>56</v>
      </c>
      <c r="I801" s="3" t="s">
        <v>32</v>
      </c>
      <c r="J801" s="3" t="s">
        <v>208</v>
      </c>
      <c r="K801" s="3" t="s">
        <v>134</v>
      </c>
      <c r="L801" s="3" t="s">
        <v>69</v>
      </c>
      <c r="M801" s="3" t="s">
        <v>121</v>
      </c>
      <c r="N801" s="3" t="s">
        <v>49</v>
      </c>
      <c r="O801" s="3" t="s">
        <v>50</v>
      </c>
      <c r="P801" s="3" t="s">
        <v>122</v>
      </c>
      <c r="Q801" s="5" t="n">
        <v>574.68</v>
      </c>
      <c r="R801" s="3" t="n">
        <v>11</v>
      </c>
      <c r="S801" s="6" t="n">
        <v>0</v>
      </c>
      <c r="T801" s="5" t="n">
        <v>197.58</v>
      </c>
      <c r="U801" s="3" t="str">
        <f aca="false">IF(T801&lt;0,"Loss",IF(T801=0,"Break-even","Profit"))</f>
        <v>Profit</v>
      </c>
      <c r="V801" s="3" t="str">
        <f aca="false">IF(Q801&lt;100,"Low",IF(Q801&lt;=500,"Medium","High"))</f>
        <v>High</v>
      </c>
      <c r="W801" s="3" t="n">
        <f aca="false">D801-C801</f>
        <v>5</v>
      </c>
      <c r="X801" s="3" t="str">
        <f aca="false">TEXT(C801,"mmmm")</f>
        <v>July</v>
      </c>
      <c r="Y801" s="3" t="str">
        <f aca="false">LEFT(G801,1)&amp;MID(G801,FIND(" ",G801)+1,1)</f>
        <v>RB</v>
      </c>
    </row>
    <row r="802" customFormat="false" ht="15" hidden="false" customHeight="false" outlineLevel="0" collapsed="false">
      <c r="A802" s="3" t="n">
        <v>801</v>
      </c>
      <c r="B802" s="3" t="s">
        <v>2136</v>
      </c>
      <c r="C802" s="4" t="s">
        <v>2120</v>
      </c>
      <c r="D802" s="4" t="s">
        <v>2123</v>
      </c>
      <c r="E802" s="3" t="s">
        <v>84</v>
      </c>
      <c r="F802" s="3" t="s">
        <v>1452</v>
      </c>
      <c r="G802" s="3" t="s">
        <v>1453</v>
      </c>
      <c r="H802" s="3" t="s">
        <v>56</v>
      </c>
      <c r="I802" s="3" t="s">
        <v>32</v>
      </c>
      <c r="J802" s="3" t="s">
        <v>365</v>
      </c>
      <c r="K802" s="3" t="s">
        <v>366</v>
      </c>
      <c r="L802" s="3" t="s">
        <v>157</v>
      </c>
      <c r="M802" s="3" t="s">
        <v>290</v>
      </c>
      <c r="N802" s="3" t="s">
        <v>37</v>
      </c>
      <c r="O802" s="3" t="s">
        <v>38</v>
      </c>
      <c r="P802" s="3" t="s">
        <v>291</v>
      </c>
      <c r="Q802" s="5" t="n">
        <v>1479.52</v>
      </c>
      <c r="R802" s="3" t="n">
        <v>2</v>
      </c>
      <c r="S802" s="6" t="n">
        <v>0.4</v>
      </c>
      <c r="T802" s="5" t="n">
        <v>-469.17</v>
      </c>
      <c r="U802" s="3" t="str">
        <f aca="false">IF(T802&lt;0,"Loss",IF(T802=0,"Break-even","Profit"))</f>
        <v>Loss</v>
      </c>
      <c r="V802" s="3" t="str">
        <f aca="false">IF(Q802&lt;100,"Low",IF(Q802&lt;=500,"Medium","High"))</f>
        <v>High</v>
      </c>
      <c r="W802" s="3" t="n">
        <f aca="false">D802-C802</f>
        <v>2</v>
      </c>
      <c r="X802" s="3" t="str">
        <f aca="false">TEXT(C802,"mmmm")</f>
        <v>July</v>
      </c>
      <c r="Y802" s="3" t="str">
        <f aca="false">LEFT(G802,1)&amp;MID(G802,FIND(" ",G802)+1,1)</f>
        <v>OA</v>
      </c>
    </row>
    <row r="803" customFormat="false" ht="15" hidden="false" customHeight="false" outlineLevel="0" collapsed="false">
      <c r="A803" s="3" t="n">
        <v>802</v>
      </c>
      <c r="B803" s="3" t="s">
        <v>2137</v>
      </c>
      <c r="C803" s="4" t="s">
        <v>2120</v>
      </c>
      <c r="D803" s="4" t="s">
        <v>2123</v>
      </c>
      <c r="E803" s="3" t="s">
        <v>84</v>
      </c>
      <c r="F803" s="3" t="s">
        <v>1102</v>
      </c>
      <c r="G803" s="3" t="s">
        <v>1103</v>
      </c>
      <c r="H803" s="3" t="s">
        <v>45</v>
      </c>
      <c r="I803" s="3" t="s">
        <v>32</v>
      </c>
      <c r="J803" s="3" t="s">
        <v>299</v>
      </c>
      <c r="K803" s="3" t="s">
        <v>189</v>
      </c>
      <c r="L803" s="3" t="s">
        <v>59</v>
      </c>
      <c r="M803" s="3" t="s">
        <v>195</v>
      </c>
      <c r="N803" s="3" t="s">
        <v>37</v>
      </c>
      <c r="O803" s="3" t="s">
        <v>196</v>
      </c>
      <c r="P803" s="3" t="s">
        <v>197</v>
      </c>
      <c r="Q803" s="5" t="n">
        <v>2790.39</v>
      </c>
      <c r="R803" s="3" t="n">
        <v>11</v>
      </c>
      <c r="S803" s="6" t="n">
        <v>0</v>
      </c>
      <c r="T803" s="5" t="n">
        <v>533.67</v>
      </c>
      <c r="U803" s="3" t="str">
        <f aca="false">IF(T803&lt;0,"Loss",IF(T803=0,"Break-even","Profit"))</f>
        <v>Profit</v>
      </c>
      <c r="V803" s="3" t="str">
        <f aca="false">IF(Q803&lt;100,"Low",IF(Q803&lt;=500,"Medium","High"))</f>
        <v>High</v>
      </c>
      <c r="W803" s="3" t="n">
        <f aca="false">D803-C803</f>
        <v>2</v>
      </c>
      <c r="X803" s="3" t="str">
        <f aca="false">TEXT(C803,"mmmm")</f>
        <v>July</v>
      </c>
      <c r="Y803" s="3" t="str">
        <f aca="false">LEFT(G803,1)&amp;MID(G803,FIND(" ",G803)+1,1)</f>
        <v>DS</v>
      </c>
    </row>
    <row r="804" customFormat="false" ht="15" hidden="false" customHeight="false" outlineLevel="0" collapsed="false">
      <c r="A804" s="3" t="n">
        <v>803</v>
      </c>
      <c r="B804" s="3" t="s">
        <v>2138</v>
      </c>
      <c r="C804" s="4" t="s">
        <v>2127</v>
      </c>
      <c r="D804" s="4" t="s">
        <v>2139</v>
      </c>
      <c r="E804" s="3" t="s">
        <v>84</v>
      </c>
      <c r="F804" s="3" t="s">
        <v>2140</v>
      </c>
      <c r="G804" s="3" t="s">
        <v>2141</v>
      </c>
      <c r="H804" s="3" t="s">
        <v>56</v>
      </c>
      <c r="I804" s="3" t="s">
        <v>32</v>
      </c>
      <c r="J804" s="3" t="s">
        <v>171</v>
      </c>
      <c r="K804" s="3" t="s">
        <v>172</v>
      </c>
      <c r="L804" s="3" t="s">
        <v>157</v>
      </c>
      <c r="M804" s="3" t="s">
        <v>683</v>
      </c>
      <c r="N804" s="3" t="s">
        <v>37</v>
      </c>
      <c r="O804" s="3" t="s">
        <v>136</v>
      </c>
      <c r="P804" s="3" t="s">
        <v>684</v>
      </c>
      <c r="Q804" s="5" t="n">
        <v>3177.65</v>
      </c>
      <c r="R804" s="3" t="n">
        <v>14</v>
      </c>
      <c r="S804" s="6" t="n">
        <v>0.3</v>
      </c>
      <c r="T804" s="5" t="n">
        <v>510.76</v>
      </c>
      <c r="U804" s="3" t="str">
        <f aca="false">IF(T804&lt;0,"Loss",IF(T804=0,"Break-even","Profit"))</f>
        <v>Profit</v>
      </c>
      <c r="V804" s="3" t="str">
        <f aca="false">IF(Q804&lt;100,"Low",IF(Q804&lt;=500,"Medium","High"))</f>
        <v>High</v>
      </c>
      <c r="W804" s="3" t="n">
        <f aca="false">D804-C804</f>
        <v>2</v>
      </c>
      <c r="X804" s="3" t="str">
        <f aca="false">TEXT(C804,"mmmm")</f>
        <v>July</v>
      </c>
      <c r="Y804" s="3" t="str">
        <f aca="false">LEFT(G804,1)&amp;MID(G804,FIND(" ",G804)+1,1)</f>
        <v>OB</v>
      </c>
    </row>
    <row r="805" customFormat="false" ht="15" hidden="false" customHeight="false" outlineLevel="0" collapsed="false">
      <c r="A805" s="3" t="n">
        <v>804</v>
      </c>
      <c r="B805" s="3" t="s">
        <v>2142</v>
      </c>
      <c r="C805" s="4" t="s">
        <v>2123</v>
      </c>
      <c r="D805" s="4" t="s">
        <v>2143</v>
      </c>
      <c r="E805" s="3" t="s">
        <v>28</v>
      </c>
      <c r="F805" s="3" t="s">
        <v>2144</v>
      </c>
      <c r="G805" s="3" t="s">
        <v>2145</v>
      </c>
      <c r="H805" s="3" t="s">
        <v>56</v>
      </c>
      <c r="I805" s="3" t="s">
        <v>32</v>
      </c>
      <c r="J805" s="3" t="s">
        <v>67</v>
      </c>
      <c r="K805" s="3" t="s">
        <v>68</v>
      </c>
      <c r="L805" s="3" t="s">
        <v>69</v>
      </c>
      <c r="M805" s="3" t="s">
        <v>121</v>
      </c>
      <c r="N805" s="3" t="s">
        <v>49</v>
      </c>
      <c r="O805" s="3" t="s">
        <v>50</v>
      </c>
      <c r="P805" s="3" t="s">
        <v>122</v>
      </c>
      <c r="Q805" s="5" t="n">
        <v>405.12</v>
      </c>
      <c r="R805" s="3" t="n">
        <v>8</v>
      </c>
      <c r="S805" s="6" t="n">
        <v>0</v>
      </c>
      <c r="T805" s="5" t="n">
        <v>25.92</v>
      </c>
      <c r="U805" s="3" t="str">
        <f aca="false">IF(T805&lt;0,"Loss",IF(T805=0,"Break-even","Profit"))</f>
        <v>Profit</v>
      </c>
      <c r="V805" s="3" t="str">
        <f aca="false">IF(Q805&lt;100,"Low",IF(Q805&lt;=500,"Medium","High"))</f>
        <v>Medium</v>
      </c>
      <c r="W805" s="3" t="n">
        <f aca="false">D805-C805</f>
        <v>7</v>
      </c>
      <c r="X805" s="3" t="str">
        <f aca="false">TEXT(C805,"mmmm")</f>
        <v>July</v>
      </c>
      <c r="Y805" s="3" t="str">
        <f aca="false">LEFT(G805,1)&amp;MID(G805,FIND(" ",G805)+1,1)</f>
        <v>LW</v>
      </c>
    </row>
    <row r="806" customFormat="false" ht="15" hidden="false" customHeight="false" outlineLevel="0" collapsed="false">
      <c r="A806" s="3" t="n">
        <v>805</v>
      </c>
      <c r="B806" s="3" t="s">
        <v>2146</v>
      </c>
      <c r="C806" s="4" t="s">
        <v>2139</v>
      </c>
      <c r="D806" s="4" t="s">
        <v>2147</v>
      </c>
      <c r="E806" s="3" t="s">
        <v>84</v>
      </c>
      <c r="F806" s="3" t="s">
        <v>177</v>
      </c>
      <c r="G806" s="3" t="s">
        <v>178</v>
      </c>
      <c r="H806" s="3" t="s">
        <v>31</v>
      </c>
      <c r="I806" s="3" t="s">
        <v>32</v>
      </c>
      <c r="J806" s="3" t="s">
        <v>476</v>
      </c>
      <c r="K806" s="3" t="s">
        <v>366</v>
      </c>
      <c r="L806" s="3" t="s">
        <v>157</v>
      </c>
      <c r="M806" s="3" t="s">
        <v>173</v>
      </c>
      <c r="N806" s="3" t="s">
        <v>89</v>
      </c>
      <c r="O806" s="3" t="s">
        <v>174</v>
      </c>
      <c r="P806" s="3" t="s">
        <v>175</v>
      </c>
      <c r="Q806" s="5" t="n">
        <v>4154.04</v>
      </c>
      <c r="R806" s="3" t="n">
        <v>7</v>
      </c>
      <c r="S806" s="6" t="n">
        <v>0</v>
      </c>
      <c r="T806" s="5" t="n">
        <v>-488.81</v>
      </c>
      <c r="U806" s="3" t="str">
        <f aca="false">IF(T806&lt;0,"Loss",IF(T806=0,"Break-even","Profit"))</f>
        <v>Loss</v>
      </c>
      <c r="V806" s="3" t="str">
        <f aca="false">IF(Q806&lt;100,"Low",IF(Q806&lt;=500,"Medium","High"))</f>
        <v>High</v>
      </c>
      <c r="W806" s="3" t="n">
        <f aca="false">D806-C806</f>
        <v>3</v>
      </c>
      <c r="X806" s="3" t="str">
        <f aca="false">TEXT(C806,"mmmm")</f>
        <v>July</v>
      </c>
      <c r="Y806" s="3" t="str">
        <f aca="false">LEFT(G806,1)&amp;MID(G806,FIND(" ",G806)+1,1)</f>
        <v>RB</v>
      </c>
    </row>
    <row r="807" customFormat="false" ht="15" hidden="false" customHeight="false" outlineLevel="0" collapsed="false">
      <c r="A807" s="3" t="n">
        <v>806</v>
      </c>
      <c r="B807" s="3" t="s">
        <v>2148</v>
      </c>
      <c r="C807" s="4" t="s">
        <v>2139</v>
      </c>
      <c r="D807" s="4" t="s">
        <v>2143</v>
      </c>
      <c r="E807" s="3" t="s">
        <v>28</v>
      </c>
      <c r="F807" s="3" t="s">
        <v>177</v>
      </c>
      <c r="G807" s="3" t="s">
        <v>178</v>
      </c>
      <c r="H807" s="3" t="s">
        <v>56</v>
      </c>
      <c r="I807" s="3" t="s">
        <v>32</v>
      </c>
      <c r="J807" s="3" t="s">
        <v>386</v>
      </c>
      <c r="K807" s="3" t="s">
        <v>387</v>
      </c>
      <c r="L807" s="3" t="s">
        <v>35</v>
      </c>
      <c r="M807" s="3" t="s">
        <v>659</v>
      </c>
      <c r="N807" s="3" t="s">
        <v>89</v>
      </c>
      <c r="O807" s="3" t="s">
        <v>323</v>
      </c>
      <c r="P807" s="3" t="s">
        <v>660</v>
      </c>
      <c r="Q807" s="5" t="n">
        <v>2917.24</v>
      </c>
      <c r="R807" s="3" t="n">
        <v>10</v>
      </c>
      <c r="S807" s="6" t="n">
        <v>0.4</v>
      </c>
      <c r="T807" s="5" t="n">
        <v>-112.17</v>
      </c>
      <c r="U807" s="3" t="str">
        <f aca="false">IF(T807&lt;0,"Loss",IF(T807=0,"Break-even","Profit"))</f>
        <v>Loss</v>
      </c>
      <c r="V807" s="3" t="str">
        <f aca="false">IF(Q807&lt;100,"Low",IF(Q807&lt;=500,"Medium","High"))</f>
        <v>High</v>
      </c>
      <c r="W807" s="3" t="n">
        <f aca="false">D807-C807</f>
        <v>6</v>
      </c>
      <c r="X807" s="3" t="str">
        <f aca="false">TEXT(C807,"mmmm")</f>
        <v>July</v>
      </c>
      <c r="Y807" s="3" t="str">
        <f aca="false">LEFT(G807,1)&amp;MID(G807,FIND(" ",G807)+1,1)</f>
        <v>RB</v>
      </c>
    </row>
    <row r="808" customFormat="false" ht="15" hidden="false" customHeight="false" outlineLevel="0" collapsed="false">
      <c r="A808" s="3" t="n">
        <v>807</v>
      </c>
      <c r="B808" s="3" t="s">
        <v>2149</v>
      </c>
      <c r="C808" s="4" t="s">
        <v>2139</v>
      </c>
      <c r="D808" s="4" t="s">
        <v>2143</v>
      </c>
      <c r="E808" s="3" t="s">
        <v>28</v>
      </c>
      <c r="F808" s="3" t="s">
        <v>345</v>
      </c>
      <c r="G808" s="3" t="s">
        <v>346</v>
      </c>
      <c r="H808" s="3" t="s">
        <v>56</v>
      </c>
      <c r="I808" s="3" t="s">
        <v>32</v>
      </c>
      <c r="J808" s="3" t="s">
        <v>299</v>
      </c>
      <c r="K808" s="3" t="s">
        <v>189</v>
      </c>
      <c r="L808" s="3" t="s">
        <v>59</v>
      </c>
      <c r="M808" s="3" t="s">
        <v>269</v>
      </c>
      <c r="N808" s="3" t="s">
        <v>89</v>
      </c>
      <c r="O808" s="3" t="s">
        <v>174</v>
      </c>
      <c r="P808" s="3" t="s">
        <v>270</v>
      </c>
      <c r="Q808" s="5" t="n">
        <v>3158.43</v>
      </c>
      <c r="R808" s="3" t="n">
        <v>9</v>
      </c>
      <c r="S808" s="6" t="n">
        <v>0.5</v>
      </c>
      <c r="T808" s="5" t="n">
        <v>-689.33</v>
      </c>
      <c r="U808" s="3" t="str">
        <f aca="false">IF(T808&lt;0,"Loss",IF(T808=0,"Break-even","Profit"))</f>
        <v>Loss</v>
      </c>
      <c r="V808" s="3" t="str">
        <f aca="false">IF(Q808&lt;100,"Low",IF(Q808&lt;=500,"Medium","High"))</f>
        <v>High</v>
      </c>
      <c r="W808" s="3" t="n">
        <f aca="false">D808-C808</f>
        <v>6</v>
      </c>
      <c r="X808" s="3" t="str">
        <f aca="false">TEXT(C808,"mmmm")</f>
        <v>July</v>
      </c>
      <c r="Y808" s="3" t="str">
        <f aca="false">LEFT(G808,1)&amp;MID(G808,FIND(" ",G808)+1,1)</f>
        <v>OS</v>
      </c>
    </row>
    <row r="809" customFormat="false" ht="15" hidden="false" customHeight="false" outlineLevel="0" collapsed="false">
      <c r="A809" s="3" t="n">
        <v>808</v>
      </c>
      <c r="B809" s="3" t="s">
        <v>2150</v>
      </c>
      <c r="C809" s="4" t="s">
        <v>2133</v>
      </c>
      <c r="D809" s="4" t="s">
        <v>2151</v>
      </c>
      <c r="E809" s="3" t="s">
        <v>28</v>
      </c>
      <c r="F809" s="3" t="s">
        <v>665</v>
      </c>
      <c r="G809" s="3" t="s">
        <v>666</v>
      </c>
      <c r="H809" s="3" t="s">
        <v>56</v>
      </c>
      <c r="I809" s="3" t="s">
        <v>32</v>
      </c>
      <c r="J809" s="3" t="s">
        <v>215</v>
      </c>
      <c r="K809" s="3" t="s">
        <v>34</v>
      </c>
      <c r="L809" s="3" t="s">
        <v>35</v>
      </c>
      <c r="M809" s="3" t="s">
        <v>219</v>
      </c>
      <c r="N809" s="3" t="s">
        <v>49</v>
      </c>
      <c r="O809" s="3" t="s">
        <v>220</v>
      </c>
      <c r="P809" s="3" t="s">
        <v>221</v>
      </c>
      <c r="Q809" s="5" t="n">
        <v>180.26</v>
      </c>
      <c r="R809" s="3" t="n">
        <v>14</v>
      </c>
      <c r="S809" s="6" t="n">
        <v>0.1</v>
      </c>
      <c r="T809" s="5" t="n">
        <v>-18.17</v>
      </c>
      <c r="U809" s="3" t="str">
        <f aca="false">IF(T809&lt;0,"Loss",IF(T809=0,"Break-even","Profit"))</f>
        <v>Loss</v>
      </c>
      <c r="V809" s="3" t="str">
        <f aca="false">IF(Q809&lt;100,"Low",IF(Q809&lt;=500,"Medium","High"))</f>
        <v>Medium</v>
      </c>
      <c r="W809" s="3" t="n">
        <f aca="false">D809-C809</f>
        <v>3</v>
      </c>
      <c r="X809" s="3" t="str">
        <f aca="false">TEXT(C809,"mmmm")</f>
        <v>July</v>
      </c>
      <c r="Y809" s="3" t="str">
        <f aca="false">LEFT(G809,1)&amp;MID(G809,FIND(" ",G809)+1,1)</f>
        <v>EM</v>
      </c>
    </row>
    <row r="810" customFormat="false" ht="15" hidden="false" customHeight="false" outlineLevel="0" collapsed="false">
      <c r="A810" s="3" t="n">
        <v>809</v>
      </c>
      <c r="B810" s="3" t="s">
        <v>2152</v>
      </c>
      <c r="C810" s="4" t="s">
        <v>2147</v>
      </c>
      <c r="D810" s="4" t="s">
        <v>2153</v>
      </c>
      <c r="E810" s="3" t="s">
        <v>28</v>
      </c>
      <c r="F810" s="3" t="s">
        <v>514</v>
      </c>
      <c r="G810" s="3" t="s">
        <v>515</v>
      </c>
      <c r="H810" s="3" t="s">
        <v>45</v>
      </c>
      <c r="I810" s="3" t="s">
        <v>32</v>
      </c>
      <c r="J810" s="3" t="s">
        <v>148</v>
      </c>
      <c r="K810" s="3" t="s">
        <v>78</v>
      </c>
      <c r="L810" s="3" t="s">
        <v>59</v>
      </c>
      <c r="M810" s="3" t="s">
        <v>142</v>
      </c>
      <c r="N810" s="3" t="s">
        <v>49</v>
      </c>
      <c r="O810" s="3" t="s">
        <v>143</v>
      </c>
      <c r="P810" s="3" t="s">
        <v>144</v>
      </c>
      <c r="Q810" s="5" t="n">
        <v>359.26</v>
      </c>
      <c r="R810" s="3" t="n">
        <v>12</v>
      </c>
      <c r="S810" s="6" t="n">
        <v>0.1</v>
      </c>
      <c r="T810" s="5" t="n">
        <v>-12.15</v>
      </c>
      <c r="U810" s="3" t="str">
        <f aca="false">IF(T810&lt;0,"Loss",IF(T810=0,"Break-even","Profit"))</f>
        <v>Loss</v>
      </c>
      <c r="V810" s="3" t="str">
        <f aca="false">IF(Q810&lt;100,"Low",IF(Q810&lt;=500,"Medium","High"))</f>
        <v>Medium</v>
      </c>
      <c r="W810" s="3" t="n">
        <f aca="false">D810-C810</f>
        <v>7</v>
      </c>
      <c r="X810" s="3" t="str">
        <f aca="false">TEXT(C810,"mmmm")</f>
        <v>July</v>
      </c>
      <c r="Y810" s="3" t="str">
        <f aca="false">LEFT(G810,1)&amp;MID(G810,FIND(" ",G810)+1,1)</f>
        <v>MM</v>
      </c>
    </row>
    <row r="811" customFormat="false" ht="15" hidden="false" customHeight="false" outlineLevel="0" collapsed="false">
      <c r="A811" s="3" t="n">
        <v>810</v>
      </c>
      <c r="B811" s="3" t="s">
        <v>2154</v>
      </c>
      <c r="C811" s="4" t="s">
        <v>2147</v>
      </c>
      <c r="D811" s="4" t="s">
        <v>2151</v>
      </c>
      <c r="E811" s="3" t="s">
        <v>42</v>
      </c>
      <c r="F811" s="3" t="s">
        <v>131</v>
      </c>
      <c r="G811" s="3" t="s">
        <v>132</v>
      </c>
      <c r="H811" s="3" t="s">
        <v>56</v>
      </c>
      <c r="I811" s="3" t="s">
        <v>32</v>
      </c>
      <c r="J811" s="3" t="s">
        <v>306</v>
      </c>
      <c r="K811" s="3" t="s">
        <v>307</v>
      </c>
      <c r="L811" s="3" t="s">
        <v>69</v>
      </c>
      <c r="M811" s="3" t="s">
        <v>195</v>
      </c>
      <c r="N811" s="3" t="s">
        <v>37</v>
      </c>
      <c r="O811" s="3" t="s">
        <v>196</v>
      </c>
      <c r="P811" s="3" t="s">
        <v>197</v>
      </c>
      <c r="Q811" s="5" t="n">
        <v>11212.58</v>
      </c>
      <c r="R811" s="3" t="n">
        <v>14</v>
      </c>
      <c r="S811" s="6" t="n">
        <v>0.1</v>
      </c>
      <c r="T811" s="5" t="n">
        <v>-1424.44</v>
      </c>
      <c r="U811" s="3" t="str">
        <f aca="false">IF(T811&lt;0,"Loss",IF(T811=0,"Break-even","Profit"))</f>
        <v>Loss</v>
      </c>
      <c r="V811" s="3" t="str">
        <f aca="false">IF(Q811&lt;100,"Low",IF(Q811&lt;=500,"Medium","High"))</f>
        <v>High</v>
      </c>
      <c r="W811" s="3" t="n">
        <f aca="false">D811-C811</f>
        <v>1</v>
      </c>
      <c r="X811" s="3" t="str">
        <f aca="false">TEXT(C811,"mmmm")</f>
        <v>July</v>
      </c>
      <c r="Y811" s="3" t="str">
        <f aca="false">LEFT(G811,1)&amp;MID(G811,FIND(" ",G811)+1,1)</f>
        <v>JM</v>
      </c>
    </row>
    <row r="812" customFormat="false" ht="15" hidden="false" customHeight="false" outlineLevel="0" collapsed="false">
      <c r="A812" s="3" t="n">
        <v>811</v>
      </c>
      <c r="B812" s="3" t="s">
        <v>2155</v>
      </c>
      <c r="C812" s="4" t="s">
        <v>2143</v>
      </c>
      <c r="D812" s="4" t="s">
        <v>2156</v>
      </c>
      <c r="E812" s="3" t="s">
        <v>28</v>
      </c>
      <c r="F812" s="3" t="s">
        <v>2157</v>
      </c>
      <c r="G812" s="3" t="s">
        <v>2158</v>
      </c>
      <c r="H812" s="3" t="s">
        <v>56</v>
      </c>
      <c r="I812" s="3" t="s">
        <v>32</v>
      </c>
      <c r="J812" s="3" t="s">
        <v>252</v>
      </c>
      <c r="K812" s="3" t="s">
        <v>172</v>
      </c>
      <c r="L812" s="3" t="s">
        <v>157</v>
      </c>
      <c r="M812" s="3" t="s">
        <v>461</v>
      </c>
      <c r="N812" s="3" t="s">
        <v>37</v>
      </c>
      <c r="O812" s="3" t="s">
        <v>71</v>
      </c>
      <c r="P812" s="3" t="s">
        <v>462</v>
      </c>
      <c r="Q812" s="5" t="n">
        <v>1555.38</v>
      </c>
      <c r="R812" s="3" t="n">
        <v>13</v>
      </c>
      <c r="S812" s="6" t="n">
        <v>0.3</v>
      </c>
      <c r="T812" s="5" t="n">
        <v>137.47</v>
      </c>
      <c r="U812" s="3" t="str">
        <f aca="false">IF(T812&lt;0,"Loss",IF(T812=0,"Break-even","Profit"))</f>
        <v>Profit</v>
      </c>
      <c r="V812" s="3" t="str">
        <f aca="false">IF(Q812&lt;100,"Low",IF(Q812&lt;=500,"Medium","High"))</f>
        <v>High</v>
      </c>
      <c r="W812" s="3" t="n">
        <f aca="false">D812-C812</f>
        <v>6</v>
      </c>
      <c r="X812" s="3" t="str">
        <f aca="false">TEXT(C812,"mmmm")</f>
        <v>July</v>
      </c>
      <c r="Y812" s="3" t="str">
        <f aca="false">LEFT(G812,1)&amp;MID(G812,FIND(" ",G812)+1,1)</f>
        <v>RD</v>
      </c>
    </row>
    <row r="813" customFormat="false" ht="15" hidden="false" customHeight="false" outlineLevel="0" collapsed="false">
      <c r="A813" s="3" t="n">
        <v>812</v>
      </c>
      <c r="B813" s="3" t="s">
        <v>1814</v>
      </c>
      <c r="C813" s="4" t="s">
        <v>2143</v>
      </c>
      <c r="D813" s="4" t="s">
        <v>2153</v>
      </c>
      <c r="E813" s="3" t="s">
        <v>84</v>
      </c>
      <c r="F813" s="3" t="s">
        <v>430</v>
      </c>
      <c r="G813" s="3" t="s">
        <v>431</v>
      </c>
      <c r="H813" s="3" t="s">
        <v>56</v>
      </c>
      <c r="I813" s="3" t="s">
        <v>32</v>
      </c>
      <c r="J813" s="3" t="s">
        <v>476</v>
      </c>
      <c r="K813" s="3" t="s">
        <v>366</v>
      </c>
      <c r="L813" s="3" t="s">
        <v>157</v>
      </c>
      <c r="M813" s="3" t="s">
        <v>209</v>
      </c>
      <c r="N813" s="3" t="s">
        <v>49</v>
      </c>
      <c r="O813" s="3" t="s">
        <v>106</v>
      </c>
      <c r="P813" s="3" t="s">
        <v>210</v>
      </c>
      <c r="Q813" s="5" t="n">
        <v>41.99</v>
      </c>
      <c r="R813" s="3" t="n">
        <v>1</v>
      </c>
      <c r="S813" s="6" t="n">
        <v>0.2</v>
      </c>
      <c r="T813" s="5" t="n">
        <v>4.16</v>
      </c>
      <c r="U813" s="3" t="str">
        <f aca="false">IF(T813&lt;0,"Loss",IF(T813=0,"Break-even","Profit"))</f>
        <v>Profit</v>
      </c>
      <c r="V813" s="3" t="str">
        <f aca="false">IF(Q813&lt;100,"Low",IF(Q813&lt;=500,"Medium","High"))</f>
        <v>Low</v>
      </c>
      <c r="W813" s="3" t="n">
        <f aca="false">D813-C813</f>
        <v>4</v>
      </c>
      <c r="X813" s="3" t="str">
        <f aca="false">TEXT(C813,"mmmm")</f>
        <v>July</v>
      </c>
      <c r="Y813" s="3" t="str">
        <f aca="false">LEFT(G813,1)&amp;MID(G813,FIND(" ",G813)+1,1)</f>
        <v>SM</v>
      </c>
    </row>
    <row r="814" customFormat="false" ht="15" hidden="false" customHeight="false" outlineLevel="0" collapsed="false">
      <c r="A814" s="3" t="n">
        <v>813</v>
      </c>
      <c r="B814" s="3" t="s">
        <v>2159</v>
      </c>
      <c r="C814" s="4" t="s">
        <v>2143</v>
      </c>
      <c r="D814" s="4" t="s">
        <v>2153</v>
      </c>
      <c r="E814" s="3" t="s">
        <v>84</v>
      </c>
      <c r="F814" s="3" t="s">
        <v>963</v>
      </c>
      <c r="G814" s="3" t="s">
        <v>964</v>
      </c>
      <c r="H814" s="3" t="s">
        <v>31</v>
      </c>
      <c r="I814" s="3" t="s">
        <v>32</v>
      </c>
      <c r="J814" s="3" t="s">
        <v>616</v>
      </c>
      <c r="K814" s="3" t="s">
        <v>156</v>
      </c>
      <c r="L814" s="3" t="s">
        <v>157</v>
      </c>
      <c r="M814" s="3" t="s">
        <v>79</v>
      </c>
      <c r="N814" s="3" t="s">
        <v>49</v>
      </c>
      <c r="O814" s="3" t="s">
        <v>80</v>
      </c>
      <c r="P814" s="3" t="s">
        <v>81</v>
      </c>
      <c r="Q814" s="5" t="n">
        <v>796.12</v>
      </c>
      <c r="R814" s="3" t="n">
        <v>8</v>
      </c>
      <c r="S814" s="6" t="n">
        <v>0.2</v>
      </c>
      <c r="T814" s="5" t="n">
        <v>187.2</v>
      </c>
      <c r="U814" s="3" t="str">
        <f aca="false">IF(T814&lt;0,"Loss",IF(T814=0,"Break-even","Profit"))</f>
        <v>Profit</v>
      </c>
      <c r="V814" s="3" t="str">
        <f aca="false">IF(Q814&lt;100,"Low",IF(Q814&lt;=500,"Medium","High"))</f>
        <v>High</v>
      </c>
      <c r="W814" s="3" t="n">
        <f aca="false">D814-C814</f>
        <v>4</v>
      </c>
      <c r="X814" s="3" t="str">
        <f aca="false">TEXT(C814,"mmmm")</f>
        <v>July</v>
      </c>
      <c r="Y814" s="3" t="str">
        <f aca="false">LEFT(G814,1)&amp;MID(G814,FIND(" ",G814)+1,1)</f>
        <v>FB</v>
      </c>
    </row>
    <row r="815" customFormat="false" ht="15" hidden="false" customHeight="false" outlineLevel="0" collapsed="false">
      <c r="A815" s="3" t="n">
        <v>814</v>
      </c>
      <c r="B815" s="3" t="s">
        <v>2160</v>
      </c>
      <c r="C815" s="4" t="s">
        <v>2161</v>
      </c>
      <c r="D815" s="4" t="s">
        <v>2153</v>
      </c>
      <c r="E815" s="3" t="s">
        <v>28</v>
      </c>
      <c r="F815" s="3" t="s">
        <v>946</v>
      </c>
      <c r="G815" s="3" t="s">
        <v>947</v>
      </c>
      <c r="H815" s="3" t="s">
        <v>45</v>
      </c>
      <c r="I815" s="3" t="s">
        <v>32</v>
      </c>
      <c r="J815" s="3" t="s">
        <v>306</v>
      </c>
      <c r="K815" s="3" t="s">
        <v>307</v>
      </c>
      <c r="L815" s="3" t="s">
        <v>69</v>
      </c>
      <c r="M815" s="3" t="s">
        <v>135</v>
      </c>
      <c r="N815" s="3" t="s">
        <v>37</v>
      </c>
      <c r="O815" s="3" t="s">
        <v>136</v>
      </c>
      <c r="P815" s="3" t="s">
        <v>137</v>
      </c>
      <c r="Q815" s="5" t="n">
        <v>5078.72</v>
      </c>
      <c r="R815" s="3" t="n">
        <v>14</v>
      </c>
      <c r="S815" s="6" t="n">
        <v>0.4</v>
      </c>
      <c r="T815" s="5" t="n">
        <v>-674.78</v>
      </c>
      <c r="U815" s="3" t="str">
        <f aca="false">IF(T815&lt;0,"Loss",IF(T815=0,"Break-even","Profit"))</f>
        <v>Loss</v>
      </c>
      <c r="V815" s="3" t="str">
        <f aca="false">IF(Q815&lt;100,"Low",IF(Q815&lt;=500,"Medium","High"))</f>
        <v>High</v>
      </c>
      <c r="W815" s="3" t="n">
        <f aca="false">D815-C815</f>
        <v>3</v>
      </c>
      <c r="X815" s="3" t="str">
        <f aca="false">TEXT(C815,"mmmm")</f>
        <v>July</v>
      </c>
      <c r="Y815" s="3" t="str">
        <f aca="false">LEFT(G815,1)&amp;MID(G815,FIND(" ",G815)+1,1)</f>
        <v>MW</v>
      </c>
    </row>
    <row r="816" customFormat="false" ht="15" hidden="false" customHeight="false" outlineLevel="0" collapsed="false">
      <c r="A816" s="3" t="n">
        <v>815</v>
      </c>
      <c r="B816" s="3" t="s">
        <v>2162</v>
      </c>
      <c r="C816" s="4" t="s">
        <v>2163</v>
      </c>
      <c r="D816" s="4" t="s">
        <v>2164</v>
      </c>
      <c r="E816" s="3" t="s">
        <v>28</v>
      </c>
      <c r="F816" s="3" t="s">
        <v>989</v>
      </c>
      <c r="G816" s="3" t="s">
        <v>990</v>
      </c>
      <c r="H816" s="3" t="s">
        <v>56</v>
      </c>
      <c r="I816" s="3" t="s">
        <v>32</v>
      </c>
      <c r="J816" s="3" t="s">
        <v>46</v>
      </c>
      <c r="K816" s="3" t="s">
        <v>47</v>
      </c>
      <c r="L816" s="3" t="s">
        <v>35</v>
      </c>
      <c r="M816" s="3" t="s">
        <v>237</v>
      </c>
      <c r="N816" s="3" t="s">
        <v>49</v>
      </c>
      <c r="O816" s="3" t="s">
        <v>220</v>
      </c>
      <c r="P816" s="3" t="s">
        <v>238</v>
      </c>
      <c r="Q816" s="5" t="n">
        <v>209.1</v>
      </c>
      <c r="R816" s="3" t="n">
        <v>2</v>
      </c>
      <c r="S816" s="6" t="n">
        <v>0.3</v>
      </c>
      <c r="T816" s="5" t="n">
        <v>7.31</v>
      </c>
      <c r="U816" s="3" t="str">
        <f aca="false">IF(T816&lt;0,"Loss",IF(T816=0,"Break-even","Profit"))</f>
        <v>Profit</v>
      </c>
      <c r="V816" s="3" t="str">
        <f aca="false">IF(Q816&lt;100,"Low",IF(Q816&lt;=500,"Medium","High"))</f>
        <v>Medium</v>
      </c>
      <c r="W816" s="3" t="n">
        <f aca="false">D816-C816</f>
        <v>6</v>
      </c>
      <c r="X816" s="3" t="str">
        <f aca="false">TEXT(C816,"mmmm")</f>
        <v>July</v>
      </c>
      <c r="Y816" s="3" t="str">
        <f aca="false">LEFT(G816,1)&amp;MID(G816,FIND(" ",G816)+1,1)</f>
        <v>EK</v>
      </c>
    </row>
    <row r="817" customFormat="false" ht="15" hidden="false" customHeight="false" outlineLevel="0" collapsed="false">
      <c r="A817" s="3" t="n">
        <v>816</v>
      </c>
      <c r="B817" s="3" t="s">
        <v>2165</v>
      </c>
      <c r="C817" s="4" t="s">
        <v>2163</v>
      </c>
      <c r="D817" s="4" t="s">
        <v>2164</v>
      </c>
      <c r="E817" s="3" t="s">
        <v>28</v>
      </c>
      <c r="F817" s="3" t="s">
        <v>2166</v>
      </c>
      <c r="G817" s="3" t="s">
        <v>2167</v>
      </c>
      <c r="H817" s="3" t="s">
        <v>45</v>
      </c>
      <c r="I817" s="3" t="s">
        <v>32</v>
      </c>
      <c r="J817" s="3" t="s">
        <v>133</v>
      </c>
      <c r="K817" s="3" t="s">
        <v>134</v>
      </c>
      <c r="L817" s="3" t="s">
        <v>69</v>
      </c>
      <c r="M817" s="3" t="s">
        <v>173</v>
      </c>
      <c r="N817" s="3" t="s">
        <v>89</v>
      </c>
      <c r="O817" s="3" t="s">
        <v>174</v>
      </c>
      <c r="P817" s="3" t="s">
        <v>175</v>
      </c>
      <c r="Q817" s="5" t="n">
        <v>2188.5</v>
      </c>
      <c r="R817" s="3" t="n">
        <v>5</v>
      </c>
      <c r="S817" s="6" t="n">
        <v>0</v>
      </c>
      <c r="T817" s="5" t="n">
        <v>-251.91</v>
      </c>
      <c r="U817" s="3" t="str">
        <f aca="false">IF(T817&lt;0,"Loss",IF(T817=0,"Break-even","Profit"))</f>
        <v>Loss</v>
      </c>
      <c r="V817" s="3" t="str">
        <f aca="false">IF(Q817&lt;100,"Low",IF(Q817&lt;=500,"Medium","High"))</f>
        <v>High</v>
      </c>
      <c r="W817" s="3" t="n">
        <f aca="false">D817-C817</f>
        <v>6</v>
      </c>
      <c r="X817" s="3" t="str">
        <f aca="false">TEXT(C817,"mmmm")</f>
        <v>July</v>
      </c>
      <c r="Y817" s="3" t="str">
        <f aca="false">LEFT(G817,1)&amp;MID(G817,FIND(" ",G817)+1,1)</f>
        <v>JR</v>
      </c>
    </row>
    <row r="818" customFormat="false" ht="15" hidden="false" customHeight="false" outlineLevel="0" collapsed="false">
      <c r="A818" s="3" t="n">
        <v>817</v>
      </c>
      <c r="B818" s="3" t="s">
        <v>2168</v>
      </c>
      <c r="C818" s="4" t="s">
        <v>2163</v>
      </c>
      <c r="D818" s="4" t="s">
        <v>2169</v>
      </c>
      <c r="E818" s="3" t="s">
        <v>42</v>
      </c>
      <c r="F818" s="3" t="s">
        <v>490</v>
      </c>
      <c r="G818" s="3" t="s">
        <v>491</v>
      </c>
      <c r="H818" s="3" t="s">
        <v>56</v>
      </c>
      <c r="I818" s="3" t="s">
        <v>32</v>
      </c>
      <c r="J818" s="3" t="s">
        <v>188</v>
      </c>
      <c r="K818" s="3" t="s">
        <v>189</v>
      </c>
      <c r="L818" s="3" t="s">
        <v>59</v>
      </c>
      <c r="M818" s="3" t="s">
        <v>461</v>
      </c>
      <c r="N818" s="3" t="s">
        <v>37</v>
      </c>
      <c r="O818" s="3" t="s">
        <v>71</v>
      </c>
      <c r="P818" s="3" t="s">
        <v>462</v>
      </c>
      <c r="Q818" s="5" t="n">
        <v>4542.07</v>
      </c>
      <c r="R818" s="3" t="n">
        <v>3</v>
      </c>
      <c r="S818" s="6" t="n">
        <v>0</v>
      </c>
      <c r="T818" s="5" t="n">
        <v>-1010.46</v>
      </c>
      <c r="U818" s="3" t="str">
        <f aca="false">IF(T818&lt;0,"Loss",IF(T818=0,"Break-even","Profit"))</f>
        <v>Loss</v>
      </c>
      <c r="V818" s="3" t="str">
        <f aca="false">IF(Q818&lt;100,"Low",IF(Q818&lt;=500,"Medium","High"))</f>
        <v>High</v>
      </c>
      <c r="W818" s="3" t="n">
        <f aca="false">D818-C818</f>
        <v>1</v>
      </c>
      <c r="X818" s="3" t="str">
        <f aca="false">TEXT(C818,"mmmm")</f>
        <v>July</v>
      </c>
      <c r="Y818" s="3" t="str">
        <f aca="false">LEFT(G818,1)&amp;MID(G818,FIND(" ",G818)+1,1)</f>
        <v>WM</v>
      </c>
    </row>
    <row r="819" customFormat="false" ht="15" hidden="false" customHeight="false" outlineLevel="0" collapsed="false">
      <c r="A819" s="3" t="n">
        <v>818</v>
      </c>
      <c r="B819" s="3" t="s">
        <v>1858</v>
      </c>
      <c r="C819" s="4" t="s">
        <v>2170</v>
      </c>
      <c r="D819" s="4" t="s">
        <v>2171</v>
      </c>
      <c r="E819" s="3" t="s">
        <v>84</v>
      </c>
      <c r="F819" s="3" t="s">
        <v>496</v>
      </c>
      <c r="G819" s="3" t="s">
        <v>497</v>
      </c>
      <c r="H819" s="3" t="s">
        <v>45</v>
      </c>
      <c r="I819" s="3" t="s">
        <v>32</v>
      </c>
      <c r="J819" s="3" t="s">
        <v>215</v>
      </c>
      <c r="K819" s="3" t="s">
        <v>34</v>
      </c>
      <c r="L819" s="3" t="s">
        <v>35</v>
      </c>
      <c r="M819" s="3" t="s">
        <v>190</v>
      </c>
      <c r="N819" s="3" t="s">
        <v>49</v>
      </c>
      <c r="O819" s="3" t="s">
        <v>150</v>
      </c>
      <c r="P819" s="3" t="s">
        <v>191</v>
      </c>
      <c r="Q819" s="5" t="n">
        <v>1027.99</v>
      </c>
      <c r="R819" s="3" t="n">
        <v>11</v>
      </c>
      <c r="S819" s="6" t="n">
        <v>0.4</v>
      </c>
      <c r="T819" s="5" t="n">
        <v>128.68</v>
      </c>
      <c r="U819" s="3" t="str">
        <f aca="false">IF(T819&lt;0,"Loss",IF(T819=0,"Break-even","Profit"))</f>
        <v>Profit</v>
      </c>
      <c r="V819" s="3" t="str">
        <f aca="false">IF(Q819&lt;100,"Low",IF(Q819&lt;=500,"Medium","High"))</f>
        <v>High</v>
      </c>
      <c r="W819" s="3" t="n">
        <f aca="false">D819-C819</f>
        <v>2</v>
      </c>
      <c r="X819" s="3" t="str">
        <f aca="false">TEXT(C819,"mmmm")</f>
        <v>July</v>
      </c>
      <c r="Y819" s="3" t="str">
        <f aca="false">LEFT(G819,1)&amp;MID(G819,FIND(" ",G819)+1,1)</f>
        <v>DD</v>
      </c>
    </row>
    <row r="820" customFormat="false" ht="15" hidden="false" customHeight="false" outlineLevel="0" collapsed="false">
      <c r="A820" s="3" t="n">
        <v>819</v>
      </c>
      <c r="B820" s="3" t="s">
        <v>2172</v>
      </c>
      <c r="C820" s="4" t="s">
        <v>2170</v>
      </c>
      <c r="D820" s="4" t="s">
        <v>2173</v>
      </c>
      <c r="E820" s="3" t="s">
        <v>28</v>
      </c>
      <c r="F820" s="3" t="s">
        <v>1253</v>
      </c>
      <c r="G820" s="3" t="s">
        <v>1254</v>
      </c>
      <c r="H820" s="3" t="s">
        <v>56</v>
      </c>
      <c r="I820" s="3" t="s">
        <v>32</v>
      </c>
      <c r="J820" s="3" t="s">
        <v>215</v>
      </c>
      <c r="K820" s="3" t="s">
        <v>34</v>
      </c>
      <c r="L820" s="3" t="s">
        <v>35</v>
      </c>
      <c r="M820" s="3" t="s">
        <v>190</v>
      </c>
      <c r="N820" s="3" t="s">
        <v>49</v>
      </c>
      <c r="O820" s="3" t="s">
        <v>150</v>
      </c>
      <c r="P820" s="3" t="s">
        <v>191</v>
      </c>
      <c r="Q820" s="5" t="n">
        <v>211.75</v>
      </c>
      <c r="R820" s="3" t="n">
        <v>7</v>
      </c>
      <c r="S820" s="6" t="n">
        <v>0.5</v>
      </c>
      <c r="T820" s="5" t="n">
        <v>36.97</v>
      </c>
      <c r="U820" s="3" t="str">
        <f aca="false">IF(T820&lt;0,"Loss",IF(T820=0,"Break-even","Profit"))</f>
        <v>Profit</v>
      </c>
      <c r="V820" s="3" t="str">
        <f aca="false">IF(Q820&lt;100,"Low",IF(Q820&lt;=500,"Medium","High"))</f>
        <v>Medium</v>
      </c>
      <c r="W820" s="3" t="n">
        <f aca="false">D820-C820</f>
        <v>6</v>
      </c>
      <c r="X820" s="3" t="str">
        <f aca="false">TEXT(C820,"mmmm")</f>
        <v>July</v>
      </c>
      <c r="Y820" s="3" t="str">
        <f aca="false">LEFT(G820,1)&amp;MID(G820,FIND(" ",G820)+1,1)</f>
        <v>AN</v>
      </c>
    </row>
    <row r="821" customFormat="false" ht="15" hidden="false" customHeight="false" outlineLevel="0" collapsed="false">
      <c r="A821" s="3" t="n">
        <v>820</v>
      </c>
      <c r="B821" s="3" t="s">
        <v>2174</v>
      </c>
      <c r="C821" s="4" t="s">
        <v>2170</v>
      </c>
      <c r="D821" s="4" t="s">
        <v>2175</v>
      </c>
      <c r="E821" s="3" t="s">
        <v>28</v>
      </c>
      <c r="F821" s="3" t="s">
        <v>1493</v>
      </c>
      <c r="G821" s="3" t="s">
        <v>1494</v>
      </c>
      <c r="H821" s="3" t="s">
        <v>56</v>
      </c>
      <c r="I821" s="3" t="s">
        <v>32</v>
      </c>
      <c r="J821" s="3" t="s">
        <v>77</v>
      </c>
      <c r="K821" s="3" t="s">
        <v>78</v>
      </c>
      <c r="L821" s="3" t="s">
        <v>59</v>
      </c>
      <c r="M821" s="3" t="s">
        <v>48</v>
      </c>
      <c r="N821" s="3" t="s">
        <v>49</v>
      </c>
      <c r="O821" s="3" t="s">
        <v>50</v>
      </c>
      <c r="P821" s="3" t="s">
        <v>51</v>
      </c>
      <c r="Q821" s="5" t="n">
        <v>132.5</v>
      </c>
      <c r="R821" s="3" t="n">
        <v>13</v>
      </c>
      <c r="S821" s="6" t="n">
        <v>0.1</v>
      </c>
      <c r="T821" s="5" t="n">
        <v>-22.43</v>
      </c>
      <c r="U821" s="3" t="str">
        <f aca="false">IF(T821&lt;0,"Loss",IF(T821=0,"Break-even","Profit"))</f>
        <v>Loss</v>
      </c>
      <c r="V821" s="3" t="str">
        <f aca="false">IF(Q821&lt;100,"Low",IF(Q821&lt;=500,"Medium","High"))</f>
        <v>Medium</v>
      </c>
      <c r="W821" s="3" t="n">
        <f aca="false">D821-C821</f>
        <v>5</v>
      </c>
      <c r="X821" s="3" t="str">
        <f aca="false">TEXT(C821,"mmmm")</f>
        <v>July</v>
      </c>
      <c r="Y821" s="3" t="str">
        <f aca="false">LEFT(G821,1)&amp;MID(G821,FIND(" ",G821)+1,1)</f>
        <v>DG</v>
      </c>
    </row>
    <row r="822" customFormat="false" ht="15" hidden="false" customHeight="false" outlineLevel="0" collapsed="false">
      <c r="A822" s="3" t="n">
        <v>821</v>
      </c>
      <c r="B822" s="3" t="s">
        <v>2176</v>
      </c>
      <c r="C822" s="4" t="s">
        <v>2156</v>
      </c>
      <c r="D822" s="4" t="s">
        <v>2164</v>
      </c>
      <c r="E822" s="3" t="s">
        <v>84</v>
      </c>
      <c r="F822" s="3" t="s">
        <v>1102</v>
      </c>
      <c r="G822" s="3" t="s">
        <v>1103</v>
      </c>
      <c r="H822" s="3" t="s">
        <v>45</v>
      </c>
      <c r="I822" s="3" t="s">
        <v>32</v>
      </c>
      <c r="J822" s="3" t="s">
        <v>285</v>
      </c>
      <c r="K822" s="3" t="s">
        <v>202</v>
      </c>
      <c r="L822" s="3" t="s">
        <v>35</v>
      </c>
      <c r="M822" s="3" t="s">
        <v>149</v>
      </c>
      <c r="N822" s="3" t="s">
        <v>49</v>
      </c>
      <c r="O822" s="3" t="s">
        <v>150</v>
      </c>
      <c r="P822" s="3" t="s">
        <v>151</v>
      </c>
      <c r="Q822" s="5" t="n">
        <v>584.92</v>
      </c>
      <c r="R822" s="3" t="n">
        <v>13</v>
      </c>
      <c r="S822" s="6" t="n">
        <v>0.3</v>
      </c>
      <c r="T822" s="5" t="n">
        <v>-11.38</v>
      </c>
      <c r="U822" s="3" t="str">
        <f aca="false">IF(T822&lt;0,"Loss",IF(T822=0,"Break-even","Profit"))</f>
        <v>Loss</v>
      </c>
      <c r="V822" s="3" t="str">
        <f aca="false">IF(Q822&lt;100,"Low",IF(Q822&lt;=500,"Medium","High"))</f>
        <v>High</v>
      </c>
      <c r="W822" s="3" t="n">
        <f aca="false">D822-C822</f>
        <v>2</v>
      </c>
      <c r="X822" s="3" t="str">
        <f aca="false">TEXT(C822,"mmmm")</f>
        <v>July</v>
      </c>
      <c r="Y822" s="3" t="str">
        <f aca="false">LEFT(G822,1)&amp;MID(G822,FIND(" ",G822)+1,1)</f>
        <v>DS</v>
      </c>
    </row>
    <row r="823" customFormat="false" ht="15" hidden="false" customHeight="false" outlineLevel="0" collapsed="false">
      <c r="A823" s="3" t="n">
        <v>822</v>
      </c>
      <c r="B823" s="3" t="s">
        <v>2177</v>
      </c>
      <c r="C823" s="4" t="s">
        <v>2171</v>
      </c>
      <c r="D823" s="4" t="s">
        <v>2178</v>
      </c>
      <c r="E823" s="3" t="s">
        <v>28</v>
      </c>
      <c r="F823" s="3" t="s">
        <v>579</v>
      </c>
      <c r="G823" s="3" t="s">
        <v>580</v>
      </c>
      <c r="H823" s="3" t="s">
        <v>56</v>
      </c>
      <c r="I823" s="3" t="s">
        <v>32</v>
      </c>
      <c r="J823" s="3" t="s">
        <v>315</v>
      </c>
      <c r="K823" s="3" t="s">
        <v>58</v>
      </c>
      <c r="L823" s="3" t="s">
        <v>59</v>
      </c>
      <c r="M823" s="3" t="s">
        <v>253</v>
      </c>
      <c r="N823" s="3" t="s">
        <v>89</v>
      </c>
      <c r="O823" s="3" t="s">
        <v>90</v>
      </c>
      <c r="P823" s="3" t="s">
        <v>254</v>
      </c>
      <c r="Q823" s="5" t="n">
        <v>1606.61</v>
      </c>
      <c r="R823" s="3" t="n">
        <v>4</v>
      </c>
      <c r="S823" s="6" t="n">
        <v>0.2</v>
      </c>
      <c r="T823" s="5" t="n">
        <v>161.54</v>
      </c>
      <c r="U823" s="3" t="str">
        <f aca="false">IF(T823&lt;0,"Loss",IF(T823=0,"Break-even","Profit"))</f>
        <v>Profit</v>
      </c>
      <c r="V823" s="3" t="str">
        <f aca="false">IF(Q823&lt;100,"Low",IF(Q823&lt;=500,"Medium","High"))</f>
        <v>High</v>
      </c>
      <c r="W823" s="3" t="n">
        <f aca="false">D823-C823</f>
        <v>5</v>
      </c>
      <c r="X823" s="3" t="str">
        <f aca="false">TEXT(C823,"mmmm")</f>
        <v>July</v>
      </c>
      <c r="Y823" s="3" t="str">
        <f aca="false">LEFT(G823,1)&amp;MID(G823,FIND(" ",G823)+1,1)</f>
        <v>OB</v>
      </c>
    </row>
    <row r="824" customFormat="false" ht="15" hidden="false" customHeight="false" outlineLevel="0" collapsed="false">
      <c r="A824" s="3" t="n">
        <v>823</v>
      </c>
      <c r="B824" s="3" t="s">
        <v>2179</v>
      </c>
      <c r="C824" s="4" t="s">
        <v>2171</v>
      </c>
      <c r="D824" s="4" t="s">
        <v>2180</v>
      </c>
      <c r="E824" s="3" t="s">
        <v>42</v>
      </c>
      <c r="F824" s="3" t="s">
        <v>1107</v>
      </c>
      <c r="G824" s="3" t="s">
        <v>1108</v>
      </c>
      <c r="H824" s="3" t="s">
        <v>31</v>
      </c>
      <c r="I824" s="3" t="s">
        <v>32</v>
      </c>
      <c r="J824" s="3" t="s">
        <v>77</v>
      </c>
      <c r="K824" s="3" t="s">
        <v>78</v>
      </c>
      <c r="L824" s="3" t="s">
        <v>59</v>
      </c>
      <c r="M824" s="3" t="s">
        <v>105</v>
      </c>
      <c r="N824" s="3" t="s">
        <v>49</v>
      </c>
      <c r="O824" s="3" t="s">
        <v>106</v>
      </c>
      <c r="P824" s="3" t="s">
        <v>107</v>
      </c>
      <c r="Q824" s="5" t="n">
        <v>878.96</v>
      </c>
      <c r="R824" s="3" t="n">
        <v>14</v>
      </c>
      <c r="S824" s="6" t="n">
        <v>0.4</v>
      </c>
      <c r="T824" s="5" t="n">
        <v>41.72</v>
      </c>
      <c r="U824" s="3" t="str">
        <f aca="false">IF(T824&lt;0,"Loss",IF(T824=0,"Break-even","Profit"))</f>
        <v>Profit</v>
      </c>
      <c r="V824" s="3" t="str">
        <f aca="false">IF(Q824&lt;100,"Low",IF(Q824&lt;=500,"Medium","High"))</f>
        <v>High</v>
      </c>
      <c r="W824" s="3" t="n">
        <f aca="false">D824-C824</f>
        <v>2</v>
      </c>
      <c r="X824" s="3" t="str">
        <f aca="false">TEXT(C824,"mmmm")</f>
        <v>July</v>
      </c>
      <c r="Y824" s="3" t="str">
        <f aca="false">LEFT(G824,1)&amp;MID(G824,FIND(" ",G824)+1,1)</f>
        <v>LM</v>
      </c>
    </row>
    <row r="825" customFormat="false" ht="15" hidden="false" customHeight="false" outlineLevel="0" collapsed="false">
      <c r="A825" s="3" t="n">
        <v>824</v>
      </c>
      <c r="B825" s="3" t="s">
        <v>2181</v>
      </c>
      <c r="C825" s="4" t="s">
        <v>2164</v>
      </c>
      <c r="D825" s="4" t="s">
        <v>2180</v>
      </c>
      <c r="E825" s="3" t="s">
        <v>42</v>
      </c>
      <c r="F825" s="3" t="s">
        <v>1152</v>
      </c>
      <c r="G825" s="3" t="s">
        <v>1153</v>
      </c>
      <c r="H825" s="3" t="s">
        <v>45</v>
      </c>
      <c r="I825" s="3" t="s">
        <v>32</v>
      </c>
      <c r="J825" s="3" t="s">
        <v>548</v>
      </c>
      <c r="K825" s="3" t="s">
        <v>244</v>
      </c>
      <c r="L825" s="3" t="s">
        <v>157</v>
      </c>
      <c r="M825" s="3" t="s">
        <v>280</v>
      </c>
      <c r="N825" s="3" t="s">
        <v>89</v>
      </c>
      <c r="O825" s="3" t="s">
        <v>166</v>
      </c>
      <c r="P825" s="3" t="s">
        <v>281</v>
      </c>
      <c r="Q825" s="5" t="n">
        <v>4504.58</v>
      </c>
      <c r="R825" s="3" t="n">
        <v>6</v>
      </c>
      <c r="S825" s="6" t="n">
        <v>0</v>
      </c>
      <c r="T825" s="5" t="n">
        <v>1445.9</v>
      </c>
      <c r="U825" s="3" t="str">
        <f aca="false">IF(T825&lt;0,"Loss",IF(T825=0,"Break-even","Profit"))</f>
        <v>Profit</v>
      </c>
      <c r="V825" s="3" t="str">
        <f aca="false">IF(Q825&lt;100,"Low",IF(Q825&lt;=500,"Medium","High"))</f>
        <v>High</v>
      </c>
      <c r="W825" s="3" t="n">
        <f aca="false">D825-C825</f>
        <v>1</v>
      </c>
      <c r="X825" s="3" t="str">
        <f aca="false">TEXT(C825,"mmmm")</f>
        <v>July</v>
      </c>
      <c r="Y825" s="3" t="str">
        <f aca="false">LEFT(G825,1)&amp;MID(G825,FIND(" ",G825)+1,1)</f>
        <v>MJ</v>
      </c>
    </row>
    <row r="826" customFormat="false" ht="15" hidden="false" customHeight="false" outlineLevel="0" collapsed="false">
      <c r="A826" s="3" t="n">
        <v>825</v>
      </c>
      <c r="B826" s="3" t="s">
        <v>2182</v>
      </c>
      <c r="C826" s="4" t="s">
        <v>2164</v>
      </c>
      <c r="D826" s="4" t="s">
        <v>2183</v>
      </c>
      <c r="E826" s="3" t="s">
        <v>28</v>
      </c>
      <c r="F826" s="3" t="s">
        <v>536</v>
      </c>
      <c r="G826" s="3" t="s">
        <v>537</v>
      </c>
      <c r="H826" s="3" t="s">
        <v>45</v>
      </c>
      <c r="I826" s="3" t="s">
        <v>32</v>
      </c>
      <c r="J826" s="3" t="s">
        <v>95</v>
      </c>
      <c r="K826" s="3" t="s">
        <v>96</v>
      </c>
      <c r="L826" s="3" t="s">
        <v>59</v>
      </c>
      <c r="M826" s="3" t="s">
        <v>461</v>
      </c>
      <c r="N826" s="3" t="s">
        <v>37</v>
      </c>
      <c r="O826" s="3" t="s">
        <v>71</v>
      </c>
      <c r="P826" s="3" t="s">
        <v>462</v>
      </c>
      <c r="Q826" s="5" t="n">
        <v>1575.5</v>
      </c>
      <c r="R826" s="3" t="n">
        <v>2</v>
      </c>
      <c r="S826" s="6" t="n">
        <v>0</v>
      </c>
      <c r="T826" s="5" t="n">
        <v>-265.2</v>
      </c>
      <c r="U826" s="3" t="str">
        <f aca="false">IF(T826&lt;0,"Loss",IF(T826=0,"Break-even","Profit"))</f>
        <v>Loss</v>
      </c>
      <c r="V826" s="3" t="str">
        <f aca="false">IF(Q826&lt;100,"Low",IF(Q826&lt;=500,"Medium","High"))</f>
        <v>High</v>
      </c>
      <c r="W826" s="3" t="n">
        <f aca="false">D826-C826</f>
        <v>7</v>
      </c>
      <c r="X826" s="3" t="str">
        <f aca="false">TEXT(C826,"mmmm")</f>
        <v>July</v>
      </c>
      <c r="Y826" s="3" t="str">
        <f aca="false">LEFT(G826,1)&amp;MID(G826,FIND(" ",G826)+1,1)</f>
        <v>EB</v>
      </c>
    </row>
    <row r="827" customFormat="false" ht="15" hidden="false" customHeight="false" outlineLevel="0" collapsed="false">
      <c r="A827" s="3" t="n">
        <v>826</v>
      </c>
      <c r="B827" s="3" t="s">
        <v>2184</v>
      </c>
      <c r="C827" s="4" t="s">
        <v>2164</v>
      </c>
      <c r="D827" s="4" t="s">
        <v>2173</v>
      </c>
      <c r="E827" s="3" t="s">
        <v>84</v>
      </c>
      <c r="F827" s="3" t="s">
        <v>379</v>
      </c>
      <c r="G827" s="3" t="s">
        <v>380</v>
      </c>
      <c r="H827" s="3" t="s">
        <v>56</v>
      </c>
      <c r="I827" s="3" t="s">
        <v>32</v>
      </c>
      <c r="J827" s="3" t="s">
        <v>95</v>
      </c>
      <c r="K827" s="3" t="s">
        <v>96</v>
      </c>
      <c r="L827" s="3" t="s">
        <v>59</v>
      </c>
      <c r="M827" s="3" t="s">
        <v>225</v>
      </c>
      <c r="N827" s="3" t="s">
        <v>37</v>
      </c>
      <c r="O827" s="3" t="s">
        <v>196</v>
      </c>
      <c r="P827" s="3" t="s">
        <v>226</v>
      </c>
      <c r="Q827" s="5" t="n">
        <v>1015.89</v>
      </c>
      <c r="R827" s="3" t="n">
        <v>14</v>
      </c>
      <c r="S827" s="6" t="n">
        <v>0.1</v>
      </c>
      <c r="T827" s="5" t="n">
        <v>211.28</v>
      </c>
      <c r="U827" s="3" t="str">
        <f aca="false">IF(T827&lt;0,"Loss",IF(T827=0,"Break-even","Profit"))</f>
        <v>Profit</v>
      </c>
      <c r="V827" s="3" t="str">
        <f aca="false">IF(Q827&lt;100,"Low",IF(Q827&lt;=500,"Medium","High"))</f>
        <v>High</v>
      </c>
      <c r="W827" s="3" t="n">
        <f aca="false">D827-C827</f>
        <v>3</v>
      </c>
      <c r="X827" s="3" t="str">
        <f aca="false">TEXT(C827,"mmmm")</f>
        <v>July</v>
      </c>
      <c r="Y827" s="3" t="str">
        <f aca="false">LEFT(G827,1)&amp;MID(G827,FIND(" ",G827)+1,1)</f>
        <v>MG</v>
      </c>
    </row>
    <row r="828" customFormat="false" ht="15" hidden="false" customHeight="false" outlineLevel="0" collapsed="false">
      <c r="A828" s="3" t="n">
        <v>827</v>
      </c>
      <c r="B828" s="3" t="s">
        <v>2185</v>
      </c>
      <c r="C828" s="4" t="s">
        <v>2180</v>
      </c>
      <c r="D828" s="4" t="s">
        <v>2186</v>
      </c>
      <c r="E828" s="3" t="s">
        <v>28</v>
      </c>
      <c r="F828" s="3" t="s">
        <v>2187</v>
      </c>
      <c r="G828" s="3" t="s">
        <v>2188</v>
      </c>
      <c r="H828" s="3" t="s">
        <v>56</v>
      </c>
      <c r="I828" s="3" t="s">
        <v>32</v>
      </c>
      <c r="J828" s="3" t="s">
        <v>112</v>
      </c>
      <c r="K828" s="3" t="s">
        <v>113</v>
      </c>
      <c r="L828" s="3" t="s">
        <v>69</v>
      </c>
      <c r="M828" s="3" t="s">
        <v>316</v>
      </c>
      <c r="N828" s="3" t="s">
        <v>49</v>
      </c>
      <c r="O828" s="3" t="s">
        <v>143</v>
      </c>
      <c r="P828" s="3" t="s">
        <v>317</v>
      </c>
      <c r="Q828" s="5" t="n">
        <v>420.32</v>
      </c>
      <c r="R828" s="3" t="n">
        <v>7</v>
      </c>
      <c r="S828" s="6" t="n">
        <v>0.3</v>
      </c>
      <c r="T828" s="5" t="n">
        <v>-128.72</v>
      </c>
      <c r="U828" s="3" t="str">
        <f aca="false">IF(T828&lt;0,"Loss",IF(T828=0,"Break-even","Profit"))</f>
        <v>Loss</v>
      </c>
      <c r="V828" s="3" t="str">
        <f aca="false">IF(Q828&lt;100,"Low",IF(Q828&lt;=500,"Medium","High"))</f>
        <v>Medium</v>
      </c>
      <c r="W828" s="3" t="n">
        <f aca="false">D828-C828</f>
        <v>7</v>
      </c>
      <c r="X828" s="3" t="str">
        <f aca="false">TEXT(C828,"mmmm")</f>
        <v>July</v>
      </c>
      <c r="Y828" s="3" t="str">
        <f aca="false">LEFT(G828,1)&amp;MID(G828,FIND(" ",G828)+1,1)</f>
        <v>AW</v>
      </c>
    </row>
    <row r="829" customFormat="false" ht="15" hidden="false" customHeight="false" outlineLevel="0" collapsed="false">
      <c r="A829" s="3" t="n">
        <v>828</v>
      </c>
      <c r="B829" s="3" t="s">
        <v>2189</v>
      </c>
      <c r="C829" s="4" t="s">
        <v>2175</v>
      </c>
      <c r="D829" s="4" t="s">
        <v>2178</v>
      </c>
      <c r="E829" s="3" t="s">
        <v>42</v>
      </c>
      <c r="F829" s="3" t="s">
        <v>327</v>
      </c>
      <c r="G829" s="3" t="s">
        <v>328</v>
      </c>
      <c r="H829" s="3" t="s">
        <v>56</v>
      </c>
      <c r="I829" s="3" t="s">
        <v>32</v>
      </c>
      <c r="J829" s="3" t="s">
        <v>120</v>
      </c>
      <c r="K829" s="3" t="s">
        <v>113</v>
      </c>
      <c r="L829" s="3" t="s">
        <v>69</v>
      </c>
      <c r="M829" s="3" t="s">
        <v>225</v>
      </c>
      <c r="N829" s="3" t="s">
        <v>37</v>
      </c>
      <c r="O829" s="3" t="s">
        <v>196</v>
      </c>
      <c r="P829" s="3" t="s">
        <v>226</v>
      </c>
      <c r="Q829" s="5" t="n">
        <v>17096.39</v>
      </c>
      <c r="R829" s="3" t="n">
        <v>14</v>
      </c>
      <c r="S829" s="6" t="n">
        <v>0</v>
      </c>
      <c r="T829" s="5" t="n">
        <v>-1167.69</v>
      </c>
      <c r="U829" s="3" t="str">
        <f aca="false">IF(T829&lt;0,"Loss",IF(T829=0,"Break-even","Profit"))</f>
        <v>Loss</v>
      </c>
      <c r="V829" s="3" t="str">
        <f aca="false">IF(Q829&lt;100,"Low",IF(Q829&lt;=500,"Medium","High"))</f>
        <v>High</v>
      </c>
      <c r="W829" s="3" t="n">
        <f aca="false">D829-C829</f>
        <v>2</v>
      </c>
      <c r="X829" s="3" t="str">
        <f aca="false">TEXT(C829,"mmmm")</f>
        <v>July</v>
      </c>
      <c r="Y829" s="3" t="str">
        <f aca="false">LEFT(G829,1)&amp;MID(G829,FIND(" ",G829)+1,1)</f>
        <v>EW</v>
      </c>
    </row>
    <row r="830" customFormat="false" ht="15" hidden="false" customHeight="false" outlineLevel="0" collapsed="false">
      <c r="A830" s="3" t="n">
        <v>829</v>
      </c>
      <c r="B830" s="3" t="s">
        <v>2190</v>
      </c>
      <c r="C830" s="4" t="s">
        <v>2173</v>
      </c>
      <c r="D830" s="4" t="s">
        <v>2173</v>
      </c>
      <c r="E830" s="3" t="s">
        <v>53</v>
      </c>
      <c r="F830" s="3" t="s">
        <v>1174</v>
      </c>
      <c r="G830" s="3" t="s">
        <v>1175</v>
      </c>
      <c r="H830" s="3" t="s">
        <v>31</v>
      </c>
      <c r="I830" s="3" t="s">
        <v>32</v>
      </c>
      <c r="J830" s="3" t="s">
        <v>171</v>
      </c>
      <c r="K830" s="3" t="s">
        <v>172</v>
      </c>
      <c r="L830" s="3" t="s">
        <v>157</v>
      </c>
      <c r="M830" s="3" t="s">
        <v>195</v>
      </c>
      <c r="N830" s="3" t="s">
        <v>37</v>
      </c>
      <c r="O830" s="3" t="s">
        <v>196</v>
      </c>
      <c r="P830" s="3" t="s">
        <v>197</v>
      </c>
      <c r="Q830" s="5" t="n">
        <v>2644.56</v>
      </c>
      <c r="R830" s="3" t="n">
        <v>12</v>
      </c>
      <c r="S830" s="6" t="n">
        <v>0</v>
      </c>
      <c r="T830" s="5" t="n">
        <v>-344.24</v>
      </c>
      <c r="U830" s="3" t="str">
        <f aca="false">IF(T830&lt;0,"Loss",IF(T830=0,"Break-even","Profit"))</f>
        <v>Loss</v>
      </c>
      <c r="V830" s="3" t="str">
        <f aca="false">IF(Q830&lt;100,"Low",IF(Q830&lt;=500,"Medium","High"))</f>
        <v>High</v>
      </c>
      <c r="W830" s="3" t="n">
        <f aca="false">D830-C830</f>
        <v>0</v>
      </c>
      <c r="X830" s="3" t="str">
        <f aca="false">TEXT(C830,"mmmm")</f>
        <v>July</v>
      </c>
      <c r="Y830" s="3" t="str">
        <f aca="false">LEFT(G830,1)&amp;MID(G830,FIND(" ",G830)+1,1)</f>
        <v>AB</v>
      </c>
    </row>
    <row r="831" customFormat="false" ht="15" hidden="false" customHeight="false" outlineLevel="0" collapsed="false">
      <c r="A831" s="3" t="n">
        <v>830</v>
      </c>
      <c r="B831" s="3" t="s">
        <v>1783</v>
      </c>
      <c r="C831" s="4" t="s">
        <v>2173</v>
      </c>
      <c r="D831" s="4" t="s">
        <v>2191</v>
      </c>
      <c r="E831" s="3" t="s">
        <v>84</v>
      </c>
      <c r="F831" s="3" t="s">
        <v>140</v>
      </c>
      <c r="G831" s="3" t="s">
        <v>141</v>
      </c>
      <c r="H831" s="3" t="s">
        <v>56</v>
      </c>
      <c r="I831" s="3" t="s">
        <v>32</v>
      </c>
      <c r="J831" s="3" t="s">
        <v>67</v>
      </c>
      <c r="K831" s="3" t="s">
        <v>68</v>
      </c>
      <c r="L831" s="3" t="s">
        <v>69</v>
      </c>
      <c r="M831" s="3" t="s">
        <v>190</v>
      </c>
      <c r="N831" s="3" t="s">
        <v>49</v>
      </c>
      <c r="O831" s="3" t="s">
        <v>150</v>
      </c>
      <c r="P831" s="3" t="s">
        <v>191</v>
      </c>
      <c r="Q831" s="5" t="n">
        <v>802.44</v>
      </c>
      <c r="R831" s="3" t="n">
        <v>13</v>
      </c>
      <c r="S831" s="6" t="n">
        <v>0</v>
      </c>
      <c r="T831" s="5" t="n">
        <v>-102.4</v>
      </c>
      <c r="U831" s="3" t="str">
        <f aca="false">IF(T831&lt;0,"Loss",IF(T831=0,"Break-even","Profit"))</f>
        <v>Loss</v>
      </c>
      <c r="V831" s="3" t="str">
        <f aca="false">IF(Q831&lt;100,"Low",IF(Q831&lt;=500,"Medium","High"))</f>
        <v>High</v>
      </c>
      <c r="W831" s="3" t="n">
        <f aca="false">D831-C831</f>
        <v>3</v>
      </c>
      <c r="X831" s="3" t="str">
        <f aca="false">TEXT(C831,"mmmm")</f>
        <v>July</v>
      </c>
      <c r="Y831" s="3" t="str">
        <f aca="false">LEFT(G831,1)&amp;MID(G831,FIND(" ",G831)+1,1)</f>
        <v>MW</v>
      </c>
    </row>
    <row r="832" customFormat="false" ht="15" hidden="false" customHeight="false" outlineLevel="0" collapsed="false">
      <c r="A832" s="3" t="n">
        <v>831</v>
      </c>
      <c r="B832" s="3" t="s">
        <v>2192</v>
      </c>
      <c r="C832" s="4" t="s">
        <v>2173</v>
      </c>
      <c r="D832" s="4" t="s">
        <v>2193</v>
      </c>
      <c r="E832" s="3" t="s">
        <v>84</v>
      </c>
      <c r="F832" s="3" t="s">
        <v>630</v>
      </c>
      <c r="G832" s="3" t="s">
        <v>631</v>
      </c>
      <c r="H832" s="3" t="s">
        <v>56</v>
      </c>
      <c r="I832" s="3" t="s">
        <v>32</v>
      </c>
      <c r="J832" s="3" t="s">
        <v>104</v>
      </c>
      <c r="K832" s="3" t="s">
        <v>96</v>
      </c>
      <c r="L832" s="3" t="s">
        <v>59</v>
      </c>
      <c r="M832" s="3" t="s">
        <v>190</v>
      </c>
      <c r="N832" s="3" t="s">
        <v>49</v>
      </c>
      <c r="O832" s="3" t="s">
        <v>150</v>
      </c>
      <c r="P832" s="3" t="s">
        <v>191</v>
      </c>
      <c r="Q832" s="5" t="n">
        <v>252.78</v>
      </c>
      <c r="R832" s="3" t="n">
        <v>8</v>
      </c>
      <c r="S832" s="6" t="n">
        <v>0.2</v>
      </c>
      <c r="T832" s="5" t="n">
        <v>-37.75</v>
      </c>
      <c r="U832" s="3" t="str">
        <f aca="false">IF(T832&lt;0,"Loss",IF(T832=0,"Break-even","Profit"))</f>
        <v>Loss</v>
      </c>
      <c r="V832" s="3" t="str">
        <f aca="false">IF(Q832&lt;100,"Low",IF(Q832&lt;=500,"Medium","High"))</f>
        <v>Medium</v>
      </c>
      <c r="W832" s="3" t="n">
        <f aca="false">D832-C832</f>
        <v>2</v>
      </c>
      <c r="X832" s="3" t="str">
        <f aca="false">TEXT(C832,"mmmm")</f>
        <v>July</v>
      </c>
      <c r="Y832" s="3" t="str">
        <f aca="false">LEFT(G832,1)&amp;MID(G832,FIND(" ",G832)+1,1)</f>
        <v>SK</v>
      </c>
    </row>
    <row r="833" customFormat="false" ht="15" hidden="false" customHeight="false" outlineLevel="0" collapsed="false">
      <c r="A833" s="3" t="n">
        <v>832</v>
      </c>
      <c r="B833" s="3" t="s">
        <v>2194</v>
      </c>
      <c r="C833" s="4" t="s">
        <v>2178</v>
      </c>
      <c r="D833" s="4" t="s">
        <v>2193</v>
      </c>
      <c r="E833" s="3" t="s">
        <v>42</v>
      </c>
      <c r="F833" s="3" t="s">
        <v>2144</v>
      </c>
      <c r="G833" s="3" t="s">
        <v>2145</v>
      </c>
      <c r="H833" s="3" t="s">
        <v>31</v>
      </c>
      <c r="I833" s="3" t="s">
        <v>32</v>
      </c>
      <c r="J833" s="3" t="s">
        <v>171</v>
      </c>
      <c r="K833" s="3" t="s">
        <v>172</v>
      </c>
      <c r="L833" s="3" t="s">
        <v>157</v>
      </c>
      <c r="M833" s="3" t="s">
        <v>316</v>
      </c>
      <c r="N833" s="3" t="s">
        <v>49</v>
      </c>
      <c r="O833" s="3" t="s">
        <v>143</v>
      </c>
      <c r="P833" s="3" t="s">
        <v>317</v>
      </c>
      <c r="Q833" s="5" t="n">
        <v>87.63</v>
      </c>
      <c r="R833" s="3" t="n">
        <v>2</v>
      </c>
      <c r="S833" s="6" t="n">
        <v>0.1</v>
      </c>
      <c r="T833" s="5" t="n">
        <v>-22.19</v>
      </c>
      <c r="U833" s="3" t="str">
        <f aca="false">IF(T833&lt;0,"Loss",IF(T833=0,"Break-even","Profit"))</f>
        <v>Loss</v>
      </c>
      <c r="V833" s="3" t="str">
        <f aca="false">IF(Q833&lt;100,"Low",IF(Q833&lt;=500,"Medium","High"))</f>
        <v>Low</v>
      </c>
      <c r="W833" s="3" t="n">
        <f aca="false">D833-C833</f>
        <v>1</v>
      </c>
      <c r="X833" s="3" t="str">
        <f aca="false">TEXT(C833,"mmmm")</f>
        <v>July</v>
      </c>
      <c r="Y833" s="3" t="str">
        <f aca="false">LEFT(G833,1)&amp;MID(G833,FIND(" ",G833)+1,1)</f>
        <v>LW</v>
      </c>
    </row>
    <row r="834" customFormat="false" ht="15" hidden="false" customHeight="false" outlineLevel="0" collapsed="false">
      <c r="A834" s="3" t="n">
        <v>833</v>
      </c>
      <c r="B834" s="3" t="s">
        <v>2195</v>
      </c>
      <c r="C834" s="4" t="s">
        <v>2193</v>
      </c>
      <c r="D834" s="4" t="s">
        <v>2186</v>
      </c>
      <c r="E834" s="3" t="s">
        <v>28</v>
      </c>
      <c r="F834" s="3" t="s">
        <v>1509</v>
      </c>
      <c r="G834" s="3" t="s">
        <v>1510</v>
      </c>
      <c r="H834" s="3" t="s">
        <v>56</v>
      </c>
      <c r="I834" s="3" t="s">
        <v>32</v>
      </c>
      <c r="J834" s="3" t="s">
        <v>299</v>
      </c>
      <c r="K834" s="3" t="s">
        <v>189</v>
      </c>
      <c r="L834" s="3" t="s">
        <v>59</v>
      </c>
      <c r="M834" s="3" t="s">
        <v>461</v>
      </c>
      <c r="N834" s="3" t="s">
        <v>37</v>
      </c>
      <c r="O834" s="3" t="s">
        <v>71</v>
      </c>
      <c r="P834" s="3" t="s">
        <v>462</v>
      </c>
      <c r="Q834" s="5" t="n">
        <v>1017.65</v>
      </c>
      <c r="R834" s="3" t="n">
        <v>3</v>
      </c>
      <c r="S834" s="6" t="n">
        <v>0.3</v>
      </c>
      <c r="T834" s="5" t="n">
        <v>291.8</v>
      </c>
      <c r="U834" s="3" t="str">
        <f aca="false">IF(T834&lt;0,"Loss",IF(T834=0,"Break-even","Profit"))</f>
        <v>Profit</v>
      </c>
      <c r="V834" s="3" t="str">
        <f aca="false">IF(Q834&lt;100,"Low",IF(Q834&lt;=500,"Medium","High"))</f>
        <v>High</v>
      </c>
      <c r="W834" s="3" t="n">
        <f aca="false">D834-C834</f>
        <v>3</v>
      </c>
      <c r="X834" s="3" t="str">
        <f aca="false">TEXT(C834,"mmmm")</f>
        <v>July</v>
      </c>
      <c r="Y834" s="3" t="str">
        <f aca="false">LEFT(G834,1)&amp;MID(G834,FIND(" ",G834)+1,1)</f>
        <v>EC</v>
      </c>
    </row>
    <row r="835" customFormat="false" ht="15" hidden="false" customHeight="false" outlineLevel="0" collapsed="false">
      <c r="A835" s="3" t="n">
        <v>834</v>
      </c>
      <c r="B835" s="3" t="s">
        <v>2196</v>
      </c>
      <c r="C835" s="4" t="s">
        <v>2193</v>
      </c>
      <c r="D835" s="4" t="s">
        <v>2197</v>
      </c>
      <c r="E835" s="3" t="s">
        <v>28</v>
      </c>
      <c r="F835" s="3" t="s">
        <v>732</v>
      </c>
      <c r="G835" s="3" t="s">
        <v>733</v>
      </c>
      <c r="H835" s="3" t="s">
        <v>56</v>
      </c>
      <c r="I835" s="3" t="s">
        <v>32</v>
      </c>
      <c r="J835" s="3" t="s">
        <v>46</v>
      </c>
      <c r="K835" s="3" t="s">
        <v>47</v>
      </c>
      <c r="L835" s="3" t="s">
        <v>35</v>
      </c>
      <c r="M835" s="3" t="s">
        <v>149</v>
      </c>
      <c r="N835" s="3" t="s">
        <v>49</v>
      </c>
      <c r="O835" s="3" t="s">
        <v>150</v>
      </c>
      <c r="P835" s="3" t="s">
        <v>151</v>
      </c>
      <c r="Q835" s="5" t="n">
        <v>95.25</v>
      </c>
      <c r="R835" s="3" t="n">
        <v>1</v>
      </c>
      <c r="S835" s="6" t="n">
        <v>0</v>
      </c>
      <c r="T835" s="5" t="n">
        <v>30.11</v>
      </c>
      <c r="U835" s="3" t="str">
        <f aca="false">IF(T835&lt;0,"Loss",IF(T835=0,"Break-even","Profit"))</f>
        <v>Profit</v>
      </c>
      <c r="V835" s="3" t="str">
        <f aca="false">IF(Q835&lt;100,"Low",IF(Q835&lt;=500,"Medium","High"))</f>
        <v>Low</v>
      </c>
      <c r="W835" s="3" t="n">
        <f aca="false">D835-C835</f>
        <v>4</v>
      </c>
      <c r="X835" s="3" t="str">
        <f aca="false">TEXT(C835,"mmmm")</f>
        <v>July</v>
      </c>
      <c r="Y835" s="3" t="str">
        <f aca="false">LEFT(G835,1)&amp;MID(G835,FIND(" ",G835)+1,1)</f>
        <v>LM</v>
      </c>
    </row>
    <row r="836" customFormat="false" ht="15" hidden="false" customHeight="false" outlineLevel="0" collapsed="false">
      <c r="A836" s="3" t="n">
        <v>835</v>
      </c>
      <c r="B836" s="3" t="s">
        <v>2198</v>
      </c>
      <c r="C836" s="4" t="s">
        <v>2183</v>
      </c>
      <c r="D836" s="4" t="s">
        <v>2199</v>
      </c>
      <c r="E836" s="3" t="s">
        <v>84</v>
      </c>
      <c r="F836" s="3" t="s">
        <v>1997</v>
      </c>
      <c r="G836" s="3" t="s">
        <v>1998</v>
      </c>
      <c r="H836" s="3" t="s">
        <v>56</v>
      </c>
      <c r="I836" s="3" t="s">
        <v>32</v>
      </c>
      <c r="J836" s="3" t="s">
        <v>208</v>
      </c>
      <c r="K836" s="3" t="s">
        <v>134</v>
      </c>
      <c r="L836" s="3" t="s">
        <v>69</v>
      </c>
      <c r="M836" s="3" t="s">
        <v>404</v>
      </c>
      <c r="N836" s="3" t="s">
        <v>89</v>
      </c>
      <c r="O836" s="3" t="s">
        <v>166</v>
      </c>
      <c r="P836" s="3" t="s">
        <v>405</v>
      </c>
      <c r="Q836" s="5" t="n">
        <v>234.61</v>
      </c>
      <c r="R836" s="3" t="n">
        <v>1</v>
      </c>
      <c r="S836" s="6" t="n">
        <v>0.1</v>
      </c>
      <c r="T836" s="5" t="n">
        <v>-43.7</v>
      </c>
      <c r="U836" s="3" t="str">
        <f aca="false">IF(T836&lt;0,"Loss",IF(T836=0,"Break-even","Profit"))</f>
        <v>Loss</v>
      </c>
      <c r="V836" s="3" t="str">
        <f aca="false">IF(Q836&lt;100,"Low",IF(Q836&lt;=500,"Medium","High"))</f>
        <v>Medium</v>
      </c>
      <c r="W836" s="3" t="n">
        <f aca="false">D836-C836</f>
        <v>3</v>
      </c>
      <c r="X836" s="3" t="str">
        <f aca="false">TEXT(C836,"mmmm")</f>
        <v>August</v>
      </c>
      <c r="Y836" s="3" t="str">
        <f aca="false">LEFT(G836,1)&amp;MID(G836,FIND(" ",G836)+1,1)</f>
        <v>AC</v>
      </c>
    </row>
    <row r="837" customFormat="false" ht="15" hidden="false" customHeight="false" outlineLevel="0" collapsed="false">
      <c r="A837" s="3" t="n">
        <v>836</v>
      </c>
      <c r="B837" s="3" t="s">
        <v>2200</v>
      </c>
      <c r="C837" s="4" t="s">
        <v>2183</v>
      </c>
      <c r="D837" s="4" t="s">
        <v>2201</v>
      </c>
      <c r="E837" s="3" t="s">
        <v>28</v>
      </c>
      <c r="F837" s="3" t="s">
        <v>511</v>
      </c>
      <c r="G837" s="3" t="s">
        <v>512</v>
      </c>
      <c r="H837" s="3" t="s">
        <v>31</v>
      </c>
      <c r="I837" s="3" t="s">
        <v>32</v>
      </c>
      <c r="J837" s="3" t="s">
        <v>548</v>
      </c>
      <c r="K837" s="3" t="s">
        <v>244</v>
      </c>
      <c r="L837" s="3" t="s">
        <v>157</v>
      </c>
      <c r="M837" s="3" t="s">
        <v>48</v>
      </c>
      <c r="N837" s="3" t="s">
        <v>49</v>
      </c>
      <c r="O837" s="3" t="s">
        <v>50</v>
      </c>
      <c r="P837" s="3" t="s">
        <v>51</v>
      </c>
      <c r="Q837" s="5" t="n">
        <v>147.79</v>
      </c>
      <c r="R837" s="3" t="n">
        <v>2</v>
      </c>
      <c r="S837" s="6" t="n">
        <v>0.1</v>
      </c>
      <c r="T837" s="5" t="n">
        <v>-9.06</v>
      </c>
      <c r="U837" s="3" t="str">
        <f aca="false">IF(T837&lt;0,"Loss",IF(T837=0,"Break-even","Profit"))</f>
        <v>Loss</v>
      </c>
      <c r="V837" s="3" t="str">
        <f aca="false">IF(Q837&lt;100,"Low",IF(Q837&lt;=500,"Medium","High"))</f>
        <v>Medium</v>
      </c>
      <c r="W837" s="3" t="n">
        <f aca="false">D837-C837</f>
        <v>6</v>
      </c>
      <c r="X837" s="3" t="str">
        <f aca="false">TEXT(C837,"mmmm")</f>
        <v>August</v>
      </c>
      <c r="Y837" s="3" t="str">
        <f aca="false">LEFT(G837,1)&amp;MID(G837,FIND(" ",G837)+1,1)</f>
        <v>JN</v>
      </c>
    </row>
    <row r="838" customFormat="false" ht="15" hidden="false" customHeight="false" outlineLevel="0" collapsed="false">
      <c r="A838" s="3" t="n">
        <v>837</v>
      </c>
      <c r="B838" s="3" t="s">
        <v>2202</v>
      </c>
      <c r="C838" s="4" t="s">
        <v>2197</v>
      </c>
      <c r="D838" s="4" t="s">
        <v>2203</v>
      </c>
      <c r="E838" s="3" t="s">
        <v>84</v>
      </c>
      <c r="F838" s="3" t="s">
        <v>1459</v>
      </c>
      <c r="G838" s="3" t="s">
        <v>1460</v>
      </c>
      <c r="H838" s="3" t="s">
        <v>56</v>
      </c>
      <c r="I838" s="3" t="s">
        <v>32</v>
      </c>
      <c r="J838" s="3" t="s">
        <v>386</v>
      </c>
      <c r="K838" s="3" t="s">
        <v>387</v>
      </c>
      <c r="L838" s="3" t="s">
        <v>35</v>
      </c>
      <c r="M838" s="3" t="s">
        <v>347</v>
      </c>
      <c r="N838" s="3" t="s">
        <v>49</v>
      </c>
      <c r="O838" s="3" t="s">
        <v>220</v>
      </c>
      <c r="P838" s="3" t="s">
        <v>348</v>
      </c>
      <c r="Q838" s="5" t="n">
        <v>132.99</v>
      </c>
      <c r="R838" s="3" t="n">
        <v>3</v>
      </c>
      <c r="S838" s="6" t="n">
        <v>0.3</v>
      </c>
      <c r="T838" s="5" t="n">
        <v>36.16</v>
      </c>
      <c r="U838" s="3" t="str">
        <f aca="false">IF(T838&lt;0,"Loss",IF(T838=0,"Break-even","Profit"))</f>
        <v>Profit</v>
      </c>
      <c r="V838" s="3" t="str">
        <f aca="false">IF(Q838&lt;100,"Low",IF(Q838&lt;=500,"Medium","High"))</f>
        <v>Medium</v>
      </c>
      <c r="W838" s="3" t="n">
        <f aca="false">D838-C838</f>
        <v>2</v>
      </c>
      <c r="X838" s="3" t="str">
        <f aca="false">TEXT(C838,"mmmm")</f>
        <v>August</v>
      </c>
      <c r="Y838" s="3" t="str">
        <f aca="false">LEFT(G838,1)&amp;MID(G838,FIND(" ",G838)+1,1)</f>
        <v>AS</v>
      </c>
    </row>
    <row r="839" customFormat="false" ht="15" hidden="false" customHeight="false" outlineLevel="0" collapsed="false">
      <c r="A839" s="3" t="n">
        <v>838</v>
      </c>
      <c r="B839" s="3" t="s">
        <v>1884</v>
      </c>
      <c r="C839" s="4" t="s">
        <v>2199</v>
      </c>
      <c r="D839" s="4" t="s">
        <v>2204</v>
      </c>
      <c r="E839" s="3" t="s">
        <v>42</v>
      </c>
      <c r="F839" s="3" t="s">
        <v>928</v>
      </c>
      <c r="G839" s="3" t="s">
        <v>929</v>
      </c>
      <c r="H839" s="3" t="s">
        <v>56</v>
      </c>
      <c r="I839" s="3" t="s">
        <v>32</v>
      </c>
      <c r="J839" s="3" t="s">
        <v>87</v>
      </c>
      <c r="K839" s="3" t="s">
        <v>68</v>
      </c>
      <c r="L839" s="3" t="s">
        <v>69</v>
      </c>
      <c r="M839" s="3" t="s">
        <v>190</v>
      </c>
      <c r="N839" s="3" t="s">
        <v>49</v>
      </c>
      <c r="O839" s="3" t="s">
        <v>150</v>
      </c>
      <c r="P839" s="3" t="s">
        <v>191</v>
      </c>
      <c r="Q839" s="5" t="n">
        <v>96.99</v>
      </c>
      <c r="R839" s="3" t="n">
        <v>1</v>
      </c>
      <c r="S839" s="6" t="n">
        <v>0.1</v>
      </c>
      <c r="T839" s="5" t="n">
        <v>-7.74</v>
      </c>
      <c r="U839" s="3" t="str">
        <f aca="false">IF(T839&lt;0,"Loss",IF(T839=0,"Break-even","Profit"))</f>
        <v>Loss</v>
      </c>
      <c r="V839" s="3" t="str">
        <f aca="false">IF(Q839&lt;100,"Low",IF(Q839&lt;=500,"Medium","High"))</f>
        <v>Low</v>
      </c>
      <c r="W839" s="3" t="n">
        <f aca="false">D839-C839</f>
        <v>2</v>
      </c>
      <c r="X839" s="3" t="str">
        <f aca="false">TEXT(C839,"mmmm")</f>
        <v>August</v>
      </c>
      <c r="Y839" s="3" t="str">
        <f aca="false">LEFT(G839,1)&amp;MID(G839,FIND(" ",G839)+1,1)</f>
        <v>RA</v>
      </c>
    </row>
    <row r="840" customFormat="false" ht="15" hidden="false" customHeight="false" outlineLevel="0" collapsed="false">
      <c r="A840" s="3" t="n">
        <v>839</v>
      </c>
      <c r="B840" s="3" t="s">
        <v>2205</v>
      </c>
      <c r="C840" s="4" t="s">
        <v>2199</v>
      </c>
      <c r="D840" s="4" t="s">
        <v>2204</v>
      </c>
      <c r="E840" s="3" t="s">
        <v>42</v>
      </c>
      <c r="F840" s="3" t="s">
        <v>2206</v>
      </c>
      <c r="G840" s="3" t="s">
        <v>2207</v>
      </c>
      <c r="H840" s="3" t="s">
        <v>31</v>
      </c>
      <c r="I840" s="3" t="s">
        <v>32</v>
      </c>
      <c r="J840" s="3" t="s">
        <v>285</v>
      </c>
      <c r="K840" s="3" t="s">
        <v>202</v>
      </c>
      <c r="L840" s="3" t="s">
        <v>35</v>
      </c>
      <c r="M840" s="3" t="s">
        <v>105</v>
      </c>
      <c r="N840" s="3" t="s">
        <v>49</v>
      </c>
      <c r="O840" s="3" t="s">
        <v>106</v>
      </c>
      <c r="P840" s="3" t="s">
        <v>107</v>
      </c>
      <c r="Q840" s="5" t="n">
        <v>52.86</v>
      </c>
      <c r="R840" s="3" t="n">
        <v>6</v>
      </c>
      <c r="S840" s="6" t="n">
        <v>0.3</v>
      </c>
      <c r="T840" s="5" t="n">
        <v>8.75</v>
      </c>
      <c r="U840" s="3" t="str">
        <f aca="false">IF(T840&lt;0,"Loss",IF(T840=0,"Break-even","Profit"))</f>
        <v>Profit</v>
      </c>
      <c r="V840" s="3" t="str">
        <f aca="false">IF(Q840&lt;100,"Low",IF(Q840&lt;=500,"Medium","High"))</f>
        <v>Low</v>
      </c>
      <c r="W840" s="3" t="n">
        <f aca="false">D840-C840</f>
        <v>2</v>
      </c>
      <c r="X840" s="3" t="str">
        <f aca="false">TEXT(C840,"mmmm")</f>
        <v>August</v>
      </c>
      <c r="Y840" s="3" t="str">
        <f aca="false">LEFT(G840,1)&amp;MID(G840,FIND(" ",G840)+1,1)</f>
        <v>PS</v>
      </c>
    </row>
    <row r="841" customFormat="false" ht="15" hidden="false" customHeight="false" outlineLevel="0" collapsed="false">
      <c r="A841" s="3" t="n">
        <v>840</v>
      </c>
      <c r="B841" s="3" t="s">
        <v>2208</v>
      </c>
      <c r="C841" s="4" t="s">
        <v>2203</v>
      </c>
      <c r="D841" s="4" t="s">
        <v>2209</v>
      </c>
      <c r="E841" s="3" t="s">
        <v>28</v>
      </c>
      <c r="F841" s="3" t="s">
        <v>1318</v>
      </c>
      <c r="G841" s="3" t="s">
        <v>1319</v>
      </c>
      <c r="H841" s="3" t="s">
        <v>31</v>
      </c>
      <c r="I841" s="3" t="s">
        <v>32</v>
      </c>
      <c r="J841" s="3" t="s">
        <v>315</v>
      </c>
      <c r="K841" s="3" t="s">
        <v>58</v>
      </c>
      <c r="L841" s="3" t="s">
        <v>59</v>
      </c>
      <c r="M841" s="3" t="s">
        <v>559</v>
      </c>
      <c r="N841" s="3" t="s">
        <v>37</v>
      </c>
      <c r="O841" s="3" t="s">
        <v>38</v>
      </c>
      <c r="P841" s="3" t="s">
        <v>560</v>
      </c>
      <c r="Q841" s="5" t="n">
        <v>12697.44</v>
      </c>
      <c r="R841" s="3" t="n">
        <v>11</v>
      </c>
      <c r="S841" s="6" t="n">
        <v>0</v>
      </c>
      <c r="T841" s="5" t="n">
        <v>2631.74</v>
      </c>
      <c r="U841" s="3" t="str">
        <f aca="false">IF(T841&lt;0,"Loss",IF(T841=0,"Break-even","Profit"))</f>
        <v>Profit</v>
      </c>
      <c r="V841" s="3" t="str">
        <f aca="false">IF(Q841&lt;100,"Low",IF(Q841&lt;=500,"Medium","High"))</f>
        <v>High</v>
      </c>
      <c r="W841" s="3" t="n">
        <f aca="false">D841-C841</f>
        <v>6</v>
      </c>
      <c r="X841" s="3" t="str">
        <f aca="false">TEXT(C841,"mmmm")</f>
        <v>August</v>
      </c>
      <c r="Y841" s="3" t="str">
        <f aca="false">LEFT(G841,1)&amp;MID(G841,FIND(" ",G841)+1,1)</f>
        <v>WK</v>
      </c>
    </row>
    <row r="842" customFormat="false" ht="15" hidden="false" customHeight="false" outlineLevel="0" collapsed="false">
      <c r="A842" s="3" t="n">
        <v>841</v>
      </c>
      <c r="B842" s="3" t="s">
        <v>1921</v>
      </c>
      <c r="C842" s="4" t="s">
        <v>2203</v>
      </c>
      <c r="D842" s="4" t="s">
        <v>2210</v>
      </c>
      <c r="E842" s="3" t="s">
        <v>84</v>
      </c>
      <c r="F842" s="3" t="s">
        <v>1613</v>
      </c>
      <c r="G842" s="3" t="s">
        <v>1614</v>
      </c>
      <c r="H842" s="3" t="s">
        <v>56</v>
      </c>
      <c r="I842" s="3" t="s">
        <v>32</v>
      </c>
      <c r="J842" s="3" t="s">
        <v>148</v>
      </c>
      <c r="K842" s="3" t="s">
        <v>78</v>
      </c>
      <c r="L842" s="3" t="s">
        <v>59</v>
      </c>
      <c r="M842" s="3" t="s">
        <v>121</v>
      </c>
      <c r="N842" s="3" t="s">
        <v>49</v>
      </c>
      <c r="O842" s="3" t="s">
        <v>50</v>
      </c>
      <c r="P842" s="3" t="s">
        <v>122</v>
      </c>
      <c r="Q842" s="5" t="n">
        <v>821.7</v>
      </c>
      <c r="R842" s="3" t="n">
        <v>12</v>
      </c>
      <c r="S842" s="6" t="n">
        <v>0.4</v>
      </c>
      <c r="T842" s="5" t="n">
        <v>-57.57</v>
      </c>
      <c r="U842" s="3" t="str">
        <f aca="false">IF(T842&lt;0,"Loss",IF(T842=0,"Break-even","Profit"))</f>
        <v>Loss</v>
      </c>
      <c r="V842" s="3" t="str">
        <f aca="false">IF(Q842&lt;100,"Low",IF(Q842&lt;=500,"Medium","High"))</f>
        <v>High</v>
      </c>
      <c r="W842" s="3" t="n">
        <f aca="false">D842-C842</f>
        <v>4</v>
      </c>
      <c r="X842" s="3" t="str">
        <f aca="false">TEXT(C842,"mmmm")</f>
        <v>August</v>
      </c>
      <c r="Y842" s="3" t="str">
        <f aca="false">LEFT(G842,1)&amp;MID(G842,FIND(" ",G842)+1,1)</f>
        <v>PN</v>
      </c>
    </row>
    <row r="843" customFormat="false" ht="15" hidden="false" customHeight="false" outlineLevel="0" collapsed="false">
      <c r="A843" s="3" t="n">
        <v>842</v>
      </c>
      <c r="B843" s="3" t="s">
        <v>2211</v>
      </c>
      <c r="C843" s="4" t="s">
        <v>2203</v>
      </c>
      <c r="D843" s="4" t="s">
        <v>2212</v>
      </c>
      <c r="E843" s="3" t="s">
        <v>28</v>
      </c>
      <c r="F843" s="3" t="s">
        <v>213</v>
      </c>
      <c r="G843" s="3" t="s">
        <v>214</v>
      </c>
      <c r="H843" s="3" t="s">
        <v>56</v>
      </c>
      <c r="I843" s="3" t="s">
        <v>32</v>
      </c>
      <c r="J843" s="3" t="s">
        <v>46</v>
      </c>
      <c r="K843" s="3" t="s">
        <v>47</v>
      </c>
      <c r="L843" s="3" t="s">
        <v>35</v>
      </c>
      <c r="M843" s="3" t="s">
        <v>135</v>
      </c>
      <c r="N843" s="3" t="s">
        <v>37</v>
      </c>
      <c r="O843" s="3" t="s">
        <v>136</v>
      </c>
      <c r="P843" s="3" t="s">
        <v>137</v>
      </c>
      <c r="Q843" s="5" t="n">
        <v>16006.37</v>
      </c>
      <c r="R843" s="3" t="n">
        <v>9</v>
      </c>
      <c r="S843" s="6" t="n">
        <v>0</v>
      </c>
      <c r="T843" s="5" t="n">
        <v>3083.81</v>
      </c>
      <c r="U843" s="3" t="str">
        <f aca="false">IF(T843&lt;0,"Loss",IF(T843=0,"Break-even","Profit"))</f>
        <v>Profit</v>
      </c>
      <c r="V843" s="3" t="str">
        <f aca="false">IF(Q843&lt;100,"Low",IF(Q843&lt;=500,"Medium","High"))</f>
        <v>High</v>
      </c>
      <c r="W843" s="3" t="n">
        <f aca="false">D843-C843</f>
        <v>7</v>
      </c>
      <c r="X843" s="3" t="str">
        <f aca="false">TEXT(C843,"mmmm")</f>
        <v>August</v>
      </c>
      <c r="Y843" s="3" t="str">
        <f aca="false">LEFT(G843,1)&amp;MID(G843,FIND(" ",G843)+1,1)</f>
        <v>PR</v>
      </c>
    </row>
    <row r="844" customFormat="false" ht="15" hidden="false" customHeight="false" outlineLevel="0" collapsed="false">
      <c r="A844" s="3" t="n">
        <v>843</v>
      </c>
      <c r="B844" s="3" t="s">
        <v>1767</v>
      </c>
      <c r="C844" s="4" t="s">
        <v>2203</v>
      </c>
      <c r="D844" s="4" t="s">
        <v>2213</v>
      </c>
      <c r="E844" s="3" t="s">
        <v>28</v>
      </c>
      <c r="F844" s="3" t="s">
        <v>1674</v>
      </c>
      <c r="G844" s="3" t="s">
        <v>1675</v>
      </c>
      <c r="H844" s="3" t="s">
        <v>45</v>
      </c>
      <c r="I844" s="3" t="s">
        <v>32</v>
      </c>
      <c r="J844" s="3" t="s">
        <v>87</v>
      </c>
      <c r="K844" s="3" t="s">
        <v>68</v>
      </c>
      <c r="L844" s="3" t="s">
        <v>69</v>
      </c>
      <c r="M844" s="3" t="s">
        <v>290</v>
      </c>
      <c r="N844" s="3" t="s">
        <v>37</v>
      </c>
      <c r="O844" s="3" t="s">
        <v>38</v>
      </c>
      <c r="P844" s="3" t="s">
        <v>291</v>
      </c>
      <c r="Q844" s="5" t="n">
        <v>1125.53</v>
      </c>
      <c r="R844" s="3" t="n">
        <v>2</v>
      </c>
      <c r="S844" s="6" t="n">
        <v>0</v>
      </c>
      <c r="T844" s="5" t="n">
        <v>-47.84</v>
      </c>
      <c r="U844" s="3" t="str">
        <f aca="false">IF(T844&lt;0,"Loss",IF(T844=0,"Break-even","Profit"))</f>
        <v>Loss</v>
      </c>
      <c r="V844" s="3" t="str">
        <f aca="false">IF(Q844&lt;100,"Low",IF(Q844&lt;=500,"Medium","High"))</f>
        <v>High</v>
      </c>
      <c r="W844" s="3" t="n">
        <f aca="false">D844-C844</f>
        <v>5</v>
      </c>
      <c r="X844" s="3" t="str">
        <f aca="false">TEXT(C844,"mmmm")</f>
        <v>August</v>
      </c>
      <c r="Y844" s="3" t="str">
        <f aca="false">LEFT(G844,1)&amp;MID(G844,FIND(" ",G844)+1,1)</f>
        <v>RS</v>
      </c>
    </row>
    <row r="845" customFormat="false" ht="15" hidden="false" customHeight="false" outlineLevel="0" collapsed="false">
      <c r="A845" s="3" t="n">
        <v>844</v>
      </c>
      <c r="B845" s="3" t="s">
        <v>2214</v>
      </c>
      <c r="C845" s="4" t="s">
        <v>2204</v>
      </c>
      <c r="D845" s="4" t="s">
        <v>2213</v>
      </c>
      <c r="E845" s="3" t="s">
        <v>28</v>
      </c>
      <c r="F845" s="3" t="s">
        <v>397</v>
      </c>
      <c r="G845" s="3" t="s">
        <v>398</v>
      </c>
      <c r="H845" s="3" t="s">
        <v>56</v>
      </c>
      <c r="I845" s="3" t="s">
        <v>32</v>
      </c>
      <c r="J845" s="3" t="s">
        <v>120</v>
      </c>
      <c r="K845" s="3" t="s">
        <v>113</v>
      </c>
      <c r="L845" s="3" t="s">
        <v>69</v>
      </c>
      <c r="M845" s="3" t="s">
        <v>253</v>
      </c>
      <c r="N845" s="3" t="s">
        <v>89</v>
      </c>
      <c r="O845" s="3" t="s">
        <v>90</v>
      </c>
      <c r="P845" s="3" t="s">
        <v>254</v>
      </c>
      <c r="Q845" s="5" t="n">
        <v>551.91</v>
      </c>
      <c r="R845" s="3" t="n">
        <v>3</v>
      </c>
      <c r="S845" s="6" t="n">
        <v>0.5</v>
      </c>
      <c r="T845" s="5" t="n">
        <v>-144.18</v>
      </c>
      <c r="U845" s="3" t="str">
        <f aca="false">IF(T845&lt;0,"Loss",IF(T845=0,"Break-even","Profit"))</f>
        <v>Loss</v>
      </c>
      <c r="V845" s="3" t="str">
        <f aca="false">IF(Q845&lt;100,"Low",IF(Q845&lt;=500,"Medium","High"))</f>
        <v>High</v>
      </c>
      <c r="W845" s="3" t="n">
        <f aca="false">D845-C845</f>
        <v>4</v>
      </c>
      <c r="X845" s="3" t="str">
        <f aca="false">TEXT(C845,"mmmm")</f>
        <v>August</v>
      </c>
      <c r="Y845" s="3" t="str">
        <f aca="false">LEFT(G845,1)&amp;MID(G845,FIND(" ",G845)+1,1)</f>
        <v>DN</v>
      </c>
    </row>
    <row r="846" customFormat="false" ht="15" hidden="false" customHeight="false" outlineLevel="0" collapsed="false">
      <c r="A846" s="3" t="n">
        <v>845</v>
      </c>
      <c r="B846" s="3" t="s">
        <v>2215</v>
      </c>
      <c r="C846" s="4" t="s">
        <v>2204</v>
      </c>
      <c r="D846" s="4" t="s">
        <v>2216</v>
      </c>
      <c r="E846" s="3" t="s">
        <v>84</v>
      </c>
      <c r="F846" s="3" t="s">
        <v>146</v>
      </c>
      <c r="G846" s="3" t="s">
        <v>147</v>
      </c>
      <c r="H846" s="3" t="s">
        <v>45</v>
      </c>
      <c r="I846" s="3" t="s">
        <v>32</v>
      </c>
      <c r="J846" s="3" t="s">
        <v>112</v>
      </c>
      <c r="K846" s="3" t="s">
        <v>113</v>
      </c>
      <c r="L846" s="3" t="s">
        <v>69</v>
      </c>
      <c r="M846" s="3" t="s">
        <v>195</v>
      </c>
      <c r="N846" s="3" t="s">
        <v>37</v>
      </c>
      <c r="O846" s="3" t="s">
        <v>196</v>
      </c>
      <c r="P846" s="3" t="s">
        <v>197</v>
      </c>
      <c r="Q846" s="5" t="n">
        <v>4831.46</v>
      </c>
      <c r="R846" s="3" t="n">
        <v>13</v>
      </c>
      <c r="S846" s="6" t="n">
        <v>0.3</v>
      </c>
      <c r="T846" s="5" t="n">
        <v>-741.78</v>
      </c>
      <c r="U846" s="3" t="str">
        <f aca="false">IF(T846&lt;0,"Loss",IF(T846=0,"Break-even","Profit"))</f>
        <v>Loss</v>
      </c>
      <c r="V846" s="3" t="str">
        <f aca="false">IF(Q846&lt;100,"Low",IF(Q846&lt;=500,"Medium","High"))</f>
        <v>High</v>
      </c>
      <c r="W846" s="3" t="n">
        <f aca="false">D846-C846</f>
        <v>2</v>
      </c>
      <c r="X846" s="3" t="str">
        <f aca="false">TEXT(C846,"mmmm")</f>
        <v>August</v>
      </c>
      <c r="Y846" s="3" t="str">
        <f aca="false">LEFT(G846,1)&amp;MID(G846,FIND(" ",G846)+1,1)</f>
        <v>DB</v>
      </c>
    </row>
    <row r="847" customFormat="false" ht="15" hidden="false" customHeight="false" outlineLevel="0" collapsed="false">
      <c r="A847" s="3" t="n">
        <v>846</v>
      </c>
      <c r="B847" s="3" t="s">
        <v>2217</v>
      </c>
      <c r="C847" s="4" t="s">
        <v>2204</v>
      </c>
      <c r="D847" s="4" t="s">
        <v>2213</v>
      </c>
      <c r="E847" s="3" t="s">
        <v>28</v>
      </c>
      <c r="F847" s="3" t="s">
        <v>474</v>
      </c>
      <c r="G847" s="3" t="s">
        <v>475</v>
      </c>
      <c r="H847" s="3" t="s">
        <v>45</v>
      </c>
      <c r="I847" s="3" t="s">
        <v>32</v>
      </c>
      <c r="J847" s="3" t="s">
        <v>476</v>
      </c>
      <c r="K847" s="3" t="s">
        <v>366</v>
      </c>
      <c r="L847" s="3" t="s">
        <v>157</v>
      </c>
      <c r="M847" s="3" t="s">
        <v>219</v>
      </c>
      <c r="N847" s="3" t="s">
        <v>49</v>
      </c>
      <c r="O847" s="3" t="s">
        <v>220</v>
      </c>
      <c r="P847" s="3" t="s">
        <v>221</v>
      </c>
      <c r="Q847" s="5" t="n">
        <v>567.94</v>
      </c>
      <c r="R847" s="3" t="n">
        <v>6</v>
      </c>
      <c r="S847" s="6" t="n">
        <v>0.1</v>
      </c>
      <c r="T847" s="5" t="n">
        <v>52.72</v>
      </c>
      <c r="U847" s="3" t="str">
        <f aca="false">IF(T847&lt;0,"Loss",IF(T847=0,"Break-even","Profit"))</f>
        <v>Profit</v>
      </c>
      <c r="V847" s="3" t="str">
        <f aca="false">IF(Q847&lt;100,"Low",IF(Q847&lt;=500,"Medium","High"))</f>
        <v>High</v>
      </c>
      <c r="W847" s="3" t="n">
        <f aca="false">D847-C847</f>
        <v>4</v>
      </c>
      <c r="X847" s="3" t="str">
        <f aca="false">TEXT(C847,"mmmm")</f>
        <v>August</v>
      </c>
      <c r="Y847" s="3" t="str">
        <f aca="false">LEFT(G847,1)&amp;MID(G847,FIND(" ",G847)+1,1)</f>
        <v>FJ</v>
      </c>
    </row>
    <row r="848" customFormat="false" ht="15" hidden="false" customHeight="false" outlineLevel="0" collapsed="false">
      <c r="A848" s="3" t="n">
        <v>847</v>
      </c>
      <c r="B848" s="3" t="s">
        <v>2218</v>
      </c>
      <c r="C848" s="4" t="s">
        <v>2201</v>
      </c>
      <c r="D848" s="4" t="s">
        <v>2219</v>
      </c>
      <c r="E848" s="3" t="s">
        <v>28</v>
      </c>
      <c r="F848" s="3" t="s">
        <v>749</v>
      </c>
      <c r="G848" s="3" t="s">
        <v>750</v>
      </c>
      <c r="H848" s="3" t="s">
        <v>31</v>
      </c>
      <c r="I848" s="3" t="s">
        <v>32</v>
      </c>
      <c r="J848" s="3" t="s">
        <v>252</v>
      </c>
      <c r="K848" s="3" t="s">
        <v>172</v>
      </c>
      <c r="L848" s="3" t="s">
        <v>157</v>
      </c>
      <c r="M848" s="3" t="s">
        <v>209</v>
      </c>
      <c r="N848" s="3" t="s">
        <v>49</v>
      </c>
      <c r="O848" s="3" t="s">
        <v>106</v>
      </c>
      <c r="P848" s="3" t="s">
        <v>210</v>
      </c>
      <c r="Q848" s="5" t="n">
        <v>753.13</v>
      </c>
      <c r="R848" s="3" t="n">
        <v>11</v>
      </c>
      <c r="S848" s="6" t="n">
        <v>0.2</v>
      </c>
      <c r="T848" s="5" t="n">
        <v>224.99</v>
      </c>
      <c r="U848" s="3" t="str">
        <f aca="false">IF(T848&lt;0,"Loss",IF(T848=0,"Break-even","Profit"))</f>
        <v>Profit</v>
      </c>
      <c r="V848" s="3" t="str">
        <f aca="false">IF(Q848&lt;100,"Low",IF(Q848&lt;=500,"Medium","High"))</f>
        <v>High</v>
      </c>
      <c r="W848" s="3" t="n">
        <f aca="false">D848-C848</f>
        <v>6</v>
      </c>
      <c r="X848" s="3" t="str">
        <f aca="false">TEXT(C848,"mmmm")</f>
        <v>August</v>
      </c>
      <c r="Y848" s="3" t="str">
        <f aca="false">LEFT(G848,1)&amp;MID(G848,FIND(" ",G848)+1,1)</f>
        <v>EA</v>
      </c>
    </row>
    <row r="849" customFormat="false" ht="15" hidden="false" customHeight="false" outlineLevel="0" collapsed="false">
      <c r="A849" s="3" t="n">
        <v>848</v>
      </c>
      <c r="B849" s="3" t="s">
        <v>2220</v>
      </c>
      <c r="C849" s="4" t="s">
        <v>2216</v>
      </c>
      <c r="D849" s="4" t="s">
        <v>2212</v>
      </c>
      <c r="E849" s="3" t="s">
        <v>84</v>
      </c>
      <c r="F849" s="3" t="s">
        <v>1233</v>
      </c>
      <c r="G849" s="3" t="s">
        <v>1234</v>
      </c>
      <c r="H849" s="3" t="s">
        <v>56</v>
      </c>
      <c r="I849" s="3" t="s">
        <v>32</v>
      </c>
      <c r="J849" s="3" t="s">
        <v>95</v>
      </c>
      <c r="K849" s="3" t="s">
        <v>96</v>
      </c>
      <c r="L849" s="3" t="s">
        <v>59</v>
      </c>
      <c r="M849" s="3" t="s">
        <v>659</v>
      </c>
      <c r="N849" s="3" t="s">
        <v>89</v>
      </c>
      <c r="O849" s="3" t="s">
        <v>323</v>
      </c>
      <c r="P849" s="3" t="s">
        <v>660</v>
      </c>
      <c r="Q849" s="5" t="n">
        <v>1845.47</v>
      </c>
      <c r="R849" s="3" t="n">
        <v>12</v>
      </c>
      <c r="S849" s="6" t="n">
        <v>0</v>
      </c>
      <c r="T849" s="5" t="n">
        <v>581.57</v>
      </c>
      <c r="U849" s="3" t="str">
        <f aca="false">IF(T849&lt;0,"Loss",IF(T849=0,"Break-even","Profit"))</f>
        <v>Profit</v>
      </c>
      <c r="V849" s="3" t="str">
        <f aca="false">IF(Q849&lt;100,"Low",IF(Q849&lt;=500,"Medium","High"))</f>
        <v>High</v>
      </c>
      <c r="W849" s="3" t="n">
        <f aca="false">D849-C849</f>
        <v>4</v>
      </c>
      <c r="X849" s="3" t="str">
        <f aca="false">TEXT(C849,"mmmm")</f>
        <v>August</v>
      </c>
      <c r="Y849" s="3" t="str">
        <f aca="false">LEFT(G849,1)&amp;MID(G849,FIND(" ",G849)+1,1)</f>
        <v>WJ</v>
      </c>
    </row>
    <row r="850" customFormat="false" ht="15" hidden="false" customHeight="false" outlineLevel="0" collapsed="false">
      <c r="A850" s="3" t="n">
        <v>849</v>
      </c>
      <c r="B850" s="3" t="s">
        <v>2221</v>
      </c>
      <c r="C850" s="4" t="s">
        <v>2210</v>
      </c>
      <c r="D850" s="4" t="s">
        <v>2222</v>
      </c>
      <c r="E850" s="3" t="s">
        <v>28</v>
      </c>
      <c r="F850" s="3" t="s">
        <v>131</v>
      </c>
      <c r="G850" s="3" t="s">
        <v>132</v>
      </c>
      <c r="H850" s="3" t="s">
        <v>45</v>
      </c>
      <c r="I850" s="3" t="s">
        <v>32</v>
      </c>
      <c r="J850" s="3" t="s">
        <v>201</v>
      </c>
      <c r="K850" s="3" t="s">
        <v>202</v>
      </c>
      <c r="L850" s="3" t="s">
        <v>35</v>
      </c>
      <c r="M850" s="3" t="s">
        <v>48</v>
      </c>
      <c r="N850" s="3" t="s">
        <v>49</v>
      </c>
      <c r="O850" s="3" t="s">
        <v>50</v>
      </c>
      <c r="P850" s="3" t="s">
        <v>51</v>
      </c>
      <c r="Q850" s="5" t="n">
        <v>148.03</v>
      </c>
      <c r="R850" s="3" t="n">
        <v>7</v>
      </c>
      <c r="S850" s="6" t="n">
        <v>0</v>
      </c>
      <c r="T850" s="5" t="n">
        <v>-33.63</v>
      </c>
      <c r="U850" s="3" t="str">
        <f aca="false">IF(T850&lt;0,"Loss",IF(T850=0,"Break-even","Profit"))</f>
        <v>Loss</v>
      </c>
      <c r="V850" s="3" t="str">
        <f aca="false">IF(Q850&lt;100,"Low",IF(Q850&lt;=500,"Medium","High"))</f>
        <v>Medium</v>
      </c>
      <c r="W850" s="3" t="n">
        <f aca="false">D850-C850</f>
        <v>6</v>
      </c>
      <c r="X850" s="3" t="str">
        <f aca="false">TEXT(C850,"mmmm")</f>
        <v>August</v>
      </c>
      <c r="Y850" s="3" t="str">
        <f aca="false">LEFT(G850,1)&amp;MID(G850,FIND(" ",G850)+1,1)</f>
        <v>JM</v>
      </c>
    </row>
    <row r="851" customFormat="false" ht="15" hidden="false" customHeight="false" outlineLevel="0" collapsed="false">
      <c r="A851" s="3" t="n">
        <v>850</v>
      </c>
      <c r="B851" s="3" t="s">
        <v>1694</v>
      </c>
      <c r="C851" s="4" t="s">
        <v>2209</v>
      </c>
      <c r="D851" s="4" t="s">
        <v>2222</v>
      </c>
      <c r="E851" s="3" t="s">
        <v>28</v>
      </c>
      <c r="F851" s="3" t="s">
        <v>1475</v>
      </c>
      <c r="G851" s="3" t="s">
        <v>1476</v>
      </c>
      <c r="H851" s="3" t="s">
        <v>56</v>
      </c>
      <c r="I851" s="3" t="s">
        <v>32</v>
      </c>
      <c r="J851" s="3" t="s">
        <v>243</v>
      </c>
      <c r="K851" s="3" t="s">
        <v>244</v>
      </c>
      <c r="L851" s="3" t="s">
        <v>157</v>
      </c>
      <c r="M851" s="3" t="s">
        <v>461</v>
      </c>
      <c r="N851" s="3" t="s">
        <v>37</v>
      </c>
      <c r="O851" s="3" t="s">
        <v>71</v>
      </c>
      <c r="P851" s="3" t="s">
        <v>462</v>
      </c>
      <c r="Q851" s="5" t="n">
        <v>1147.99</v>
      </c>
      <c r="R851" s="3" t="n">
        <v>13</v>
      </c>
      <c r="S851" s="6" t="n">
        <v>0.4</v>
      </c>
      <c r="T851" s="5" t="n">
        <v>-8.32</v>
      </c>
      <c r="U851" s="3" t="str">
        <f aca="false">IF(T851&lt;0,"Loss",IF(T851=0,"Break-even","Profit"))</f>
        <v>Loss</v>
      </c>
      <c r="V851" s="3" t="str">
        <f aca="false">IF(Q851&lt;100,"Low",IF(Q851&lt;=500,"Medium","High"))</f>
        <v>High</v>
      </c>
      <c r="W851" s="3" t="n">
        <f aca="false">D851-C851</f>
        <v>4</v>
      </c>
      <c r="X851" s="3" t="str">
        <f aca="false">TEXT(C851,"mmmm")</f>
        <v>August</v>
      </c>
      <c r="Y851" s="3" t="str">
        <f aca="false">LEFT(G851,1)&amp;MID(G851,FIND(" ",G851)+1,1)</f>
        <v>FK</v>
      </c>
    </row>
    <row r="852" customFormat="false" ht="15" hidden="false" customHeight="false" outlineLevel="0" collapsed="false">
      <c r="A852" s="3" t="n">
        <v>851</v>
      </c>
      <c r="B852" s="3" t="s">
        <v>2223</v>
      </c>
      <c r="C852" s="4" t="s">
        <v>2209</v>
      </c>
      <c r="D852" s="4" t="s">
        <v>2224</v>
      </c>
      <c r="E852" s="3" t="s">
        <v>28</v>
      </c>
      <c r="F852" s="3" t="s">
        <v>1613</v>
      </c>
      <c r="G852" s="3" t="s">
        <v>1614</v>
      </c>
      <c r="H852" s="3" t="s">
        <v>56</v>
      </c>
      <c r="I852" s="3" t="s">
        <v>32</v>
      </c>
      <c r="J852" s="3" t="s">
        <v>112</v>
      </c>
      <c r="K852" s="3" t="s">
        <v>113</v>
      </c>
      <c r="L852" s="3" t="s">
        <v>69</v>
      </c>
      <c r="M852" s="3" t="s">
        <v>105</v>
      </c>
      <c r="N852" s="3" t="s">
        <v>49</v>
      </c>
      <c r="O852" s="3" t="s">
        <v>106</v>
      </c>
      <c r="P852" s="3" t="s">
        <v>107</v>
      </c>
      <c r="Q852" s="5" t="n">
        <v>40.34</v>
      </c>
      <c r="R852" s="3" t="n">
        <v>2</v>
      </c>
      <c r="S852" s="6" t="n">
        <v>0</v>
      </c>
      <c r="T852" s="5" t="n">
        <v>6.99</v>
      </c>
      <c r="U852" s="3" t="str">
        <f aca="false">IF(T852&lt;0,"Loss",IF(T852=0,"Break-even","Profit"))</f>
        <v>Profit</v>
      </c>
      <c r="V852" s="3" t="str">
        <f aca="false">IF(Q852&lt;100,"Low",IF(Q852&lt;=500,"Medium","High"))</f>
        <v>Low</v>
      </c>
      <c r="W852" s="3" t="n">
        <f aca="false">D852-C852</f>
        <v>3</v>
      </c>
      <c r="X852" s="3" t="str">
        <f aca="false">TEXT(C852,"mmmm")</f>
        <v>August</v>
      </c>
      <c r="Y852" s="3" t="str">
        <f aca="false">LEFT(G852,1)&amp;MID(G852,FIND(" ",G852)+1,1)</f>
        <v>PN</v>
      </c>
    </row>
    <row r="853" customFormat="false" ht="15" hidden="false" customHeight="false" outlineLevel="0" collapsed="false">
      <c r="A853" s="3" t="n">
        <v>852</v>
      </c>
      <c r="B853" s="3" t="s">
        <v>2225</v>
      </c>
      <c r="C853" s="4" t="s">
        <v>2209</v>
      </c>
      <c r="D853" s="4" t="s">
        <v>2226</v>
      </c>
      <c r="E853" s="3" t="s">
        <v>28</v>
      </c>
      <c r="F853" s="3" t="s">
        <v>1134</v>
      </c>
      <c r="G853" s="3" t="s">
        <v>1135</v>
      </c>
      <c r="H853" s="3" t="s">
        <v>45</v>
      </c>
      <c r="I853" s="3" t="s">
        <v>32</v>
      </c>
      <c r="J853" s="3" t="s">
        <v>365</v>
      </c>
      <c r="K853" s="3" t="s">
        <v>366</v>
      </c>
      <c r="L853" s="3" t="s">
        <v>157</v>
      </c>
      <c r="M853" s="3" t="s">
        <v>225</v>
      </c>
      <c r="N853" s="3" t="s">
        <v>37</v>
      </c>
      <c r="O853" s="3" t="s">
        <v>196</v>
      </c>
      <c r="P853" s="3" t="s">
        <v>226</v>
      </c>
      <c r="Q853" s="5" t="n">
        <v>5225.7</v>
      </c>
      <c r="R853" s="3" t="n">
        <v>3</v>
      </c>
      <c r="S853" s="6" t="n">
        <v>0</v>
      </c>
      <c r="T853" s="5" t="n">
        <v>923.07</v>
      </c>
      <c r="U853" s="3" t="str">
        <f aca="false">IF(T853&lt;0,"Loss",IF(T853=0,"Break-even","Profit"))</f>
        <v>Profit</v>
      </c>
      <c r="V853" s="3" t="str">
        <f aca="false">IF(Q853&lt;100,"Low",IF(Q853&lt;=500,"Medium","High"))</f>
        <v>High</v>
      </c>
      <c r="W853" s="3" t="n">
        <f aca="false">D853-C853</f>
        <v>6</v>
      </c>
      <c r="X853" s="3" t="str">
        <f aca="false">TEXT(C853,"mmmm")</f>
        <v>August</v>
      </c>
      <c r="Y853" s="3" t="str">
        <f aca="false">LEFT(G853,1)&amp;MID(G853,FIND(" ",G853)+1,1)</f>
        <v>JM</v>
      </c>
    </row>
    <row r="854" customFormat="false" ht="15" hidden="false" customHeight="false" outlineLevel="0" collapsed="false">
      <c r="A854" s="3" t="n">
        <v>853</v>
      </c>
      <c r="B854" s="3" t="s">
        <v>2227</v>
      </c>
      <c r="C854" s="4" t="s">
        <v>2212</v>
      </c>
      <c r="D854" s="4" t="s">
        <v>2224</v>
      </c>
      <c r="E854" s="3" t="s">
        <v>84</v>
      </c>
      <c r="F854" s="3" t="s">
        <v>379</v>
      </c>
      <c r="G854" s="3" t="s">
        <v>380</v>
      </c>
      <c r="H854" s="3" t="s">
        <v>45</v>
      </c>
      <c r="I854" s="3" t="s">
        <v>32</v>
      </c>
      <c r="J854" s="3" t="s">
        <v>120</v>
      </c>
      <c r="K854" s="3" t="s">
        <v>113</v>
      </c>
      <c r="L854" s="3" t="s">
        <v>69</v>
      </c>
      <c r="M854" s="3" t="s">
        <v>347</v>
      </c>
      <c r="N854" s="3" t="s">
        <v>49</v>
      </c>
      <c r="O854" s="3" t="s">
        <v>220</v>
      </c>
      <c r="P854" s="3" t="s">
        <v>348</v>
      </c>
      <c r="Q854" s="5" t="n">
        <v>94.25</v>
      </c>
      <c r="R854" s="3" t="n">
        <v>4</v>
      </c>
      <c r="S854" s="6" t="n">
        <v>0</v>
      </c>
      <c r="T854" s="5" t="n">
        <v>27.46</v>
      </c>
      <c r="U854" s="3" t="str">
        <f aca="false">IF(T854&lt;0,"Loss",IF(T854=0,"Break-even","Profit"))</f>
        <v>Profit</v>
      </c>
      <c r="V854" s="3" t="str">
        <f aca="false">IF(Q854&lt;100,"Low",IF(Q854&lt;=500,"Medium","High"))</f>
        <v>Low</v>
      </c>
      <c r="W854" s="3" t="n">
        <f aca="false">D854-C854</f>
        <v>2</v>
      </c>
      <c r="X854" s="3" t="str">
        <f aca="false">TEXT(C854,"mmmm")</f>
        <v>August</v>
      </c>
      <c r="Y854" s="3" t="str">
        <f aca="false">LEFT(G854,1)&amp;MID(G854,FIND(" ",G854)+1,1)</f>
        <v>MG</v>
      </c>
    </row>
    <row r="855" customFormat="false" ht="15" hidden="false" customHeight="false" outlineLevel="0" collapsed="false">
      <c r="A855" s="3" t="n">
        <v>854</v>
      </c>
      <c r="B855" s="3" t="s">
        <v>2228</v>
      </c>
      <c r="C855" s="4" t="s">
        <v>2212</v>
      </c>
      <c r="D855" s="4" t="s">
        <v>2229</v>
      </c>
      <c r="E855" s="3" t="s">
        <v>28</v>
      </c>
      <c r="F855" s="3" t="s">
        <v>454</v>
      </c>
      <c r="G855" s="3" t="s">
        <v>455</v>
      </c>
      <c r="H855" s="3" t="s">
        <v>45</v>
      </c>
      <c r="I855" s="3" t="s">
        <v>32</v>
      </c>
      <c r="J855" s="3" t="s">
        <v>33</v>
      </c>
      <c r="K855" s="3" t="s">
        <v>34</v>
      </c>
      <c r="L855" s="3" t="s">
        <v>35</v>
      </c>
      <c r="M855" s="3" t="s">
        <v>225</v>
      </c>
      <c r="N855" s="3" t="s">
        <v>37</v>
      </c>
      <c r="O855" s="3" t="s">
        <v>196</v>
      </c>
      <c r="P855" s="3" t="s">
        <v>226</v>
      </c>
      <c r="Q855" s="5" t="n">
        <v>501.96</v>
      </c>
      <c r="R855" s="3" t="n">
        <v>3</v>
      </c>
      <c r="S855" s="6" t="n">
        <v>0.1</v>
      </c>
      <c r="T855" s="5" t="n">
        <v>-12.42</v>
      </c>
      <c r="U855" s="3" t="str">
        <f aca="false">IF(T855&lt;0,"Loss",IF(T855=0,"Break-even","Profit"))</f>
        <v>Loss</v>
      </c>
      <c r="V855" s="3" t="str">
        <f aca="false">IF(Q855&lt;100,"Low",IF(Q855&lt;=500,"Medium","High"))</f>
        <v>High</v>
      </c>
      <c r="W855" s="3" t="n">
        <f aca="false">D855-C855</f>
        <v>4</v>
      </c>
      <c r="X855" s="3" t="str">
        <f aca="false">TEXT(C855,"mmmm")</f>
        <v>August</v>
      </c>
      <c r="Y855" s="3" t="str">
        <f aca="false">LEFT(G855,1)&amp;MID(G855,FIND(" ",G855)+1,1)</f>
        <v>OD</v>
      </c>
    </row>
    <row r="856" customFormat="false" ht="15" hidden="false" customHeight="false" outlineLevel="0" collapsed="false">
      <c r="A856" s="3" t="n">
        <v>855</v>
      </c>
      <c r="B856" s="3" t="s">
        <v>2230</v>
      </c>
      <c r="C856" s="4" t="s">
        <v>2212</v>
      </c>
      <c r="D856" s="4" t="s">
        <v>2226</v>
      </c>
      <c r="E856" s="3" t="s">
        <v>28</v>
      </c>
      <c r="F856" s="3" t="s">
        <v>320</v>
      </c>
      <c r="G856" s="3" t="s">
        <v>321</v>
      </c>
      <c r="H856" s="3" t="s">
        <v>56</v>
      </c>
      <c r="I856" s="3" t="s">
        <v>32</v>
      </c>
      <c r="J856" s="3" t="s">
        <v>476</v>
      </c>
      <c r="K856" s="3" t="s">
        <v>366</v>
      </c>
      <c r="L856" s="3" t="s">
        <v>157</v>
      </c>
      <c r="M856" s="3" t="s">
        <v>447</v>
      </c>
      <c r="N856" s="3" t="s">
        <v>89</v>
      </c>
      <c r="O856" s="3" t="s">
        <v>323</v>
      </c>
      <c r="P856" s="3" t="s">
        <v>448</v>
      </c>
      <c r="Q856" s="5" t="n">
        <v>5521.59</v>
      </c>
      <c r="R856" s="3" t="n">
        <v>14</v>
      </c>
      <c r="S856" s="6" t="n">
        <v>0.4</v>
      </c>
      <c r="T856" s="5" t="n">
        <v>-297.19</v>
      </c>
      <c r="U856" s="3" t="str">
        <f aca="false">IF(T856&lt;0,"Loss",IF(T856=0,"Break-even","Profit"))</f>
        <v>Loss</v>
      </c>
      <c r="V856" s="3" t="str">
        <f aca="false">IF(Q856&lt;100,"Low",IF(Q856&lt;=500,"Medium","High"))</f>
        <v>High</v>
      </c>
      <c r="W856" s="3" t="n">
        <f aca="false">D856-C856</f>
        <v>5</v>
      </c>
      <c r="X856" s="3" t="str">
        <f aca="false">TEXT(C856,"mmmm")</f>
        <v>August</v>
      </c>
      <c r="Y856" s="3" t="str">
        <f aca="false">LEFT(G856,1)&amp;MID(G856,FIND(" ",G856)+1,1)</f>
        <v>OW</v>
      </c>
    </row>
    <row r="857" customFormat="false" ht="15" hidden="false" customHeight="false" outlineLevel="0" collapsed="false">
      <c r="A857" s="3" t="n">
        <v>856</v>
      </c>
      <c r="B857" s="3" t="s">
        <v>2231</v>
      </c>
      <c r="C857" s="4" t="s">
        <v>2219</v>
      </c>
      <c r="D857" s="4" t="s">
        <v>2229</v>
      </c>
      <c r="E857" s="3" t="s">
        <v>84</v>
      </c>
      <c r="F857" s="3" t="s">
        <v>2232</v>
      </c>
      <c r="G857" s="3" t="s">
        <v>2233</v>
      </c>
      <c r="H857" s="3" t="s">
        <v>56</v>
      </c>
      <c r="I857" s="3" t="s">
        <v>32</v>
      </c>
      <c r="J857" s="3" t="s">
        <v>77</v>
      </c>
      <c r="K857" s="3" t="s">
        <v>78</v>
      </c>
      <c r="L857" s="3" t="s">
        <v>59</v>
      </c>
      <c r="M857" s="3" t="s">
        <v>300</v>
      </c>
      <c r="N857" s="3" t="s">
        <v>49</v>
      </c>
      <c r="O857" s="3" t="s">
        <v>143</v>
      </c>
      <c r="P857" s="3" t="s">
        <v>301</v>
      </c>
      <c r="Q857" s="5" t="n">
        <v>102.2</v>
      </c>
      <c r="R857" s="3" t="n">
        <v>2</v>
      </c>
      <c r="S857" s="6" t="n">
        <v>0</v>
      </c>
      <c r="T857" s="5" t="n">
        <v>12.85</v>
      </c>
      <c r="U857" s="3" t="str">
        <f aca="false">IF(T857&lt;0,"Loss",IF(T857=0,"Break-even","Profit"))</f>
        <v>Profit</v>
      </c>
      <c r="V857" s="3" t="str">
        <f aca="false">IF(Q857&lt;100,"Low",IF(Q857&lt;=500,"Medium","High"))</f>
        <v>Medium</v>
      </c>
      <c r="W857" s="3" t="n">
        <f aca="false">D857-C857</f>
        <v>3</v>
      </c>
      <c r="X857" s="3" t="str">
        <f aca="false">TEXT(C857,"mmmm")</f>
        <v>August</v>
      </c>
      <c r="Y857" s="3" t="str">
        <f aca="false">LEFT(G857,1)&amp;MID(G857,FIND(" ",G857)+1,1)</f>
        <v>EB</v>
      </c>
    </row>
    <row r="858" customFormat="false" ht="15" hidden="false" customHeight="false" outlineLevel="0" collapsed="false">
      <c r="A858" s="3" t="n">
        <v>857</v>
      </c>
      <c r="B858" s="3" t="s">
        <v>2234</v>
      </c>
      <c r="C858" s="4" t="s">
        <v>2224</v>
      </c>
      <c r="D858" s="4" t="s">
        <v>2235</v>
      </c>
      <c r="E858" s="3" t="s">
        <v>28</v>
      </c>
      <c r="F858" s="3" t="s">
        <v>1174</v>
      </c>
      <c r="G858" s="3" t="s">
        <v>1175</v>
      </c>
      <c r="H858" s="3" t="s">
        <v>45</v>
      </c>
      <c r="I858" s="3" t="s">
        <v>32</v>
      </c>
      <c r="J858" s="3" t="s">
        <v>381</v>
      </c>
      <c r="K858" s="3" t="s">
        <v>58</v>
      </c>
      <c r="L858" s="3" t="s">
        <v>59</v>
      </c>
      <c r="M858" s="3" t="s">
        <v>470</v>
      </c>
      <c r="N858" s="3" t="s">
        <v>49</v>
      </c>
      <c r="O858" s="3" t="s">
        <v>159</v>
      </c>
      <c r="P858" s="3" t="s">
        <v>471</v>
      </c>
      <c r="Q858" s="5" t="n">
        <v>128.99</v>
      </c>
      <c r="R858" s="3" t="n">
        <v>2</v>
      </c>
      <c r="S858" s="6" t="n">
        <v>0</v>
      </c>
      <c r="T858" s="5" t="n">
        <v>21.04</v>
      </c>
      <c r="U858" s="3" t="str">
        <f aca="false">IF(T858&lt;0,"Loss",IF(T858=0,"Break-even","Profit"))</f>
        <v>Profit</v>
      </c>
      <c r="V858" s="3" t="str">
        <f aca="false">IF(Q858&lt;100,"Low",IF(Q858&lt;=500,"Medium","High"))</f>
        <v>Medium</v>
      </c>
      <c r="W858" s="3" t="n">
        <f aca="false">D858-C858</f>
        <v>6</v>
      </c>
      <c r="X858" s="3" t="str">
        <f aca="false">TEXT(C858,"mmmm")</f>
        <v>August</v>
      </c>
      <c r="Y858" s="3" t="str">
        <f aca="false">LEFT(G858,1)&amp;MID(G858,FIND(" ",G858)+1,1)</f>
        <v>AB</v>
      </c>
    </row>
    <row r="859" customFormat="false" ht="15" hidden="false" customHeight="false" outlineLevel="0" collapsed="false">
      <c r="A859" s="3" t="n">
        <v>858</v>
      </c>
      <c r="B859" s="3" t="s">
        <v>2236</v>
      </c>
      <c r="C859" s="4" t="s">
        <v>2222</v>
      </c>
      <c r="D859" s="4" t="s">
        <v>2237</v>
      </c>
      <c r="E859" s="3" t="s">
        <v>28</v>
      </c>
      <c r="F859" s="3" t="s">
        <v>246</v>
      </c>
      <c r="G859" s="3" t="s">
        <v>247</v>
      </c>
      <c r="H859" s="3" t="s">
        <v>56</v>
      </c>
      <c r="I859" s="3" t="s">
        <v>32</v>
      </c>
      <c r="J859" s="3" t="s">
        <v>381</v>
      </c>
      <c r="K859" s="3" t="s">
        <v>58</v>
      </c>
      <c r="L859" s="3" t="s">
        <v>59</v>
      </c>
      <c r="M859" s="3" t="s">
        <v>559</v>
      </c>
      <c r="N859" s="3" t="s">
        <v>37</v>
      </c>
      <c r="O859" s="3" t="s">
        <v>38</v>
      </c>
      <c r="P859" s="3" t="s">
        <v>560</v>
      </c>
      <c r="Q859" s="5" t="n">
        <v>1095.24</v>
      </c>
      <c r="R859" s="3" t="n">
        <v>1</v>
      </c>
      <c r="S859" s="6" t="n">
        <v>0</v>
      </c>
      <c r="T859" s="5" t="n">
        <v>278.1</v>
      </c>
      <c r="U859" s="3" t="str">
        <f aca="false">IF(T859&lt;0,"Loss",IF(T859=0,"Break-even","Profit"))</f>
        <v>Profit</v>
      </c>
      <c r="V859" s="3" t="str">
        <f aca="false">IF(Q859&lt;100,"Low",IF(Q859&lt;=500,"Medium","High"))</f>
        <v>High</v>
      </c>
      <c r="W859" s="3" t="n">
        <f aca="false">D859-C859</f>
        <v>7</v>
      </c>
      <c r="X859" s="3" t="str">
        <f aca="false">TEXT(C859,"mmmm")</f>
        <v>August</v>
      </c>
      <c r="Y859" s="3" t="str">
        <f aca="false">LEFT(G859,1)&amp;MID(G859,FIND(" ",G859)+1,1)</f>
        <v>JN</v>
      </c>
    </row>
    <row r="860" customFormat="false" ht="15" hidden="false" customHeight="false" outlineLevel="0" collapsed="false">
      <c r="A860" s="3" t="n">
        <v>859</v>
      </c>
      <c r="B860" s="3" t="s">
        <v>2238</v>
      </c>
      <c r="C860" s="4" t="s">
        <v>2226</v>
      </c>
      <c r="D860" s="4" t="s">
        <v>2235</v>
      </c>
      <c r="E860" s="3" t="s">
        <v>28</v>
      </c>
      <c r="F860" s="3" t="s">
        <v>606</v>
      </c>
      <c r="G860" s="3" t="s">
        <v>607</v>
      </c>
      <c r="H860" s="3" t="s">
        <v>45</v>
      </c>
      <c r="I860" s="3" t="s">
        <v>32</v>
      </c>
      <c r="J860" s="3" t="s">
        <v>188</v>
      </c>
      <c r="K860" s="3" t="s">
        <v>189</v>
      </c>
      <c r="L860" s="3" t="s">
        <v>59</v>
      </c>
      <c r="M860" s="3" t="s">
        <v>404</v>
      </c>
      <c r="N860" s="3" t="s">
        <v>89</v>
      </c>
      <c r="O860" s="3" t="s">
        <v>166</v>
      </c>
      <c r="P860" s="3" t="s">
        <v>405</v>
      </c>
      <c r="Q860" s="5" t="n">
        <v>1939.49</v>
      </c>
      <c r="R860" s="3" t="n">
        <v>8</v>
      </c>
      <c r="S860" s="6" t="n">
        <v>0.2</v>
      </c>
      <c r="T860" s="5" t="n">
        <v>7.82</v>
      </c>
      <c r="U860" s="3" t="str">
        <f aca="false">IF(T860&lt;0,"Loss",IF(T860=0,"Break-even","Profit"))</f>
        <v>Profit</v>
      </c>
      <c r="V860" s="3" t="str">
        <f aca="false">IF(Q860&lt;100,"Low",IF(Q860&lt;=500,"Medium","High"))</f>
        <v>High</v>
      </c>
      <c r="W860" s="3" t="n">
        <f aca="false">D860-C860</f>
        <v>3</v>
      </c>
      <c r="X860" s="3" t="str">
        <f aca="false">TEXT(C860,"mmmm")</f>
        <v>August</v>
      </c>
      <c r="Y860" s="3" t="str">
        <f aca="false">LEFT(G860,1)&amp;MID(G860,FIND(" ",G860)+1,1)</f>
        <v>JA</v>
      </c>
    </row>
    <row r="861" customFormat="false" ht="15" hidden="false" customHeight="false" outlineLevel="0" collapsed="false">
      <c r="A861" s="3" t="n">
        <v>860</v>
      </c>
      <c r="B861" s="3" t="s">
        <v>2239</v>
      </c>
      <c r="C861" s="4" t="s">
        <v>2226</v>
      </c>
      <c r="D861" s="4" t="s">
        <v>2237</v>
      </c>
      <c r="E861" s="3" t="s">
        <v>28</v>
      </c>
      <c r="F861" s="3" t="s">
        <v>732</v>
      </c>
      <c r="G861" s="3" t="s">
        <v>733</v>
      </c>
      <c r="H861" s="3" t="s">
        <v>56</v>
      </c>
      <c r="I861" s="3" t="s">
        <v>32</v>
      </c>
      <c r="J861" s="3" t="s">
        <v>386</v>
      </c>
      <c r="K861" s="3" t="s">
        <v>387</v>
      </c>
      <c r="L861" s="3" t="s">
        <v>35</v>
      </c>
      <c r="M861" s="3" t="s">
        <v>127</v>
      </c>
      <c r="N861" s="3" t="s">
        <v>49</v>
      </c>
      <c r="O861" s="3" t="s">
        <v>61</v>
      </c>
      <c r="P861" s="3" t="s">
        <v>128</v>
      </c>
      <c r="Q861" s="5" t="n">
        <v>186.35</v>
      </c>
      <c r="R861" s="3" t="n">
        <v>11</v>
      </c>
      <c r="S861" s="6" t="n">
        <v>0.4</v>
      </c>
      <c r="T861" s="5" t="n">
        <v>-56.98</v>
      </c>
      <c r="U861" s="3" t="str">
        <f aca="false">IF(T861&lt;0,"Loss",IF(T861=0,"Break-even","Profit"))</f>
        <v>Loss</v>
      </c>
      <c r="V861" s="3" t="str">
        <f aca="false">IF(Q861&lt;100,"Low",IF(Q861&lt;=500,"Medium","High"))</f>
        <v>Medium</v>
      </c>
      <c r="W861" s="3" t="n">
        <f aca="false">D861-C861</f>
        <v>5</v>
      </c>
      <c r="X861" s="3" t="str">
        <f aca="false">TEXT(C861,"mmmm")</f>
        <v>August</v>
      </c>
      <c r="Y861" s="3" t="str">
        <f aca="false">LEFT(G861,1)&amp;MID(G861,FIND(" ",G861)+1,1)</f>
        <v>LM</v>
      </c>
    </row>
    <row r="862" customFormat="false" ht="15" hidden="false" customHeight="false" outlineLevel="0" collapsed="false">
      <c r="A862" s="3" t="n">
        <v>861</v>
      </c>
      <c r="B862" s="3" t="s">
        <v>2240</v>
      </c>
      <c r="C862" s="4" t="s">
        <v>2241</v>
      </c>
      <c r="D862" s="4" t="s">
        <v>2242</v>
      </c>
      <c r="E862" s="3" t="s">
        <v>28</v>
      </c>
      <c r="F862" s="3" t="s">
        <v>1735</v>
      </c>
      <c r="G862" s="3" t="s">
        <v>1736</v>
      </c>
      <c r="H862" s="3" t="s">
        <v>31</v>
      </c>
      <c r="I862" s="3" t="s">
        <v>32</v>
      </c>
      <c r="J862" s="3" t="s">
        <v>299</v>
      </c>
      <c r="K862" s="3" t="s">
        <v>189</v>
      </c>
      <c r="L862" s="3" t="s">
        <v>59</v>
      </c>
      <c r="M862" s="3" t="s">
        <v>225</v>
      </c>
      <c r="N862" s="3" t="s">
        <v>37</v>
      </c>
      <c r="O862" s="3" t="s">
        <v>196</v>
      </c>
      <c r="P862" s="3" t="s">
        <v>226</v>
      </c>
      <c r="Q862" s="5" t="n">
        <v>15511.16</v>
      </c>
      <c r="R862" s="3" t="n">
        <v>10</v>
      </c>
      <c r="S862" s="6" t="n">
        <v>0.4</v>
      </c>
      <c r="T862" s="5" t="n">
        <v>-5069.08</v>
      </c>
      <c r="U862" s="3" t="str">
        <f aca="false">IF(T862&lt;0,"Loss",IF(T862=0,"Break-even","Profit"))</f>
        <v>Loss</v>
      </c>
      <c r="V862" s="3" t="str">
        <f aca="false">IF(Q862&lt;100,"Low",IF(Q862&lt;=500,"Medium","High"))</f>
        <v>High</v>
      </c>
      <c r="W862" s="3" t="n">
        <f aca="false">D862-C862</f>
        <v>6</v>
      </c>
      <c r="X862" s="3" t="str">
        <f aca="false">TEXT(C862,"mmmm")</f>
        <v>August</v>
      </c>
      <c r="Y862" s="3" t="str">
        <f aca="false">LEFT(G862,1)&amp;MID(G862,FIND(" ",G862)+1,1)</f>
        <v>CG</v>
      </c>
    </row>
    <row r="863" customFormat="false" ht="15" hidden="false" customHeight="false" outlineLevel="0" collapsed="false">
      <c r="A863" s="3" t="n">
        <v>862</v>
      </c>
      <c r="B863" s="3" t="s">
        <v>1916</v>
      </c>
      <c r="C863" s="4" t="s">
        <v>2243</v>
      </c>
      <c r="D863" s="4" t="s">
        <v>2237</v>
      </c>
      <c r="E863" s="3" t="s">
        <v>84</v>
      </c>
      <c r="F863" s="3" t="s">
        <v>2244</v>
      </c>
      <c r="G863" s="3" t="s">
        <v>2245</v>
      </c>
      <c r="H863" s="3" t="s">
        <v>56</v>
      </c>
      <c r="I863" s="3" t="s">
        <v>32</v>
      </c>
      <c r="J863" s="3" t="s">
        <v>415</v>
      </c>
      <c r="K863" s="3" t="s">
        <v>202</v>
      </c>
      <c r="L863" s="3" t="s">
        <v>35</v>
      </c>
      <c r="M863" s="3" t="s">
        <v>219</v>
      </c>
      <c r="N863" s="3" t="s">
        <v>49</v>
      </c>
      <c r="O863" s="3" t="s">
        <v>220</v>
      </c>
      <c r="P863" s="3" t="s">
        <v>221</v>
      </c>
      <c r="Q863" s="5" t="n">
        <v>99.9</v>
      </c>
      <c r="R863" s="3" t="n">
        <v>1</v>
      </c>
      <c r="S863" s="6" t="n">
        <v>0.1</v>
      </c>
      <c r="T863" s="5" t="n">
        <v>17.47</v>
      </c>
      <c r="U863" s="3" t="str">
        <f aca="false">IF(T863&lt;0,"Loss",IF(T863=0,"Break-even","Profit"))</f>
        <v>Profit</v>
      </c>
      <c r="V863" s="3" t="str">
        <f aca="false">IF(Q863&lt;100,"Low",IF(Q863&lt;=500,"Medium","High"))</f>
        <v>Low</v>
      </c>
      <c r="W863" s="3" t="n">
        <f aca="false">D863-C863</f>
        <v>3</v>
      </c>
      <c r="X863" s="3" t="str">
        <f aca="false">TEXT(C863,"mmmm")</f>
        <v>August</v>
      </c>
      <c r="Y863" s="3" t="str">
        <f aca="false">LEFT(G863,1)&amp;MID(G863,FIND(" ",G863)+1,1)</f>
        <v>WS</v>
      </c>
    </row>
    <row r="864" customFormat="false" ht="15" hidden="false" customHeight="false" outlineLevel="0" collapsed="false">
      <c r="A864" s="3" t="n">
        <v>863</v>
      </c>
      <c r="B864" s="3" t="s">
        <v>2246</v>
      </c>
      <c r="C864" s="4" t="s">
        <v>2237</v>
      </c>
      <c r="D864" s="4" t="s">
        <v>2247</v>
      </c>
      <c r="E864" s="3" t="s">
        <v>28</v>
      </c>
      <c r="F864" s="3" t="s">
        <v>1481</v>
      </c>
      <c r="G864" s="3" t="s">
        <v>1482</v>
      </c>
      <c r="H864" s="3" t="s">
        <v>31</v>
      </c>
      <c r="I864" s="3" t="s">
        <v>32</v>
      </c>
      <c r="J864" s="3" t="s">
        <v>67</v>
      </c>
      <c r="K864" s="3" t="s">
        <v>68</v>
      </c>
      <c r="L864" s="3" t="s">
        <v>69</v>
      </c>
      <c r="M864" s="3" t="s">
        <v>447</v>
      </c>
      <c r="N864" s="3" t="s">
        <v>89</v>
      </c>
      <c r="O864" s="3" t="s">
        <v>323</v>
      </c>
      <c r="P864" s="3" t="s">
        <v>448</v>
      </c>
      <c r="Q864" s="5" t="n">
        <v>5306.18</v>
      </c>
      <c r="R864" s="3" t="n">
        <v>10</v>
      </c>
      <c r="S864" s="6" t="n">
        <v>0.4</v>
      </c>
      <c r="T864" s="5" t="n">
        <v>-1190.89</v>
      </c>
      <c r="U864" s="3" t="str">
        <f aca="false">IF(T864&lt;0,"Loss",IF(T864=0,"Break-even","Profit"))</f>
        <v>Loss</v>
      </c>
      <c r="V864" s="3" t="str">
        <f aca="false">IF(Q864&lt;100,"Low",IF(Q864&lt;=500,"Medium","High"))</f>
        <v>High</v>
      </c>
      <c r="W864" s="3" t="n">
        <f aca="false">D864-C864</f>
        <v>4</v>
      </c>
      <c r="X864" s="3" t="str">
        <f aca="false">TEXT(C864,"mmmm")</f>
        <v>August</v>
      </c>
      <c r="Y864" s="3" t="str">
        <f aca="false">LEFT(G864,1)&amp;MID(G864,FIND(" ",G864)+1,1)</f>
        <v>OJ</v>
      </c>
    </row>
    <row r="865" customFormat="false" ht="15" hidden="false" customHeight="false" outlineLevel="0" collapsed="false">
      <c r="A865" s="3" t="n">
        <v>864</v>
      </c>
      <c r="B865" s="3" t="s">
        <v>2248</v>
      </c>
      <c r="C865" s="4" t="s">
        <v>2249</v>
      </c>
      <c r="D865" s="4" t="s">
        <v>2247</v>
      </c>
      <c r="E865" s="3" t="s">
        <v>42</v>
      </c>
      <c r="F865" s="3" t="s">
        <v>602</v>
      </c>
      <c r="G865" s="3" t="s">
        <v>603</v>
      </c>
      <c r="H865" s="3" t="s">
        <v>56</v>
      </c>
      <c r="I865" s="3" t="s">
        <v>32</v>
      </c>
      <c r="J865" s="3" t="s">
        <v>415</v>
      </c>
      <c r="K865" s="3" t="s">
        <v>202</v>
      </c>
      <c r="L865" s="3" t="s">
        <v>35</v>
      </c>
      <c r="M865" s="3" t="s">
        <v>142</v>
      </c>
      <c r="N865" s="3" t="s">
        <v>49</v>
      </c>
      <c r="O865" s="3" t="s">
        <v>143</v>
      </c>
      <c r="P865" s="3" t="s">
        <v>144</v>
      </c>
      <c r="Q865" s="5" t="n">
        <v>463.4</v>
      </c>
      <c r="R865" s="3" t="n">
        <v>5</v>
      </c>
      <c r="S865" s="6" t="n">
        <v>0</v>
      </c>
      <c r="T865" s="5" t="n">
        <v>52.1</v>
      </c>
      <c r="U865" s="3" t="str">
        <f aca="false">IF(T865&lt;0,"Loss",IF(T865=0,"Break-even","Profit"))</f>
        <v>Profit</v>
      </c>
      <c r="V865" s="3" t="str">
        <f aca="false">IF(Q865&lt;100,"Low",IF(Q865&lt;=500,"Medium","High"))</f>
        <v>Medium</v>
      </c>
      <c r="W865" s="3" t="n">
        <f aca="false">D865-C865</f>
        <v>1</v>
      </c>
      <c r="X865" s="3" t="str">
        <f aca="false">TEXT(C865,"mmmm")</f>
        <v>August</v>
      </c>
      <c r="Y865" s="3" t="str">
        <f aca="false">LEFT(G865,1)&amp;MID(G865,FIND(" ",G865)+1,1)</f>
        <v>SR</v>
      </c>
    </row>
    <row r="866" customFormat="false" ht="15" hidden="false" customHeight="false" outlineLevel="0" collapsed="false">
      <c r="A866" s="3" t="n">
        <v>865</v>
      </c>
      <c r="B866" s="3" t="s">
        <v>2250</v>
      </c>
      <c r="C866" s="4" t="s">
        <v>2247</v>
      </c>
      <c r="D866" s="4" t="s">
        <v>2251</v>
      </c>
      <c r="E866" s="3" t="s">
        <v>28</v>
      </c>
      <c r="F866" s="3" t="s">
        <v>2055</v>
      </c>
      <c r="G866" s="3" t="s">
        <v>2056</v>
      </c>
      <c r="H866" s="3" t="s">
        <v>45</v>
      </c>
      <c r="I866" s="3" t="s">
        <v>32</v>
      </c>
      <c r="J866" s="3" t="s">
        <v>252</v>
      </c>
      <c r="K866" s="3" t="s">
        <v>172</v>
      </c>
      <c r="L866" s="3" t="s">
        <v>157</v>
      </c>
      <c r="M866" s="3" t="s">
        <v>114</v>
      </c>
      <c r="N866" s="3" t="s">
        <v>49</v>
      </c>
      <c r="O866" s="3" t="s">
        <v>61</v>
      </c>
      <c r="P866" s="3" t="s">
        <v>115</v>
      </c>
      <c r="Q866" s="5" t="n">
        <v>270.15</v>
      </c>
      <c r="R866" s="3" t="n">
        <v>4</v>
      </c>
      <c r="S866" s="6" t="n">
        <v>0.4</v>
      </c>
      <c r="T866" s="5" t="n">
        <v>42.07</v>
      </c>
      <c r="U866" s="3" t="str">
        <f aca="false">IF(T866&lt;0,"Loss",IF(T866=0,"Break-even","Profit"))</f>
        <v>Profit</v>
      </c>
      <c r="V866" s="3" t="str">
        <f aca="false">IF(Q866&lt;100,"Low",IF(Q866&lt;=500,"Medium","High"))</f>
        <v>Medium</v>
      </c>
      <c r="W866" s="3" t="n">
        <f aca="false">D866-C866</f>
        <v>7</v>
      </c>
      <c r="X866" s="3" t="str">
        <f aca="false">TEXT(C866,"mmmm")</f>
        <v>August</v>
      </c>
      <c r="Y866" s="3" t="str">
        <f aca="false">LEFT(G866,1)&amp;MID(G866,FIND(" ",G866)+1,1)</f>
        <v>ED</v>
      </c>
    </row>
    <row r="867" customFormat="false" ht="15" hidden="false" customHeight="false" outlineLevel="0" collapsed="false">
      <c r="A867" s="3" t="n">
        <v>866</v>
      </c>
      <c r="B867" s="3" t="s">
        <v>2252</v>
      </c>
      <c r="C867" s="4" t="s">
        <v>2247</v>
      </c>
      <c r="D867" s="4" t="s">
        <v>2253</v>
      </c>
      <c r="E867" s="3" t="s">
        <v>84</v>
      </c>
      <c r="F867" s="3" t="s">
        <v>784</v>
      </c>
      <c r="G867" s="3" t="s">
        <v>785</v>
      </c>
      <c r="H867" s="3" t="s">
        <v>45</v>
      </c>
      <c r="I867" s="3" t="s">
        <v>32</v>
      </c>
      <c r="J867" s="3" t="s">
        <v>663</v>
      </c>
      <c r="K867" s="3" t="s">
        <v>307</v>
      </c>
      <c r="L867" s="3" t="s">
        <v>69</v>
      </c>
      <c r="M867" s="3" t="s">
        <v>225</v>
      </c>
      <c r="N867" s="3" t="s">
        <v>37</v>
      </c>
      <c r="O867" s="3" t="s">
        <v>196</v>
      </c>
      <c r="P867" s="3" t="s">
        <v>226</v>
      </c>
      <c r="Q867" s="5" t="n">
        <v>466.58</v>
      </c>
      <c r="R867" s="3" t="n">
        <v>1</v>
      </c>
      <c r="S867" s="6" t="n">
        <v>0</v>
      </c>
      <c r="T867" s="5" t="n">
        <v>45.58</v>
      </c>
      <c r="U867" s="3" t="str">
        <f aca="false">IF(T867&lt;0,"Loss",IF(T867=0,"Break-even","Profit"))</f>
        <v>Profit</v>
      </c>
      <c r="V867" s="3" t="str">
        <f aca="false">IF(Q867&lt;100,"Low",IF(Q867&lt;=500,"Medium","High"))</f>
        <v>Medium</v>
      </c>
      <c r="W867" s="3" t="n">
        <f aca="false">D867-C867</f>
        <v>4</v>
      </c>
      <c r="X867" s="3" t="str">
        <f aca="false">TEXT(C867,"mmmm")</f>
        <v>August</v>
      </c>
      <c r="Y867" s="3" t="str">
        <f aca="false">LEFT(G867,1)&amp;MID(G867,FIND(" ",G867)+1,1)</f>
        <v>CR</v>
      </c>
    </row>
    <row r="868" customFormat="false" ht="15" hidden="false" customHeight="false" outlineLevel="0" collapsed="false">
      <c r="A868" s="3" t="n">
        <v>867</v>
      </c>
      <c r="B868" s="3" t="s">
        <v>2090</v>
      </c>
      <c r="C868" s="4" t="s">
        <v>2247</v>
      </c>
      <c r="D868" s="4" t="s">
        <v>2251</v>
      </c>
      <c r="E868" s="3" t="s">
        <v>28</v>
      </c>
      <c r="F868" s="3" t="s">
        <v>880</v>
      </c>
      <c r="G868" s="3" t="s">
        <v>881</v>
      </c>
      <c r="H868" s="3" t="s">
        <v>31</v>
      </c>
      <c r="I868" s="3" t="s">
        <v>32</v>
      </c>
      <c r="J868" s="3" t="s">
        <v>148</v>
      </c>
      <c r="K868" s="3" t="s">
        <v>78</v>
      </c>
      <c r="L868" s="3" t="s">
        <v>59</v>
      </c>
      <c r="M868" s="3" t="s">
        <v>447</v>
      </c>
      <c r="N868" s="3" t="s">
        <v>89</v>
      </c>
      <c r="O868" s="3" t="s">
        <v>323</v>
      </c>
      <c r="P868" s="3" t="s">
        <v>448</v>
      </c>
      <c r="Q868" s="5" t="n">
        <v>183.5</v>
      </c>
      <c r="R868" s="3" t="n">
        <v>4</v>
      </c>
      <c r="S868" s="6" t="n">
        <v>0</v>
      </c>
      <c r="T868" s="5" t="n">
        <v>-9.58</v>
      </c>
      <c r="U868" s="3" t="str">
        <f aca="false">IF(T868&lt;0,"Loss",IF(T868=0,"Break-even","Profit"))</f>
        <v>Loss</v>
      </c>
      <c r="V868" s="3" t="str">
        <f aca="false">IF(Q868&lt;100,"Low",IF(Q868&lt;=500,"Medium","High"))</f>
        <v>Medium</v>
      </c>
      <c r="W868" s="3" t="n">
        <f aca="false">D868-C868</f>
        <v>7</v>
      </c>
      <c r="X868" s="3" t="str">
        <f aca="false">TEXT(C868,"mmmm")</f>
        <v>August</v>
      </c>
      <c r="Y868" s="3" t="str">
        <f aca="false">LEFT(G868,1)&amp;MID(G868,FIND(" ",G868)+1,1)</f>
        <v>MK</v>
      </c>
    </row>
    <row r="869" customFormat="false" ht="15" hidden="false" customHeight="false" outlineLevel="0" collapsed="false">
      <c r="A869" s="3" t="n">
        <v>868</v>
      </c>
      <c r="B869" s="3" t="s">
        <v>2254</v>
      </c>
      <c r="C869" s="4" t="s">
        <v>2255</v>
      </c>
      <c r="D869" s="4" t="s">
        <v>2253</v>
      </c>
      <c r="E869" s="3" t="s">
        <v>28</v>
      </c>
      <c r="F869" s="3" t="s">
        <v>637</v>
      </c>
      <c r="G869" s="3" t="s">
        <v>638</v>
      </c>
      <c r="H869" s="3" t="s">
        <v>45</v>
      </c>
      <c r="I869" s="3" t="s">
        <v>32</v>
      </c>
      <c r="J869" s="3" t="s">
        <v>67</v>
      </c>
      <c r="K869" s="3" t="s">
        <v>68</v>
      </c>
      <c r="L869" s="3" t="s">
        <v>69</v>
      </c>
      <c r="M869" s="3" t="s">
        <v>300</v>
      </c>
      <c r="N869" s="3" t="s">
        <v>49</v>
      </c>
      <c r="O869" s="3" t="s">
        <v>143</v>
      </c>
      <c r="P869" s="3" t="s">
        <v>301</v>
      </c>
      <c r="Q869" s="5" t="n">
        <v>174.01</v>
      </c>
      <c r="R869" s="3" t="n">
        <v>7</v>
      </c>
      <c r="S869" s="6" t="n">
        <v>0.3</v>
      </c>
      <c r="T869" s="5" t="n">
        <v>-24.49</v>
      </c>
      <c r="U869" s="3" t="str">
        <f aca="false">IF(T869&lt;0,"Loss",IF(T869=0,"Break-even","Profit"))</f>
        <v>Loss</v>
      </c>
      <c r="V869" s="3" t="str">
        <f aca="false">IF(Q869&lt;100,"Low",IF(Q869&lt;=500,"Medium","High"))</f>
        <v>Medium</v>
      </c>
      <c r="W869" s="3" t="n">
        <f aca="false">D869-C869</f>
        <v>3</v>
      </c>
      <c r="X869" s="3" t="str">
        <f aca="false">TEXT(C869,"mmmm")</f>
        <v>August</v>
      </c>
      <c r="Y869" s="3" t="str">
        <f aca="false">LEFT(G869,1)&amp;MID(G869,FIND(" ",G869)+1,1)</f>
        <v>JM</v>
      </c>
    </row>
    <row r="870" customFormat="false" ht="15" hidden="false" customHeight="false" outlineLevel="0" collapsed="false">
      <c r="A870" s="3" t="n">
        <v>869</v>
      </c>
      <c r="B870" s="3" t="s">
        <v>2256</v>
      </c>
      <c r="C870" s="4" t="s">
        <v>2255</v>
      </c>
      <c r="D870" s="4" t="s">
        <v>2257</v>
      </c>
      <c r="E870" s="3" t="s">
        <v>84</v>
      </c>
      <c r="F870" s="3" t="s">
        <v>1039</v>
      </c>
      <c r="G870" s="3" t="s">
        <v>1040</v>
      </c>
      <c r="H870" s="3" t="s">
        <v>56</v>
      </c>
      <c r="I870" s="3" t="s">
        <v>32</v>
      </c>
      <c r="J870" s="3" t="s">
        <v>476</v>
      </c>
      <c r="K870" s="3" t="s">
        <v>366</v>
      </c>
      <c r="L870" s="3" t="s">
        <v>157</v>
      </c>
      <c r="M870" s="3" t="s">
        <v>190</v>
      </c>
      <c r="N870" s="3" t="s">
        <v>49</v>
      </c>
      <c r="O870" s="3" t="s">
        <v>150</v>
      </c>
      <c r="P870" s="3" t="s">
        <v>191</v>
      </c>
      <c r="Q870" s="5" t="n">
        <v>796.6</v>
      </c>
      <c r="R870" s="3" t="n">
        <v>8</v>
      </c>
      <c r="S870" s="6" t="n">
        <v>0</v>
      </c>
      <c r="T870" s="5" t="n">
        <v>185.85</v>
      </c>
      <c r="U870" s="3" t="str">
        <f aca="false">IF(T870&lt;0,"Loss",IF(T870=0,"Break-even","Profit"))</f>
        <v>Profit</v>
      </c>
      <c r="V870" s="3" t="str">
        <f aca="false">IF(Q870&lt;100,"Low",IF(Q870&lt;=500,"Medium","High"))</f>
        <v>High</v>
      </c>
      <c r="W870" s="3" t="n">
        <f aca="false">D870-C870</f>
        <v>4</v>
      </c>
      <c r="X870" s="3" t="str">
        <f aca="false">TEXT(C870,"mmmm")</f>
        <v>August</v>
      </c>
      <c r="Y870" s="3" t="str">
        <f aca="false">LEFT(G870,1)&amp;MID(G870,FIND(" ",G870)+1,1)</f>
        <v>PS</v>
      </c>
    </row>
    <row r="871" customFormat="false" ht="15" hidden="false" customHeight="false" outlineLevel="0" collapsed="false">
      <c r="A871" s="3" t="n">
        <v>870</v>
      </c>
      <c r="B871" s="3" t="s">
        <v>2258</v>
      </c>
      <c r="C871" s="4" t="s">
        <v>2259</v>
      </c>
      <c r="D871" s="4" t="s">
        <v>2251</v>
      </c>
      <c r="E871" s="3" t="s">
        <v>28</v>
      </c>
      <c r="F871" s="3" t="s">
        <v>905</v>
      </c>
      <c r="G871" s="3" t="s">
        <v>906</v>
      </c>
      <c r="H871" s="3" t="s">
        <v>56</v>
      </c>
      <c r="I871" s="3" t="s">
        <v>32</v>
      </c>
      <c r="J871" s="3" t="s">
        <v>299</v>
      </c>
      <c r="K871" s="3" t="s">
        <v>189</v>
      </c>
      <c r="L871" s="3" t="s">
        <v>59</v>
      </c>
      <c r="M871" s="3" t="s">
        <v>60</v>
      </c>
      <c r="N871" s="3" t="s">
        <v>49</v>
      </c>
      <c r="O871" s="3" t="s">
        <v>61</v>
      </c>
      <c r="P871" s="3" t="s">
        <v>62</v>
      </c>
      <c r="Q871" s="5" t="n">
        <v>126.69</v>
      </c>
      <c r="R871" s="3" t="n">
        <v>5</v>
      </c>
      <c r="S871" s="6" t="n">
        <v>0</v>
      </c>
      <c r="T871" s="5" t="n">
        <v>12.91</v>
      </c>
      <c r="U871" s="3" t="str">
        <f aca="false">IF(T871&lt;0,"Loss",IF(T871=0,"Break-even","Profit"))</f>
        <v>Profit</v>
      </c>
      <c r="V871" s="3" t="str">
        <f aca="false">IF(Q871&lt;100,"Low",IF(Q871&lt;=500,"Medium","High"))</f>
        <v>Medium</v>
      </c>
      <c r="W871" s="3" t="n">
        <f aca="false">D871-C871</f>
        <v>5</v>
      </c>
      <c r="X871" s="3" t="str">
        <f aca="false">TEXT(C871,"mmmm")</f>
        <v>August</v>
      </c>
      <c r="Y871" s="3" t="str">
        <f aca="false">LEFT(G871,1)&amp;MID(G871,FIND(" ",G871)+1,1)</f>
        <v>SB</v>
      </c>
    </row>
    <row r="872" customFormat="false" ht="15" hidden="false" customHeight="false" outlineLevel="0" collapsed="false">
      <c r="A872" s="3" t="n">
        <v>871</v>
      </c>
      <c r="B872" s="3" t="s">
        <v>2260</v>
      </c>
      <c r="C872" s="4" t="s">
        <v>2253</v>
      </c>
      <c r="D872" s="4" t="s">
        <v>2251</v>
      </c>
      <c r="E872" s="3" t="s">
        <v>84</v>
      </c>
      <c r="F872" s="3" t="s">
        <v>568</v>
      </c>
      <c r="G872" s="3" t="s">
        <v>569</v>
      </c>
      <c r="H872" s="3" t="s">
        <v>56</v>
      </c>
      <c r="I872" s="3" t="s">
        <v>32</v>
      </c>
      <c r="J872" s="3" t="s">
        <v>243</v>
      </c>
      <c r="K872" s="3" t="s">
        <v>244</v>
      </c>
      <c r="L872" s="3" t="s">
        <v>157</v>
      </c>
      <c r="M872" s="3" t="s">
        <v>290</v>
      </c>
      <c r="N872" s="3" t="s">
        <v>37</v>
      </c>
      <c r="O872" s="3" t="s">
        <v>38</v>
      </c>
      <c r="P872" s="3" t="s">
        <v>291</v>
      </c>
      <c r="Q872" s="5" t="n">
        <v>1798.45</v>
      </c>
      <c r="R872" s="3" t="n">
        <v>3</v>
      </c>
      <c r="S872" s="6" t="n">
        <v>0.2</v>
      </c>
      <c r="T872" s="5" t="n">
        <v>-200.29</v>
      </c>
      <c r="U872" s="3" t="str">
        <f aca="false">IF(T872&lt;0,"Loss",IF(T872=0,"Break-even","Profit"))</f>
        <v>Loss</v>
      </c>
      <c r="V872" s="3" t="str">
        <f aca="false">IF(Q872&lt;100,"Low",IF(Q872&lt;=500,"Medium","High"))</f>
        <v>High</v>
      </c>
      <c r="W872" s="3" t="n">
        <f aca="false">D872-C872</f>
        <v>3</v>
      </c>
      <c r="X872" s="3" t="str">
        <f aca="false">TEXT(C872,"mmmm")</f>
        <v>August</v>
      </c>
      <c r="Y872" s="3" t="str">
        <f aca="false">LEFT(G872,1)&amp;MID(G872,FIND(" ",G872)+1,1)</f>
        <v>JT</v>
      </c>
    </row>
    <row r="873" customFormat="false" ht="15" hidden="false" customHeight="false" outlineLevel="0" collapsed="false">
      <c r="A873" s="3" t="n">
        <v>872</v>
      </c>
      <c r="B873" s="3" t="s">
        <v>1951</v>
      </c>
      <c r="C873" s="4" t="s">
        <v>2257</v>
      </c>
      <c r="D873" s="4" t="s">
        <v>2261</v>
      </c>
      <c r="E873" s="3" t="s">
        <v>84</v>
      </c>
      <c r="F873" s="3" t="s">
        <v>686</v>
      </c>
      <c r="G873" s="3" t="s">
        <v>687</v>
      </c>
      <c r="H873" s="3" t="s">
        <v>31</v>
      </c>
      <c r="I873" s="3" t="s">
        <v>32</v>
      </c>
      <c r="J873" s="3" t="s">
        <v>243</v>
      </c>
      <c r="K873" s="3" t="s">
        <v>244</v>
      </c>
      <c r="L873" s="3" t="s">
        <v>157</v>
      </c>
      <c r="M873" s="3" t="s">
        <v>127</v>
      </c>
      <c r="N873" s="3" t="s">
        <v>49</v>
      </c>
      <c r="O873" s="3" t="s">
        <v>61</v>
      </c>
      <c r="P873" s="3" t="s">
        <v>128</v>
      </c>
      <c r="Q873" s="5" t="n">
        <v>1432.93</v>
      </c>
      <c r="R873" s="3" t="n">
        <v>13</v>
      </c>
      <c r="S873" s="6" t="n">
        <v>0</v>
      </c>
      <c r="T873" s="5" t="n">
        <v>-238.99</v>
      </c>
      <c r="U873" s="3" t="str">
        <f aca="false">IF(T873&lt;0,"Loss",IF(T873=0,"Break-even","Profit"))</f>
        <v>Loss</v>
      </c>
      <c r="V873" s="3" t="str">
        <f aca="false">IF(Q873&lt;100,"Low",IF(Q873&lt;=500,"Medium","High"))</f>
        <v>High</v>
      </c>
      <c r="W873" s="3" t="n">
        <f aca="false">D873-C873</f>
        <v>3</v>
      </c>
      <c r="X873" s="3" t="str">
        <f aca="false">TEXT(C873,"mmmm")</f>
        <v>September</v>
      </c>
      <c r="Y873" s="3" t="str">
        <f aca="false">LEFT(G873,1)&amp;MID(G873,FIND(" ",G873)+1,1)</f>
        <v>EN</v>
      </c>
    </row>
    <row r="874" customFormat="false" ht="15" hidden="false" customHeight="false" outlineLevel="0" collapsed="false">
      <c r="A874" s="3" t="n">
        <v>873</v>
      </c>
      <c r="B874" s="3" t="s">
        <v>1793</v>
      </c>
      <c r="C874" s="4" t="s">
        <v>2257</v>
      </c>
      <c r="D874" s="4" t="s">
        <v>2257</v>
      </c>
      <c r="E874" s="3" t="s">
        <v>53</v>
      </c>
      <c r="F874" s="3" t="s">
        <v>2088</v>
      </c>
      <c r="G874" s="3" t="s">
        <v>2089</v>
      </c>
      <c r="H874" s="3" t="s">
        <v>56</v>
      </c>
      <c r="I874" s="3" t="s">
        <v>32</v>
      </c>
      <c r="J874" s="3" t="s">
        <v>67</v>
      </c>
      <c r="K874" s="3" t="s">
        <v>68</v>
      </c>
      <c r="L874" s="3" t="s">
        <v>69</v>
      </c>
      <c r="M874" s="3" t="s">
        <v>225</v>
      </c>
      <c r="N874" s="3" t="s">
        <v>37</v>
      </c>
      <c r="O874" s="3" t="s">
        <v>196</v>
      </c>
      <c r="P874" s="3" t="s">
        <v>226</v>
      </c>
      <c r="Q874" s="5" t="n">
        <v>8310.15</v>
      </c>
      <c r="R874" s="3" t="n">
        <v>8</v>
      </c>
      <c r="S874" s="6" t="n">
        <v>0.3</v>
      </c>
      <c r="T874" s="5" t="n">
        <v>1637.21</v>
      </c>
      <c r="U874" s="3" t="str">
        <f aca="false">IF(T874&lt;0,"Loss",IF(T874=0,"Break-even","Profit"))</f>
        <v>Profit</v>
      </c>
      <c r="V874" s="3" t="str">
        <f aca="false">IF(Q874&lt;100,"Low",IF(Q874&lt;=500,"Medium","High"))</f>
        <v>High</v>
      </c>
      <c r="W874" s="3" t="n">
        <f aca="false">D874-C874</f>
        <v>0</v>
      </c>
      <c r="X874" s="3" t="str">
        <f aca="false">TEXT(C874,"mmmm")</f>
        <v>September</v>
      </c>
      <c r="Y874" s="3" t="str">
        <f aca="false">LEFT(G874,1)&amp;MID(G874,FIND(" ",G874)+1,1)</f>
        <v>AS</v>
      </c>
    </row>
    <row r="875" customFormat="false" ht="15" hidden="false" customHeight="false" outlineLevel="0" collapsed="false">
      <c r="A875" s="3" t="n">
        <v>874</v>
      </c>
      <c r="B875" s="3" t="s">
        <v>2262</v>
      </c>
      <c r="C875" s="4" t="s">
        <v>2251</v>
      </c>
      <c r="D875" s="4" t="s">
        <v>2263</v>
      </c>
      <c r="E875" s="3" t="s">
        <v>28</v>
      </c>
      <c r="F875" s="3" t="s">
        <v>85</v>
      </c>
      <c r="G875" s="3" t="s">
        <v>86</v>
      </c>
      <c r="H875" s="3" t="s">
        <v>45</v>
      </c>
      <c r="I875" s="3" t="s">
        <v>32</v>
      </c>
      <c r="J875" s="3" t="s">
        <v>306</v>
      </c>
      <c r="K875" s="3" t="s">
        <v>307</v>
      </c>
      <c r="L875" s="3" t="s">
        <v>69</v>
      </c>
      <c r="M875" s="3" t="s">
        <v>48</v>
      </c>
      <c r="N875" s="3" t="s">
        <v>49</v>
      </c>
      <c r="O875" s="3" t="s">
        <v>50</v>
      </c>
      <c r="P875" s="3" t="s">
        <v>51</v>
      </c>
      <c r="Q875" s="5" t="n">
        <v>289.72</v>
      </c>
      <c r="R875" s="3" t="n">
        <v>3</v>
      </c>
      <c r="S875" s="6" t="n">
        <v>0</v>
      </c>
      <c r="T875" s="5" t="n">
        <v>12.2</v>
      </c>
      <c r="U875" s="3" t="str">
        <f aca="false">IF(T875&lt;0,"Loss",IF(T875=0,"Break-even","Profit"))</f>
        <v>Profit</v>
      </c>
      <c r="V875" s="3" t="str">
        <f aca="false">IF(Q875&lt;100,"Low",IF(Q875&lt;=500,"Medium","High"))</f>
        <v>Medium</v>
      </c>
      <c r="W875" s="3" t="n">
        <f aca="false">D875-C875</f>
        <v>7</v>
      </c>
      <c r="X875" s="3" t="str">
        <f aca="false">TEXT(C875,"mmmm")</f>
        <v>September</v>
      </c>
      <c r="Y875" s="3" t="str">
        <f aca="false">LEFT(G875,1)&amp;MID(G875,FIND(" ",G875)+1,1)</f>
        <v>WG</v>
      </c>
    </row>
    <row r="876" customFormat="false" ht="15" hidden="false" customHeight="false" outlineLevel="0" collapsed="false">
      <c r="A876" s="3" t="n">
        <v>875</v>
      </c>
      <c r="B876" s="3" t="s">
        <v>2264</v>
      </c>
      <c r="C876" s="4" t="s">
        <v>2261</v>
      </c>
      <c r="D876" s="4" t="s">
        <v>2265</v>
      </c>
      <c r="E876" s="3" t="s">
        <v>28</v>
      </c>
      <c r="F876" s="3" t="s">
        <v>1174</v>
      </c>
      <c r="G876" s="3" t="s">
        <v>1175</v>
      </c>
      <c r="H876" s="3" t="s">
        <v>45</v>
      </c>
      <c r="I876" s="3" t="s">
        <v>32</v>
      </c>
      <c r="J876" s="3" t="s">
        <v>201</v>
      </c>
      <c r="K876" s="3" t="s">
        <v>202</v>
      </c>
      <c r="L876" s="3" t="s">
        <v>35</v>
      </c>
      <c r="M876" s="3" t="s">
        <v>300</v>
      </c>
      <c r="N876" s="3" t="s">
        <v>49</v>
      </c>
      <c r="O876" s="3" t="s">
        <v>143</v>
      </c>
      <c r="P876" s="3" t="s">
        <v>301</v>
      </c>
      <c r="Q876" s="5" t="n">
        <v>303.98</v>
      </c>
      <c r="R876" s="3" t="n">
        <v>11</v>
      </c>
      <c r="S876" s="6" t="n">
        <v>0</v>
      </c>
      <c r="T876" s="5" t="n">
        <v>-53.53</v>
      </c>
      <c r="U876" s="3" t="str">
        <f aca="false">IF(T876&lt;0,"Loss",IF(T876=0,"Break-even","Profit"))</f>
        <v>Loss</v>
      </c>
      <c r="V876" s="3" t="str">
        <f aca="false">IF(Q876&lt;100,"Low",IF(Q876&lt;=500,"Medium","High"))</f>
        <v>Medium</v>
      </c>
      <c r="W876" s="3" t="n">
        <f aca="false">D876-C876</f>
        <v>4</v>
      </c>
      <c r="X876" s="3" t="str">
        <f aca="false">TEXT(C876,"mmmm")</f>
        <v>September</v>
      </c>
      <c r="Y876" s="3" t="str">
        <f aca="false">LEFT(G876,1)&amp;MID(G876,FIND(" ",G876)+1,1)</f>
        <v>AB</v>
      </c>
    </row>
    <row r="877" customFormat="false" ht="15" hidden="false" customHeight="false" outlineLevel="0" collapsed="false">
      <c r="A877" s="3" t="n">
        <v>876</v>
      </c>
      <c r="B877" s="3" t="s">
        <v>2266</v>
      </c>
      <c r="C877" s="4" t="s">
        <v>2267</v>
      </c>
      <c r="D877" s="4" t="s">
        <v>2268</v>
      </c>
      <c r="E877" s="3" t="s">
        <v>28</v>
      </c>
      <c r="F877" s="3" t="s">
        <v>75</v>
      </c>
      <c r="G877" s="3" t="s">
        <v>76</v>
      </c>
      <c r="H877" s="3" t="s">
        <v>45</v>
      </c>
      <c r="I877" s="3" t="s">
        <v>32</v>
      </c>
      <c r="J877" s="3" t="s">
        <v>548</v>
      </c>
      <c r="K877" s="3" t="s">
        <v>244</v>
      </c>
      <c r="L877" s="3" t="s">
        <v>157</v>
      </c>
      <c r="M877" s="3" t="s">
        <v>121</v>
      </c>
      <c r="N877" s="3" t="s">
        <v>49</v>
      </c>
      <c r="O877" s="3" t="s">
        <v>50</v>
      </c>
      <c r="P877" s="3" t="s">
        <v>122</v>
      </c>
      <c r="Q877" s="5" t="n">
        <v>631.26</v>
      </c>
      <c r="R877" s="3" t="n">
        <v>6</v>
      </c>
      <c r="S877" s="6" t="n">
        <v>0</v>
      </c>
      <c r="T877" s="5" t="n">
        <v>-73.96</v>
      </c>
      <c r="U877" s="3" t="str">
        <f aca="false">IF(T877&lt;0,"Loss",IF(T877=0,"Break-even","Profit"))</f>
        <v>Loss</v>
      </c>
      <c r="V877" s="3" t="str">
        <f aca="false">IF(Q877&lt;100,"Low",IF(Q877&lt;=500,"Medium","High"))</f>
        <v>High</v>
      </c>
      <c r="W877" s="3" t="n">
        <f aca="false">D877-C877</f>
        <v>7</v>
      </c>
      <c r="X877" s="3" t="str">
        <f aca="false">TEXT(C877,"mmmm")</f>
        <v>September</v>
      </c>
      <c r="Y877" s="3" t="str">
        <f aca="false">LEFT(G877,1)&amp;MID(G877,FIND(" ",G877)+1,1)</f>
        <v>LM</v>
      </c>
    </row>
    <row r="878" customFormat="false" ht="15" hidden="false" customHeight="false" outlineLevel="0" collapsed="false">
      <c r="A878" s="3" t="n">
        <v>877</v>
      </c>
      <c r="B878" s="3" t="s">
        <v>2269</v>
      </c>
      <c r="C878" s="4" t="s">
        <v>2267</v>
      </c>
      <c r="D878" s="4" t="s">
        <v>2270</v>
      </c>
      <c r="E878" s="3" t="s">
        <v>42</v>
      </c>
      <c r="F878" s="3" t="s">
        <v>912</v>
      </c>
      <c r="G878" s="3" t="s">
        <v>913</v>
      </c>
      <c r="H878" s="3" t="s">
        <v>45</v>
      </c>
      <c r="I878" s="3" t="s">
        <v>32</v>
      </c>
      <c r="J878" s="3" t="s">
        <v>67</v>
      </c>
      <c r="K878" s="3" t="s">
        <v>68</v>
      </c>
      <c r="L878" s="3" t="s">
        <v>69</v>
      </c>
      <c r="M878" s="3" t="s">
        <v>97</v>
      </c>
      <c r="N878" s="3" t="s">
        <v>89</v>
      </c>
      <c r="O878" s="3" t="s">
        <v>90</v>
      </c>
      <c r="P878" s="3" t="s">
        <v>98</v>
      </c>
      <c r="Q878" s="5" t="n">
        <v>1394.8</v>
      </c>
      <c r="R878" s="3" t="n">
        <v>2</v>
      </c>
      <c r="S878" s="6" t="n">
        <v>0</v>
      </c>
      <c r="T878" s="5" t="n">
        <v>-156.84</v>
      </c>
      <c r="U878" s="3" t="str">
        <f aca="false">IF(T878&lt;0,"Loss",IF(T878=0,"Break-even","Profit"))</f>
        <v>Loss</v>
      </c>
      <c r="V878" s="3" t="str">
        <f aca="false">IF(Q878&lt;100,"Low",IF(Q878&lt;=500,"Medium","High"))</f>
        <v>High</v>
      </c>
      <c r="W878" s="3" t="n">
        <f aca="false">D878-C878</f>
        <v>2</v>
      </c>
      <c r="X878" s="3" t="str">
        <f aca="false">TEXT(C878,"mmmm")</f>
        <v>September</v>
      </c>
      <c r="Y878" s="3" t="str">
        <f aca="false">LEFT(G878,1)&amp;MID(G878,FIND(" ",G878)+1,1)</f>
        <v>AB</v>
      </c>
    </row>
    <row r="879" customFormat="false" ht="15" hidden="false" customHeight="false" outlineLevel="0" collapsed="false">
      <c r="A879" s="3" t="n">
        <v>878</v>
      </c>
      <c r="B879" s="3" t="s">
        <v>2271</v>
      </c>
      <c r="C879" s="4" t="s">
        <v>2267</v>
      </c>
      <c r="D879" s="4" t="s">
        <v>2263</v>
      </c>
      <c r="E879" s="3" t="s">
        <v>28</v>
      </c>
      <c r="F879" s="3" t="s">
        <v>368</v>
      </c>
      <c r="G879" s="3" t="s">
        <v>369</v>
      </c>
      <c r="H879" s="3" t="s">
        <v>56</v>
      </c>
      <c r="I879" s="3" t="s">
        <v>32</v>
      </c>
      <c r="J879" s="3" t="s">
        <v>365</v>
      </c>
      <c r="K879" s="3" t="s">
        <v>366</v>
      </c>
      <c r="L879" s="3" t="s">
        <v>157</v>
      </c>
      <c r="M879" s="3" t="s">
        <v>334</v>
      </c>
      <c r="N879" s="3" t="s">
        <v>37</v>
      </c>
      <c r="O879" s="3" t="s">
        <v>136</v>
      </c>
      <c r="P879" s="3" t="s">
        <v>335</v>
      </c>
      <c r="Q879" s="5" t="n">
        <v>6357.33</v>
      </c>
      <c r="R879" s="3" t="n">
        <v>8</v>
      </c>
      <c r="S879" s="6" t="n">
        <v>0</v>
      </c>
      <c r="T879" s="5" t="n">
        <v>1940.11</v>
      </c>
      <c r="U879" s="3" t="str">
        <f aca="false">IF(T879&lt;0,"Loss",IF(T879=0,"Break-even","Profit"))</f>
        <v>Profit</v>
      </c>
      <c r="V879" s="3" t="str">
        <f aca="false">IF(Q879&lt;100,"Low",IF(Q879&lt;=500,"Medium","High"))</f>
        <v>High</v>
      </c>
      <c r="W879" s="3" t="n">
        <f aca="false">D879-C879</f>
        <v>5</v>
      </c>
      <c r="X879" s="3" t="str">
        <f aca="false">TEXT(C879,"mmmm")</f>
        <v>September</v>
      </c>
      <c r="Y879" s="3" t="str">
        <f aca="false">LEFT(G879,1)&amp;MID(G879,FIND(" ",G879)+1,1)</f>
        <v>AS</v>
      </c>
    </row>
    <row r="880" customFormat="false" ht="15" hidden="false" customHeight="false" outlineLevel="0" collapsed="false">
      <c r="A880" s="3" t="n">
        <v>879</v>
      </c>
      <c r="B880" s="3" t="s">
        <v>2272</v>
      </c>
      <c r="C880" s="4" t="s">
        <v>2273</v>
      </c>
      <c r="D880" s="4" t="s">
        <v>2263</v>
      </c>
      <c r="E880" s="3" t="s">
        <v>84</v>
      </c>
      <c r="F880" s="3" t="s">
        <v>186</v>
      </c>
      <c r="G880" s="3" t="s">
        <v>187</v>
      </c>
      <c r="H880" s="3" t="s">
        <v>31</v>
      </c>
      <c r="I880" s="3" t="s">
        <v>32</v>
      </c>
      <c r="J880" s="3" t="s">
        <v>299</v>
      </c>
      <c r="K880" s="3" t="s">
        <v>189</v>
      </c>
      <c r="L880" s="3" t="s">
        <v>59</v>
      </c>
      <c r="M880" s="3" t="s">
        <v>105</v>
      </c>
      <c r="N880" s="3" t="s">
        <v>49</v>
      </c>
      <c r="O880" s="3" t="s">
        <v>106</v>
      </c>
      <c r="P880" s="3" t="s">
        <v>107</v>
      </c>
      <c r="Q880" s="5" t="n">
        <v>254.18</v>
      </c>
      <c r="R880" s="3" t="n">
        <v>8</v>
      </c>
      <c r="S880" s="6" t="n">
        <v>0.5</v>
      </c>
      <c r="T880" s="5" t="n">
        <v>-38.98</v>
      </c>
      <c r="U880" s="3" t="str">
        <f aca="false">IF(T880&lt;0,"Loss",IF(T880=0,"Break-even","Profit"))</f>
        <v>Loss</v>
      </c>
      <c r="V880" s="3" t="str">
        <f aca="false">IF(Q880&lt;100,"Low",IF(Q880&lt;=500,"Medium","High"))</f>
        <v>Medium</v>
      </c>
      <c r="W880" s="3" t="n">
        <f aca="false">D880-C880</f>
        <v>4</v>
      </c>
      <c r="X880" s="3" t="str">
        <f aca="false">TEXT(C880,"mmmm")</f>
        <v>September</v>
      </c>
      <c r="Y880" s="3" t="str">
        <f aca="false">LEFT(G880,1)&amp;MID(G880,FIND(" ",G880)+1,1)</f>
        <v>PW</v>
      </c>
    </row>
    <row r="881" customFormat="false" ht="15" hidden="false" customHeight="false" outlineLevel="0" collapsed="false">
      <c r="A881" s="3" t="n">
        <v>880</v>
      </c>
      <c r="B881" s="3" t="s">
        <v>1770</v>
      </c>
      <c r="C881" s="4" t="s">
        <v>2273</v>
      </c>
      <c r="D881" s="4" t="s">
        <v>2265</v>
      </c>
      <c r="E881" s="3" t="s">
        <v>42</v>
      </c>
      <c r="F881" s="3" t="s">
        <v>1134</v>
      </c>
      <c r="G881" s="3" t="s">
        <v>1135</v>
      </c>
      <c r="H881" s="3" t="s">
        <v>45</v>
      </c>
      <c r="I881" s="3" t="s">
        <v>32</v>
      </c>
      <c r="J881" s="3" t="s">
        <v>252</v>
      </c>
      <c r="K881" s="3" t="s">
        <v>172</v>
      </c>
      <c r="L881" s="3" t="s">
        <v>157</v>
      </c>
      <c r="M881" s="3" t="s">
        <v>461</v>
      </c>
      <c r="N881" s="3" t="s">
        <v>37</v>
      </c>
      <c r="O881" s="3" t="s">
        <v>71</v>
      </c>
      <c r="P881" s="3" t="s">
        <v>462</v>
      </c>
      <c r="Q881" s="5" t="n">
        <v>9127.98</v>
      </c>
      <c r="R881" s="3" t="n">
        <v>13</v>
      </c>
      <c r="S881" s="6" t="n">
        <v>0.2</v>
      </c>
      <c r="T881" s="5" t="n">
        <v>2812.81</v>
      </c>
      <c r="U881" s="3" t="str">
        <f aca="false">IF(T881&lt;0,"Loss",IF(T881=0,"Break-even","Profit"))</f>
        <v>Profit</v>
      </c>
      <c r="V881" s="3" t="str">
        <f aca="false">IF(Q881&lt;100,"Low",IF(Q881&lt;=500,"Medium","High"))</f>
        <v>High</v>
      </c>
      <c r="W881" s="3" t="n">
        <f aca="false">D881-C881</f>
        <v>2</v>
      </c>
      <c r="X881" s="3" t="str">
        <f aca="false">TEXT(C881,"mmmm")</f>
        <v>September</v>
      </c>
      <c r="Y881" s="3" t="str">
        <f aca="false">LEFT(G881,1)&amp;MID(G881,FIND(" ",G881)+1,1)</f>
        <v>JM</v>
      </c>
    </row>
    <row r="882" customFormat="false" ht="15" hidden="false" customHeight="false" outlineLevel="0" collapsed="false">
      <c r="A882" s="3" t="n">
        <v>881</v>
      </c>
      <c r="B882" s="3" t="s">
        <v>2274</v>
      </c>
      <c r="C882" s="4" t="s">
        <v>2273</v>
      </c>
      <c r="D882" s="4" t="s">
        <v>2263</v>
      </c>
      <c r="E882" s="3" t="s">
        <v>84</v>
      </c>
      <c r="F882" s="3" t="s">
        <v>2275</v>
      </c>
      <c r="G882" s="3" t="s">
        <v>2276</v>
      </c>
      <c r="H882" s="3" t="s">
        <v>56</v>
      </c>
      <c r="I882" s="3" t="s">
        <v>32</v>
      </c>
      <c r="J882" s="3" t="s">
        <v>548</v>
      </c>
      <c r="K882" s="3" t="s">
        <v>244</v>
      </c>
      <c r="L882" s="3" t="s">
        <v>157</v>
      </c>
      <c r="M882" s="3" t="s">
        <v>158</v>
      </c>
      <c r="N882" s="3" t="s">
        <v>49</v>
      </c>
      <c r="O882" s="3" t="s">
        <v>159</v>
      </c>
      <c r="P882" s="3" t="s">
        <v>160</v>
      </c>
      <c r="Q882" s="5" t="n">
        <v>29.16</v>
      </c>
      <c r="R882" s="3" t="n">
        <v>2</v>
      </c>
      <c r="S882" s="6" t="n">
        <v>0.1</v>
      </c>
      <c r="T882" s="5" t="n">
        <v>8.26</v>
      </c>
      <c r="U882" s="3" t="str">
        <f aca="false">IF(T882&lt;0,"Loss",IF(T882=0,"Break-even","Profit"))</f>
        <v>Profit</v>
      </c>
      <c r="V882" s="3" t="str">
        <f aca="false">IF(Q882&lt;100,"Low",IF(Q882&lt;=500,"Medium","High"))</f>
        <v>Low</v>
      </c>
      <c r="W882" s="3" t="n">
        <f aca="false">D882-C882</f>
        <v>4</v>
      </c>
      <c r="X882" s="3" t="str">
        <f aca="false">TEXT(C882,"mmmm")</f>
        <v>September</v>
      </c>
      <c r="Y882" s="3" t="str">
        <f aca="false">LEFT(G882,1)&amp;MID(G882,FIND(" ",G882)+1,1)</f>
        <v>JB</v>
      </c>
    </row>
    <row r="883" customFormat="false" ht="15" hidden="false" customHeight="false" outlineLevel="0" collapsed="false">
      <c r="A883" s="3" t="n">
        <v>882</v>
      </c>
      <c r="B883" s="3" t="s">
        <v>2277</v>
      </c>
      <c r="C883" s="4" t="s">
        <v>2273</v>
      </c>
      <c r="D883" s="4" t="s">
        <v>2263</v>
      </c>
      <c r="E883" s="3" t="s">
        <v>28</v>
      </c>
      <c r="F883" s="3" t="s">
        <v>891</v>
      </c>
      <c r="G883" s="3" t="s">
        <v>892</v>
      </c>
      <c r="H883" s="3" t="s">
        <v>31</v>
      </c>
      <c r="I883" s="3" t="s">
        <v>32</v>
      </c>
      <c r="J883" s="3" t="s">
        <v>299</v>
      </c>
      <c r="K883" s="3" t="s">
        <v>189</v>
      </c>
      <c r="L883" s="3" t="s">
        <v>59</v>
      </c>
      <c r="M883" s="3" t="s">
        <v>195</v>
      </c>
      <c r="N883" s="3" t="s">
        <v>37</v>
      </c>
      <c r="O883" s="3" t="s">
        <v>196</v>
      </c>
      <c r="P883" s="3" t="s">
        <v>197</v>
      </c>
      <c r="Q883" s="5" t="n">
        <v>9533.58</v>
      </c>
      <c r="R883" s="3" t="n">
        <v>6</v>
      </c>
      <c r="S883" s="6" t="n">
        <v>0</v>
      </c>
      <c r="T883" s="5" t="n">
        <v>967.3</v>
      </c>
      <c r="U883" s="3" t="str">
        <f aca="false">IF(T883&lt;0,"Loss",IF(T883=0,"Break-even","Profit"))</f>
        <v>Profit</v>
      </c>
      <c r="V883" s="3" t="str">
        <f aca="false">IF(Q883&lt;100,"Low",IF(Q883&lt;=500,"Medium","High"))</f>
        <v>High</v>
      </c>
      <c r="W883" s="3" t="n">
        <f aca="false">D883-C883</f>
        <v>4</v>
      </c>
      <c r="X883" s="3" t="str">
        <f aca="false">TEXT(C883,"mmmm")</f>
        <v>September</v>
      </c>
      <c r="Y883" s="3" t="str">
        <f aca="false">LEFT(G883,1)&amp;MID(G883,FIND(" ",G883)+1,1)</f>
        <v>MB</v>
      </c>
    </row>
    <row r="884" customFormat="false" ht="15" hidden="false" customHeight="false" outlineLevel="0" collapsed="false">
      <c r="A884" s="3" t="n">
        <v>883</v>
      </c>
      <c r="B884" s="3" t="s">
        <v>2278</v>
      </c>
      <c r="C884" s="4" t="s">
        <v>2270</v>
      </c>
      <c r="D884" s="4" t="s">
        <v>2270</v>
      </c>
      <c r="E884" s="3" t="s">
        <v>53</v>
      </c>
      <c r="F884" s="3" t="s">
        <v>887</v>
      </c>
      <c r="G884" s="3" t="s">
        <v>888</v>
      </c>
      <c r="H884" s="3" t="s">
        <v>45</v>
      </c>
      <c r="I884" s="3" t="s">
        <v>32</v>
      </c>
      <c r="J884" s="3" t="s">
        <v>57</v>
      </c>
      <c r="K884" s="3" t="s">
        <v>58</v>
      </c>
      <c r="L884" s="3" t="s">
        <v>59</v>
      </c>
      <c r="M884" s="3" t="s">
        <v>209</v>
      </c>
      <c r="N884" s="3" t="s">
        <v>49</v>
      </c>
      <c r="O884" s="3" t="s">
        <v>106</v>
      </c>
      <c r="P884" s="3" t="s">
        <v>210</v>
      </c>
      <c r="Q884" s="5" t="n">
        <v>85.05</v>
      </c>
      <c r="R884" s="3" t="n">
        <v>9</v>
      </c>
      <c r="S884" s="6" t="n">
        <v>0.1</v>
      </c>
      <c r="T884" s="5" t="n">
        <v>16.87</v>
      </c>
      <c r="U884" s="3" t="str">
        <f aca="false">IF(T884&lt;0,"Loss",IF(T884=0,"Break-even","Profit"))</f>
        <v>Profit</v>
      </c>
      <c r="V884" s="3" t="str">
        <f aca="false">IF(Q884&lt;100,"Low",IF(Q884&lt;=500,"Medium","High"))</f>
        <v>Low</v>
      </c>
      <c r="W884" s="3" t="n">
        <f aca="false">D884-C884</f>
        <v>0</v>
      </c>
      <c r="X884" s="3" t="str">
        <f aca="false">TEXT(C884,"mmmm")</f>
        <v>September</v>
      </c>
      <c r="Y884" s="3" t="str">
        <f aca="false">LEFT(G884,1)&amp;MID(G884,FIND(" ",G884)+1,1)</f>
        <v>PJ</v>
      </c>
    </row>
    <row r="885" customFormat="false" ht="15" hidden="false" customHeight="false" outlineLevel="0" collapsed="false">
      <c r="A885" s="3" t="n">
        <v>884</v>
      </c>
      <c r="B885" s="3" t="s">
        <v>1580</v>
      </c>
      <c r="C885" s="4" t="s">
        <v>2270</v>
      </c>
      <c r="D885" s="4" t="s">
        <v>2279</v>
      </c>
      <c r="E885" s="3" t="s">
        <v>42</v>
      </c>
      <c r="F885" s="3" t="s">
        <v>1754</v>
      </c>
      <c r="G885" s="3" t="s">
        <v>1755</v>
      </c>
      <c r="H885" s="3" t="s">
        <v>56</v>
      </c>
      <c r="I885" s="3" t="s">
        <v>32</v>
      </c>
      <c r="J885" s="3" t="s">
        <v>415</v>
      </c>
      <c r="K885" s="3" t="s">
        <v>202</v>
      </c>
      <c r="L885" s="3" t="s">
        <v>35</v>
      </c>
      <c r="M885" s="3" t="s">
        <v>209</v>
      </c>
      <c r="N885" s="3" t="s">
        <v>49</v>
      </c>
      <c r="O885" s="3" t="s">
        <v>106</v>
      </c>
      <c r="P885" s="3" t="s">
        <v>210</v>
      </c>
      <c r="Q885" s="5" t="n">
        <v>69.89</v>
      </c>
      <c r="R885" s="3" t="n">
        <v>6</v>
      </c>
      <c r="S885" s="6" t="n">
        <v>0</v>
      </c>
      <c r="T885" s="5" t="n">
        <v>10.27</v>
      </c>
      <c r="U885" s="3" t="str">
        <f aca="false">IF(T885&lt;0,"Loss",IF(T885=0,"Break-even","Profit"))</f>
        <v>Profit</v>
      </c>
      <c r="V885" s="3" t="str">
        <f aca="false">IF(Q885&lt;100,"Low",IF(Q885&lt;=500,"Medium","High"))</f>
        <v>Low</v>
      </c>
      <c r="W885" s="3" t="n">
        <f aca="false">D885-C885</f>
        <v>2</v>
      </c>
      <c r="X885" s="3" t="str">
        <f aca="false">TEXT(C885,"mmmm")</f>
        <v>September</v>
      </c>
      <c r="Y885" s="3" t="str">
        <f aca="false">LEFT(G885,1)&amp;MID(G885,FIND(" ",G885)+1,1)</f>
        <v>LR</v>
      </c>
    </row>
    <row r="886" customFormat="false" ht="15" hidden="false" customHeight="false" outlineLevel="0" collapsed="false">
      <c r="A886" s="3" t="n">
        <v>885</v>
      </c>
      <c r="B886" s="3" t="s">
        <v>2280</v>
      </c>
      <c r="C886" s="4" t="s">
        <v>2270</v>
      </c>
      <c r="D886" s="4" t="s">
        <v>2279</v>
      </c>
      <c r="E886" s="3" t="s">
        <v>42</v>
      </c>
      <c r="F886" s="3" t="s">
        <v>602</v>
      </c>
      <c r="G886" s="3" t="s">
        <v>603</v>
      </c>
      <c r="H886" s="3" t="s">
        <v>45</v>
      </c>
      <c r="I886" s="3" t="s">
        <v>32</v>
      </c>
      <c r="J886" s="3" t="s">
        <v>252</v>
      </c>
      <c r="K886" s="3" t="s">
        <v>172</v>
      </c>
      <c r="L886" s="3" t="s">
        <v>157</v>
      </c>
      <c r="M886" s="3" t="s">
        <v>300</v>
      </c>
      <c r="N886" s="3" t="s">
        <v>49</v>
      </c>
      <c r="O886" s="3" t="s">
        <v>143</v>
      </c>
      <c r="P886" s="3" t="s">
        <v>301</v>
      </c>
      <c r="Q886" s="5" t="n">
        <v>892.33</v>
      </c>
      <c r="R886" s="3" t="n">
        <v>11</v>
      </c>
      <c r="S886" s="6" t="n">
        <v>0.2</v>
      </c>
      <c r="T886" s="5" t="n">
        <v>-191.88</v>
      </c>
      <c r="U886" s="3" t="str">
        <f aca="false">IF(T886&lt;0,"Loss",IF(T886=0,"Break-even","Profit"))</f>
        <v>Loss</v>
      </c>
      <c r="V886" s="3" t="str">
        <f aca="false">IF(Q886&lt;100,"Low",IF(Q886&lt;=500,"Medium","High"))</f>
        <v>High</v>
      </c>
      <c r="W886" s="3" t="n">
        <f aca="false">D886-C886</f>
        <v>2</v>
      </c>
      <c r="X886" s="3" t="str">
        <f aca="false">TEXT(C886,"mmmm")</f>
        <v>September</v>
      </c>
      <c r="Y886" s="3" t="str">
        <f aca="false">LEFT(G886,1)&amp;MID(G886,FIND(" ",G886)+1,1)</f>
        <v>SR</v>
      </c>
    </row>
    <row r="887" customFormat="false" ht="15" hidden="false" customHeight="false" outlineLevel="0" collapsed="false">
      <c r="A887" s="3" t="n">
        <v>886</v>
      </c>
      <c r="B887" s="3" t="s">
        <v>2281</v>
      </c>
      <c r="C887" s="4" t="s">
        <v>2265</v>
      </c>
      <c r="D887" s="4" t="s">
        <v>2268</v>
      </c>
      <c r="E887" s="3" t="s">
        <v>28</v>
      </c>
      <c r="F887" s="3" t="s">
        <v>1652</v>
      </c>
      <c r="G887" s="3" t="s">
        <v>1653</v>
      </c>
      <c r="H887" s="3" t="s">
        <v>56</v>
      </c>
      <c r="I887" s="3" t="s">
        <v>32</v>
      </c>
      <c r="J887" s="3" t="s">
        <v>737</v>
      </c>
      <c r="K887" s="3" t="s">
        <v>307</v>
      </c>
      <c r="L887" s="3" t="s">
        <v>69</v>
      </c>
      <c r="M887" s="3" t="s">
        <v>461</v>
      </c>
      <c r="N887" s="3" t="s">
        <v>37</v>
      </c>
      <c r="O887" s="3" t="s">
        <v>71</v>
      </c>
      <c r="P887" s="3" t="s">
        <v>462</v>
      </c>
      <c r="Q887" s="5" t="n">
        <v>1056.45</v>
      </c>
      <c r="R887" s="3" t="n">
        <v>1</v>
      </c>
      <c r="S887" s="6" t="n">
        <v>0.5</v>
      </c>
      <c r="T887" s="5" t="n">
        <v>-69.04</v>
      </c>
      <c r="U887" s="3" t="str">
        <f aca="false">IF(T887&lt;0,"Loss",IF(T887=0,"Break-even","Profit"))</f>
        <v>Loss</v>
      </c>
      <c r="V887" s="3" t="str">
        <f aca="false">IF(Q887&lt;100,"Low",IF(Q887&lt;=500,"Medium","High"))</f>
        <v>High</v>
      </c>
      <c r="W887" s="3" t="n">
        <f aca="false">D887-C887</f>
        <v>4</v>
      </c>
      <c r="X887" s="3" t="str">
        <f aca="false">TEXT(C887,"mmmm")</f>
        <v>September</v>
      </c>
      <c r="Y887" s="3" t="str">
        <f aca="false">LEFT(G887,1)&amp;MID(G887,FIND(" ",G887)+1,1)</f>
        <v>MR</v>
      </c>
    </row>
    <row r="888" customFormat="false" ht="15" hidden="false" customHeight="false" outlineLevel="0" collapsed="false">
      <c r="A888" s="3" t="n">
        <v>887</v>
      </c>
      <c r="B888" s="3" t="s">
        <v>2044</v>
      </c>
      <c r="C888" s="4" t="s">
        <v>2279</v>
      </c>
      <c r="D888" s="4" t="s">
        <v>2263</v>
      </c>
      <c r="E888" s="3" t="s">
        <v>42</v>
      </c>
      <c r="F888" s="3" t="s">
        <v>891</v>
      </c>
      <c r="G888" s="3" t="s">
        <v>892</v>
      </c>
      <c r="H888" s="3" t="s">
        <v>31</v>
      </c>
      <c r="I888" s="3" t="s">
        <v>32</v>
      </c>
      <c r="J888" s="3" t="s">
        <v>476</v>
      </c>
      <c r="K888" s="3" t="s">
        <v>366</v>
      </c>
      <c r="L888" s="3" t="s">
        <v>157</v>
      </c>
      <c r="M888" s="3" t="s">
        <v>97</v>
      </c>
      <c r="N888" s="3" t="s">
        <v>89</v>
      </c>
      <c r="O888" s="3" t="s">
        <v>90</v>
      </c>
      <c r="P888" s="3" t="s">
        <v>98</v>
      </c>
      <c r="Q888" s="5" t="n">
        <v>5700.1</v>
      </c>
      <c r="R888" s="3" t="n">
        <v>7</v>
      </c>
      <c r="S888" s="6" t="n">
        <v>0.2</v>
      </c>
      <c r="T888" s="5" t="n">
        <v>-163.64</v>
      </c>
      <c r="U888" s="3" t="str">
        <f aca="false">IF(T888&lt;0,"Loss",IF(T888=0,"Break-even","Profit"))</f>
        <v>Loss</v>
      </c>
      <c r="V888" s="3" t="str">
        <f aca="false">IF(Q888&lt;100,"Low",IF(Q888&lt;=500,"Medium","High"))</f>
        <v>High</v>
      </c>
      <c r="W888" s="3" t="n">
        <f aca="false">D888-C888</f>
        <v>1</v>
      </c>
      <c r="X888" s="3" t="str">
        <f aca="false">TEXT(C888,"mmmm")</f>
        <v>September</v>
      </c>
      <c r="Y888" s="3" t="str">
        <f aca="false">LEFT(G888,1)&amp;MID(G888,FIND(" ",G888)+1,1)</f>
        <v>MB</v>
      </c>
    </row>
    <row r="889" customFormat="false" ht="15" hidden="false" customHeight="false" outlineLevel="0" collapsed="false">
      <c r="A889" s="3" t="n">
        <v>888</v>
      </c>
      <c r="B889" s="3" t="s">
        <v>2282</v>
      </c>
      <c r="C889" s="4" t="s">
        <v>2263</v>
      </c>
      <c r="D889" s="4" t="s">
        <v>2283</v>
      </c>
      <c r="E889" s="3" t="s">
        <v>28</v>
      </c>
      <c r="F889" s="3" t="s">
        <v>397</v>
      </c>
      <c r="G889" s="3" t="s">
        <v>398</v>
      </c>
      <c r="H889" s="3" t="s">
        <v>56</v>
      </c>
      <c r="I889" s="3" t="s">
        <v>32</v>
      </c>
      <c r="J889" s="3" t="s">
        <v>46</v>
      </c>
      <c r="K889" s="3" t="s">
        <v>47</v>
      </c>
      <c r="L889" s="3" t="s">
        <v>35</v>
      </c>
      <c r="M889" s="3" t="s">
        <v>280</v>
      </c>
      <c r="N889" s="3" t="s">
        <v>89</v>
      </c>
      <c r="O889" s="3" t="s">
        <v>166</v>
      </c>
      <c r="P889" s="3" t="s">
        <v>281</v>
      </c>
      <c r="Q889" s="5" t="n">
        <v>2472.31</v>
      </c>
      <c r="R889" s="3" t="n">
        <v>10</v>
      </c>
      <c r="S889" s="6" t="n">
        <v>0.1</v>
      </c>
      <c r="T889" s="5" t="n">
        <v>176.62</v>
      </c>
      <c r="U889" s="3" t="str">
        <f aca="false">IF(T889&lt;0,"Loss",IF(T889=0,"Break-even","Profit"))</f>
        <v>Profit</v>
      </c>
      <c r="V889" s="3" t="str">
        <f aca="false">IF(Q889&lt;100,"Low",IF(Q889&lt;=500,"Medium","High"))</f>
        <v>High</v>
      </c>
      <c r="W889" s="3" t="n">
        <f aca="false">D889-C889</f>
        <v>5</v>
      </c>
      <c r="X889" s="3" t="str">
        <f aca="false">TEXT(C889,"mmmm")</f>
        <v>September</v>
      </c>
      <c r="Y889" s="3" t="str">
        <f aca="false">LEFT(G889,1)&amp;MID(G889,FIND(" ",G889)+1,1)</f>
        <v>DN</v>
      </c>
    </row>
    <row r="890" customFormat="false" ht="15" hidden="false" customHeight="false" outlineLevel="0" collapsed="false">
      <c r="A890" s="3" t="n">
        <v>889</v>
      </c>
      <c r="B890" s="3" t="s">
        <v>1761</v>
      </c>
      <c r="C890" s="4" t="s">
        <v>2284</v>
      </c>
      <c r="D890" s="4" t="s">
        <v>2285</v>
      </c>
      <c r="E890" s="3" t="s">
        <v>84</v>
      </c>
      <c r="F890" s="3" t="s">
        <v>409</v>
      </c>
      <c r="G890" s="3" t="s">
        <v>410</v>
      </c>
      <c r="H890" s="3" t="s">
        <v>56</v>
      </c>
      <c r="I890" s="3" t="s">
        <v>32</v>
      </c>
      <c r="J890" s="3" t="s">
        <v>365</v>
      </c>
      <c r="K890" s="3" t="s">
        <v>366</v>
      </c>
      <c r="L890" s="3" t="s">
        <v>157</v>
      </c>
      <c r="M890" s="3" t="s">
        <v>165</v>
      </c>
      <c r="N890" s="3" t="s">
        <v>89</v>
      </c>
      <c r="O890" s="3" t="s">
        <v>166</v>
      </c>
      <c r="P890" s="3" t="s">
        <v>167</v>
      </c>
      <c r="Q890" s="5" t="n">
        <v>3257.73</v>
      </c>
      <c r="R890" s="3" t="n">
        <v>9</v>
      </c>
      <c r="S890" s="6" t="n">
        <v>0.3</v>
      </c>
      <c r="T890" s="5" t="n">
        <v>-783.21</v>
      </c>
      <c r="U890" s="3" t="str">
        <f aca="false">IF(T890&lt;0,"Loss",IF(T890=0,"Break-even","Profit"))</f>
        <v>Loss</v>
      </c>
      <c r="V890" s="3" t="str">
        <f aca="false">IF(Q890&lt;100,"Low",IF(Q890&lt;=500,"Medium","High"))</f>
        <v>High</v>
      </c>
      <c r="W890" s="3" t="n">
        <f aca="false">D890-C890</f>
        <v>3</v>
      </c>
      <c r="X890" s="3" t="str">
        <f aca="false">TEXT(C890,"mmmm")</f>
        <v>September</v>
      </c>
      <c r="Y890" s="3" t="str">
        <f aca="false">LEFT(G890,1)&amp;MID(G890,FIND(" ",G890)+1,1)</f>
        <v>CT</v>
      </c>
    </row>
    <row r="891" customFormat="false" ht="15" hidden="false" customHeight="false" outlineLevel="0" collapsed="false">
      <c r="A891" s="3" t="n">
        <v>890</v>
      </c>
      <c r="B891" s="3" t="s">
        <v>2286</v>
      </c>
      <c r="C891" s="4" t="s">
        <v>2284</v>
      </c>
      <c r="D891" s="4" t="s">
        <v>2284</v>
      </c>
      <c r="E891" s="3" t="s">
        <v>53</v>
      </c>
      <c r="F891" s="3" t="s">
        <v>2287</v>
      </c>
      <c r="G891" s="3" t="s">
        <v>2288</v>
      </c>
      <c r="H891" s="3" t="s">
        <v>56</v>
      </c>
      <c r="I891" s="3" t="s">
        <v>32</v>
      </c>
      <c r="J891" s="3" t="s">
        <v>663</v>
      </c>
      <c r="K891" s="3" t="s">
        <v>307</v>
      </c>
      <c r="L891" s="3" t="s">
        <v>69</v>
      </c>
      <c r="M891" s="3" t="s">
        <v>158</v>
      </c>
      <c r="N891" s="3" t="s">
        <v>49</v>
      </c>
      <c r="O891" s="3" t="s">
        <v>159</v>
      </c>
      <c r="P891" s="3" t="s">
        <v>160</v>
      </c>
      <c r="Q891" s="5" t="n">
        <v>1083.1</v>
      </c>
      <c r="R891" s="3" t="n">
        <v>12</v>
      </c>
      <c r="S891" s="6" t="n">
        <v>0</v>
      </c>
      <c r="T891" s="5" t="n">
        <v>-150.63</v>
      </c>
      <c r="U891" s="3" t="str">
        <f aca="false">IF(T891&lt;0,"Loss",IF(T891=0,"Break-even","Profit"))</f>
        <v>Loss</v>
      </c>
      <c r="V891" s="3" t="str">
        <f aca="false">IF(Q891&lt;100,"Low",IF(Q891&lt;=500,"Medium","High"))</f>
        <v>High</v>
      </c>
      <c r="W891" s="3" t="n">
        <f aca="false">D891-C891</f>
        <v>0</v>
      </c>
      <c r="X891" s="3" t="str">
        <f aca="false">TEXT(C891,"mmmm")</f>
        <v>September</v>
      </c>
      <c r="Y891" s="3" t="str">
        <f aca="false">LEFT(G891,1)&amp;MID(G891,FIND(" ",G891)+1,1)</f>
        <v>CM</v>
      </c>
    </row>
    <row r="892" customFormat="false" ht="15" hidden="false" customHeight="false" outlineLevel="0" collapsed="false">
      <c r="A892" s="3" t="n">
        <v>891</v>
      </c>
      <c r="B892" s="3" t="s">
        <v>2289</v>
      </c>
      <c r="C892" s="4" t="s">
        <v>2284</v>
      </c>
      <c r="D892" s="4" t="s">
        <v>2290</v>
      </c>
      <c r="E892" s="3" t="s">
        <v>42</v>
      </c>
      <c r="F892" s="3" t="s">
        <v>780</v>
      </c>
      <c r="G892" s="3" t="s">
        <v>781</v>
      </c>
      <c r="H892" s="3" t="s">
        <v>31</v>
      </c>
      <c r="I892" s="3" t="s">
        <v>32</v>
      </c>
      <c r="J892" s="3" t="s">
        <v>548</v>
      </c>
      <c r="K892" s="3" t="s">
        <v>244</v>
      </c>
      <c r="L892" s="3" t="s">
        <v>157</v>
      </c>
      <c r="M892" s="3" t="s">
        <v>461</v>
      </c>
      <c r="N892" s="3" t="s">
        <v>37</v>
      </c>
      <c r="O892" s="3" t="s">
        <v>71</v>
      </c>
      <c r="P892" s="3" t="s">
        <v>462</v>
      </c>
      <c r="Q892" s="5" t="n">
        <v>17657.93</v>
      </c>
      <c r="R892" s="3" t="n">
        <v>12</v>
      </c>
      <c r="S892" s="6" t="n">
        <v>0</v>
      </c>
      <c r="T892" s="5" t="n">
        <v>-2105.58</v>
      </c>
      <c r="U892" s="3" t="str">
        <f aca="false">IF(T892&lt;0,"Loss",IF(T892=0,"Break-even","Profit"))</f>
        <v>Loss</v>
      </c>
      <c r="V892" s="3" t="str">
        <f aca="false">IF(Q892&lt;100,"Low",IF(Q892&lt;=500,"Medium","High"))</f>
        <v>High</v>
      </c>
      <c r="W892" s="3" t="n">
        <f aca="false">D892-C892</f>
        <v>2</v>
      </c>
      <c r="X892" s="3" t="str">
        <f aca="false">TEXT(C892,"mmmm")</f>
        <v>September</v>
      </c>
      <c r="Y892" s="3" t="str">
        <f aca="false">LEFT(G892,1)&amp;MID(G892,FIND(" ",G892)+1,1)</f>
        <v>LT</v>
      </c>
    </row>
    <row r="893" customFormat="false" ht="15" hidden="false" customHeight="false" outlineLevel="0" collapsed="false">
      <c r="A893" s="3" t="n">
        <v>892</v>
      </c>
      <c r="B893" s="3" t="s">
        <v>2291</v>
      </c>
      <c r="C893" s="4" t="s">
        <v>2290</v>
      </c>
      <c r="D893" s="4" t="s">
        <v>2292</v>
      </c>
      <c r="E893" s="3" t="s">
        <v>28</v>
      </c>
      <c r="F893" s="3" t="s">
        <v>483</v>
      </c>
      <c r="G893" s="3" t="s">
        <v>484</v>
      </c>
      <c r="H893" s="3" t="s">
        <v>31</v>
      </c>
      <c r="I893" s="3" t="s">
        <v>32</v>
      </c>
      <c r="J893" s="3" t="s">
        <v>171</v>
      </c>
      <c r="K893" s="3" t="s">
        <v>172</v>
      </c>
      <c r="L893" s="3" t="s">
        <v>157</v>
      </c>
      <c r="M893" s="3" t="s">
        <v>316</v>
      </c>
      <c r="N893" s="3" t="s">
        <v>49</v>
      </c>
      <c r="O893" s="3" t="s">
        <v>143</v>
      </c>
      <c r="P893" s="3" t="s">
        <v>317</v>
      </c>
      <c r="Q893" s="5" t="n">
        <v>458.29</v>
      </c>
      <c r="R893" s="3" t="n">
        <v>12</v>
      </c>
      <c r="S893" s="6" t="n">
        <v>0.2</v>
      </c>
      <c r="T893" s="5" t="n">
        <v>-87.46</v>
      </c>
      <c r="U893" s="3" t="str">
        <f aca="false">IF(T893&lt;0,"Loss",IF(T893=0,"Break-even","Profit"))</f>
        <v>Loss</v>
      </c>
      <c r="V893" s="3" t="str">
        <f aca="false">IF(Q893&lt;100,"Low",IF(Q893&lt;=500,"Medium","High"))</f>
        <v>Medium</v>
      </c>
      <c r="W893" s="3" t="n">
        <f aca="false">D893-C893</f>
        <v>4</v>
      </c>
      <c r="X893" s="3" t="str">
        <f aca="false">TEXT(C893,"mmmm")</f>
        <v>September</v>
      </c>
      <c r="Y893" s="3" t="str">
        <f aca="false">LEFT(G893,1)&amp;MID(G893,FIND(" ",G893)+1,1)</f>
        <v>MS</v>
      </c>
    </row>
    <row r="894" customFormat="false" ht="15" hidden="false" customHeight="false" outlineLevel="0" collapsed="false">
      <c r="A894" s="3" t="n">
        <v>893</v>
      </c>
      <c r="B894" s="3" t="s">
        <v>2293</v>
      </c>
      <c r="C894" s="4" t="s">
        <v>2283</v>
      </c>
      <c r="D894" s="4" t="s">
        <v>2294</v>
      </c>
      <c r="E894" s="3" t="s">
        <v>28</v>
      </c>
      <c r="F894" s="3" t="s">
        <v>1314</v>
      </c>
      <c r="G894" s="3" t="s">
        <v>1315</v>
      </c>
      <c r="H894" s="3" t="s">
        <v>45</v>
      </c>
      <c r="I894" s="3" t="s">
        <v>32</v>
      </c>
      <c r="J894" s="3" t="s">
        <v>77</v>
      </c>
      <c r="K894" s="3" t="s">
        <v>78</v>
      </c>
      <c r="L894" s="3" t="s">
        <v>59</v>
      </c>
      <c r="M894" s="3" t="s">
        <v>79</v>
      </c>
      <c r="N894" s="3" t="s">
        <v>49</v>
      </c>
      <c r="O894" s="3" t="s">
        <v>80</v>
      </c>
      <c r="P894" s="3" t="s">
        <v>81</v>
      </c>
      <c r="Q894" s="5" t="n">
        <v>653.89</v>
      </c>
      <c r="R894" s="3" t="n">
        <v>9</v>
      </c>
      <c r="S894" s="6" t="n">
        <v>0.1</v>
      </c>
      <c r="T894" s="5" t="n">
        <v>-147.02</v>
      </c>
      <c r="U894" s="3" t="str">
        <f aca="false">IF(T894&lt;0,"Loss",IF(T894=0,"Break-even","Profit"))</f>
        <v>Loss</v>
      </c>
      <c r="V894" s="3" t="str">
        <f aca="false">IF(Q894&lt;100,"Low",IF(Q894&lt;=500,"Medium","High"))</f>
        <v>High</v>
      </c>
      <c r="W894" s="3" t="n">
        <f aca="false">D894-C894</f>
        <v>7</v>
      </c>
      <c r="X894" s="3" t="str">
        <f aca="false">TEXT(C894,"mmmm")</f>
        <v>September</v>
      </c>
      <c r="Y894" s="3" t="str">
        <f aca="false">LEFT(G894,1)&amp;MID(G894,FIND(" ",G894)+1,1)</f>
        <v>MR</v>
      </c>
    </row>
    <row r="895" customFormat="false" ht="15" hidden="false" customHeight="false" outlineLevel="0" collapsed="false">
      <c r="A895" s="3" t="n">
        <v>894</v>
      </c>
      <c r="B895" s="3" t="s">
        <v>1628</v>
      </c>
      <c r="C895" s="4" t="s">
        <v>2283</v>
      </c>
      <c r="D895" s="4" t="s">
        <v>2295</v>
      </c>
      <c r="E895" s="3" t="s">
        <v>28</v>
      </c>
      <c r="F895" s="3" t="s">
        <v>1306</v>
      </c>
      <c r="G895" s="3" t="s">
        <v>1307</v>
      </c>
      <c r="H895" s="3" t="s">
        <v>56</v>
      </c>
      <c r="I895" s="3" t="s">
        <v>32</v>
      </c>
      <c r="J895" s="3" t="s">
        <v>46</v>
      </c>
      <c r="K895" s="3" t="s">
        <v>47</v>
      </c>
      <c r="L895" s="3" t="s">
        <v>35</v>
      </c>
      <c r="M895" s="3" t="s">
        <v>173</v>
      </c>
      <c r="N895" s="3" t="s">
        <v>89</v>
      </c>
      <c r="O895" s="3" t="s">
        <v>174</v>
      </c>
      <c r="P895" s="3" t="s">
        <v>175</v>
      </c>
      <c r="Q895" s="5" t="n">
        <v>3532.99</v>
      </c>
      <c r="R895" s="3" t="n">
        <v>4</v>
      </c>
      <c r="S895" s="6" t="n">
        <v>0</v>
      </c>
      <c r="T895" s="5" t="n">
        <v>618.98</v>
      </c>
      <c r="U895" s="3" t="str">
        <f aca="false">IF(T895&lt;0,"Loss",IF(T895=0,"Break-even","Profit"))</f>
        <v>Profit</v>
      </c>
      <c r="V895" s="3" t="str">
        <f aca="false">IF(Q895&lt;100,"Low",IF(Q895&lt;=500,"Medium","High"))</f>
        <v>High</v>
      </c>
      <c r="W895" s="3" t="n">
        <f aca="false">D895-C895</f>
        <v>5</v>
      </c>
      <c r="X895" s="3" t="str">
        <f aca="false">TEXT(C895,"mmmm")</f>
        <v>September</v>
      </c>
      <c r="Y895" s="3" t="str">
        <f aca="false">LEFT(G895,1)&amp;MID(G895,FIND(" ",G895)+1,1)</f>
        <v>PD</v>
      </c>
    </row>
    <row r="896" customFormat="false" ht="15" hidden="false" customHeight="false" outlineLevel="0" collapsed="false">
      <c r="A896" s="3" t="n">
        <v>895</v>
      </c>
      <c r="B896" s="3" t="s">
        <v>2296</v>
      </c>
      <c r="C896" s="4" t="s">
        <v>2297</v>
      </c>
      <c r="D896" s="4" t="s">
        <v>2292</v>
      </c>
      <c r="E896" s="3" t="s">
        <v>42</v>
      </c>
      <c r="F896" s="3" t="s">
        <v>665</v>
      </c>
      <c r="G896" s="3" t="s">
        <v>666</v>
      </c>
      <c r="H896" s="3" t="s">
        <v>56</v>
      </c>
      <c r="I896" s="3" t="s">
        <v>32</v>
      </c>
      <c r="J896" s="3" t="s">
        <v>679</v>
      </c>
      <c r="K896" s="3" t="s">
        <v>202</v>
      </c>
      <c r="L896" s="3" t="s">
        <v>35</v>
      </c>
      <c r="M896" s="3" t="s">
        <v>659</v>
      </c>
      <c r="N896" s="3" t="s">
        <v>89</v>
      </c>
      <c r="O896" s="3" t="s">
        <v>323</v>
      </c>
      <c r="P896" s="3" t="s">
        <v>660</v>
      </c>
      <c r="Q896" s="5" t="n">
        <v>6123.14</v>
      </c>
      <c r="R896" s="3" t="n">
        <v>8</v>
      </c>
      <c r="S896" s="6" t="n">
        <v>0.2</v>
      </c>
      <c r="T896" s="5" t="n">
        <v>449.6</v>
      </c>
      <c r="U896" s="3" t="str">
        <f aca="false">IF(T896&lt;0,"Loss",IF(T896=0,"Break-even","Profit"))</f>
        <v>Profit</v>
      </c>
      <c r="V896" s="3" t="str">
        <f aca="false">IF(Q896&lt;100,"Low",IF(Q896&lt;=500,"Medium","High"))</f>
        <v>High</v>
      </c>
      <c r="W896" s="3" t="n">
        <f aca="false">D896-C896</f>
        <v>1</v>
      </c>
      <c r="X896" s="3" t="str">
        <f aca="false">TEXT(C896,"mmmm")</f>
        <v>September</v>
      </c>
      <c r="Y896" s="3" t="str">
        <f aca="false">LEFT(G896,1)&amp;MID(G896,FIND(" ",G896)+1,1)</f>
        <v>EM</v>
      </c>
    </row>
    <row r="897" customFormat="false" ht="15" hidden="false" customHeight="false" outlineLevel="0" collapsed="false">
      <c r="A897" s="3" t="n">
        <v>896</v>
      </c>
      <c r="B897" s="3" t="s">
        <v>2298</v>
      </c>
      <c r="C897" s="4" t="s">
        <v>2292</v>
      </c>
      <c r="D897" s="4" t="s">
        <v>2295</v>
      </c>
      <c r="E897" s="3" t="s">
        <v>28</v>
      </c>
      <c r="F897" s="3" t="s">
        <v>1670</v>
      </c>
      <c r="G897" s="3" t="s">
        <v>1671</v>
      </c>
      <c r="H897" s="3" t="s">
        <v>45</v>
      </c>
      <c r="I897" s="3" t="s">
        <v>32</v>
      </c>
      <c r="J897" s="3" t="s">
        <v>386</v>
      </c>
      <c r="K897" s="3" t="s">
        <v>387</v>
      </c>
      <c r="L897" s="3" t="s">
        <v>35</v>
      </c>
      <c r="M897" s="3" t="s">
        <v>447</v>
      </c>
      <c r="N897" s="3" t="s">
        <v>89</v>
      </c>
      <c r="O897" s="3" t="s">
        <v>323</v>
      </c>
      <c r="P897" s="3" t="s">
        <v>448</v>
      </c>
      <c r="Q897" s="5" t="n">
        <v>9986.41</v>
      </c>
      <c r="R897" s="3" t="n">
        <v>13</v>
      </c>
      <c r="S897" s="6" t="n">
        <v>0.1</v>
      </c>
      <c r="T897" s="5" t="n">
        <v>1682.49</v>
      </c>
      <c r="U897" s="3" t="str">
        <f aca="false">IF(T897&lt;0,"Loss",IF(T897=0,"Break-even","Profit"))</f>
        <v>Profit</v>
      </c>
      <c r="V897" s="3" t="str">
        <f aca="false">IF(Q897&lt;100,"Low",IF(Q897&lt;=500,"Medium","High"))</f>
        <v>High</v>
      </c>
      <c r="W897" s="3" t="n">
        <f aca="false">D897-C897</f>
        <v>3</v>
      </c>
      <c r="X897" s="3" t="str">
        <f aca="false">TEXT(C897,"mmmm")</f>
        <v>September</v>
      </c>
      <c r="Y897" s="3" t="str">
        <f aca="false">LEFT(G897,1)&amp;MID(G897,FIND(" ",G897)+1,1)</f>
        <v>FS</v>
      </c>
    </row>
    <row r="898" customFormat="false" ht="15" hidden="false" customHeight="false" outlineLevel="0" collapsed="false">
      <c r="A898" s="3" t="n">
        <v>897</v>
      </c>
      <c r="B898" s="3" t="s">
        <v>2299</v>
      </c>
      <c r="C898" s="4" t="s">
        <v>2292</v>
      </c>
      <c r="D898" s="4" t="s">
        <v>2294</v>
      </c>
      <c r="E898" s="3" t="s">
        <v>28</v>
      </c>
      <c r="F898" s="3" t="s">
        <v>2232</v>
      </c>
      <c r="G898" s="3" t="s">
        <v>2233</v>
      </c>
      <c r="H898" s="3" t="s">
        <v>56</v>
      </c>
      <c r="I898" s="3" t="s">
        <v>32</v>
      </c>
      <c r="J898" s="3" t="s">
        <v>415</v>
      </c>
      <c r="K898" s="3" t="s">
        <v>202</v>
      </c>
      <c r="L898" s="3" t="s">
        <v>35</v>
      </c>
      <c r="M898" s="3" t="s">
        <v>105</v>
      </c>
      <c r="N898" s="3" t="s">
        <v>49</v>
      </c>
      <c r="O898" s="3" t="s">
        <v>106</v>
      </c>
      <c r="P898" s="3" t="s">
        <v>107</v>
      </c>
      <c r="Q898" s="5" t="n">
        <v>156.7</v>
      </c>
      <c r="R898" s="3" t="n">
        <v>4</v>
      </c>
      <c r="S898" s="6" t="n">
        <v>0.2</v>
      </c>
      <c r="T898" s="5" t="n">
        <v>8.26</v>
      </c>
      <c r="U898" s="3" t="str">
        <f aca="false">IF(T898&lt;0,"Loss",IF(T898=0,"Break-even","Profit"))</f>
        <v>Profit</v>
      </c>
      <c r="V898" s="3" t="str">
        <f aca="false">IF(Q898&lt;100,"Low",IF(Q898&lt;=500,"Medium","High"))</f>
        <v>Medium</v>
      </c>
      <c r="W898" s="3" t="n">
        <f aca="false">D898-C898</f>
        <v>5</v>
      </c>
      <c r="X898" s="3" t="str">
        <f aca="false">TEXT(C898,"mmmm")</f>
        <v>September</v>
      </c>
      <c r="Y898" s="3" t="str">
        <f aca="false">LEFT(G898,1)&amp;MID(G898,FIND(" ",G898)+1,1)</f>
        <v>EB</v>
      </c>
    </row>
    <row r="899" customFormat="false" ht="15" hidden="false" customHeight="false" outlineLevel="0" collapsed="false">
      <c r="A899" s="3" t="n">
        <v>898</v>
      </c>
      <c r="B899" s="3" t="s">
        <v>2087</v>
      </c>
      <c r="C899" s="4" t="s">
        <v>2300</v>
      </c>
      <c r="D899" s="4" t="s">
        <v>2301</v>
      </c>
      <c r="E899" s="3" t="s">
        <v>28</v>
      </c>
      <c r="F899" s="3" t="s">
        <v>1812</v>
      </c>
      <c r="G899" s="3" t="s">
        <v>1813</v>
      </c>
      <c r="H899" s="3" t="s">
        <v>45</v>
      </c>
      <c r="I899" s="3" t="s">
        <v>32</v>
      </c>
      <c r="J899" s="3" t="s">
        <v>215</v>
      </c>
      <c r="K899" s="3" t="s">
        <v>34</v>
      </c>
      <c r="L899" s="3" t="s">
        <v>35</v>
      </c>
      <c r="M899" s="3" t="s">
        <v>135</v>
      </c>
      <c r="N899" s="3" t="s">
        <v>37</v>
      </c>
      <c r="O899" s="3" t="s">
        <v>136</v>
      </c>
      <c r="P899" s="3" t="s">
        <v>137</v>
      </c>
      <c r="Q899" s="5" t="n">
        <v>7642.46</v>
      </c>
      <c r="R899" s="3" t="n">
        <v>5</v>
      </c>
      <c r="S899" s="6" t="n">
        <v>0.4</v>
      </c>
      <c r="T899" s="5" t="n">
        <v>941.24</v>
      </c>
      <c r="U899" s="3" t="str">
        <f aca="false">IF(T899&lt;0,"Loss",IF(T899=0,"Break-even","Profit"))</f>
        <v>Profit</v>
      </c>
      <c r="V899" s="3" t="str">
        <f aca="false">IF(Q899&lt;100,"Low",IF(Q899&lt;=500,"Medium","High"))</f>
        <v>High</v>
      </c>
      <c r="W899" s="3" t="n">
        <f aca="false">D899-C899</f>
        <v>3</v>
      </c>
      <c r="X899" s="3" t="str">
        <f aca="false">TEXT(C899,"mmmm")</f>
        <v>September</v>
      </c>
      <c r="Y899" s="3" t="str">
        <f aca="false">LEFT(G899,1)&amp;MID(G899,FIND(" ",G899)+1,1)</f>
        <v>FG</v>
      </c>
    </row>
    <row r="900" customFormat="false" ht="15" hidden="false" customHeight="false" outlineLevel="0" collapsed="false">
      <c r="A900" s="3" t="n">
        <v>899</v>
      </c>
      <c r="B900" s="3" t="s">
        <v>2302</v>
      </c>
      <c r="C900" s="4" t="s">
        <v>2300</v>
      </c>
      <c r="D900" s="4" t="s">
        <v>2303</v>
      </c>
      <c r="E900" s="3" t="s">
        <v>28</v>
      </c>
      <c r="F900" s="3" t="s">
        <v>304</v>
      </c>
      <c r="G900" s="3" t="s">
        <v>305</v>
      </c>
      <c r="H900" s="3" t="s">
        <v>56</v>
      </c>
      <c r="I900" s="3" t="s">
        <v>32</v>
      </c>
      <c r="J900" s="3" t="s">
        <v>299</v>
      </c>
      <c r="K900" s="3" t="s">
        <v>189</v>
      </c>
      <c r="L900" s="3" t="s">
        <v>59</v>
      </c>
      <c r="M900" s="3" t="s">
        <v>105</v>
      </c>
      <c r="N900" s="3" t="s">
        <v>49</v>
      </c>
      <c r="O900" s="3" t="s">
        <v>106</v>
      </c>
      <c r="P900" s="3" t="s">
        <v>107</v>
      </c>
      <c r="Q900" s="5" t="n">
        <v>673.2</v>
      </c>
      <c r="R900" s="3" t="n">
        <v>8</v>
      </c>
      <c r="S900" s="6" t="n">
        <v>0.5</v>
      </c>
      <c r="T900" s="5" t="n">
        <v>-78.14</v>
      </c>
      <c r="U900" s="3" t="str">
        <f aca="false">IF(T900&lt;0,"Loss",IF(T900=0,"Break-even","Profit"))</f>
        <v>Loss</v>
      </c>
      <c r="V900" s="3" t="str">
        <f aca="false">IF(Q900&lt;100,"Low",IF(Q900&lt;=500,"Medium","High"))</f>
        <v>High</v>
      </c>
      <c r="W900" s="3" t="n">
        <f aca="false">D900-C900</f>
        <v>4</v>
      </c>
      <c r="X900" s="3" t="str">
        <f aca="false">TEXT(C900,"mmmm")</f>
        <v>September</v>
      </c>
      <c r="Y900" s="3" t="str">
        <f aca="false">LEFT(G900,1)&amp;MID(G900,FIND(" ",G900)+1,1)</f>
        <v>DW</v>
      </c>
    </row>
    <row r="901" customFormat="false" ht="15" hidden="false" customHeight="false" outlineLevel="0" collapsed="false">
      <c r="A901" s="3" t="n">
        <v>900</v>
      </c>
      <c r="B901" s="3" t="s">
        <v>1579</v>
      </c>
      <c r="C901" s="4" t="s">
        <v>2294</v>
      </c>
      <c r="D901" s="4" t="s">
        <v>2304</v>
      </c>
      <c r="E901" s="3" t="s">
        <v>28</v>
      </c>
      <c r="F901" s="3" t="s">
        <v>241</v>
      </c>
      <c r="G901" s="3" t="s">
        <v>242</v>
      </c>
      <c r="H901" s="3" t="s">
        <v>56</v>
      </c>
      <c r="I901" s="3" t="s">
        <v>32</v>
      </c>
      <c r="J901" s="3" t="s">
        <v>188</v>
      </c>
      <c r="K901" s="3" t="s">
        <v>189</v>
      </c>
      <c r="L901" s="3" t="s">
        <v>59</v>
      </c>
      <c r="M901" s="3" t="s">
        <v>149</v>
      </c>
      <c r="N901" s="3" t="s">
        <v>49</v>
      </c>
      <c r="O901" s="3" t="s">
        <v>150</v>
      </c>
      <c r="P901" s="3" t="s">
        <v>151</v>
      </c>
      <c r="Q901" s="5" t="n">
        <v>86.21</v>
      </c>
      <c r="R901" s="3" t="n">
        <v>2</v>
      </c>
      <c r="S901" s="6" t="n">
        <v>0.3</v>
      </c>
      <c r="T901" s="5" t="n">
        <v>15.98</v>
      </c>
      <c r="U901" s="3" t="str">
        <f aca="false">IF(T901&lt;0,"Loss",IF(T901=0,"Break-even","Profit"))</f>
        <v>Profit</v>
      </c>
      <c r="V901" s="3" t="str">
        <f aca="false">IF(Q901&lt;100,"Low",IF(Q901&lt;=500,"Medium","High"))</f>
        <v>Low</v>
      </c>
      <c r="W901" s="3" t="n">
        <f aca="false">D901-C901</f>
        <v>5</v>
      </c>
      <c r="X901" s="3" t="str">
        <f aca="false">TEXT(C901,"mmmm")</f>
        <v>September</v>
      </c>
      <c r="Y901" s="3" t="str">
        <f aca="false">LEFT(G901,1)&amp;MID(G901,FIND(" ",G901)+1,1)</f>
        <v>AC</v>
      </c>
    </row>
    <row r="902" customFormat="false" ht="15" hidden="false" customHeight="false" outlineLevel="0" collapsed="false">
      <c r="A902" s="3" t="n">
        <v>901</v>
      </c>
      <c r="B902" s="3" t="s">
        <v>2305</v>
      </c>
      <c r="C902" s="4" t="s">
        <v>2294</v>
      </c>
      <c r="D902" s="4" t="s">
        <v>2303</v>
      </c>
      <c r="E902" s="3" t="s">
        <v>84</v>
      </c>
      <c r="F902" s="3" t="s">
        <v>2042</v>
      </c>
      <c r="G902" s="3" t="s">
        <v>2043</v>
      </c>
      <c r="H902" s="3" t="s">
        <v>45</v>
      </c>
      <c r="I902" s="3" t="s">
        <v>32</v>
      </c>
      <c r="J902" s="3" t="s">
        <v>171</v>
      </c>
      <c r="K902" s="3" t="s">
        <v>172</v>
      </c>
      <c r="L902" s="3" t="s">
        <v>157</v>
      </c>
      <c r="M902" s="3" t="s">
        <v>173</v>
      </c>
      <c r="N902" s="3" t="s">
        <v>89</v>
      </c>
      <c r="O902" s="3" t="s">
        <v>174</v>
      </c>
      <c r="P902" s="3" t="s">
        <v>175</v>
      </c>
      <c r="Q902" s="5" t="n">
        <v>3154.48</v>
      </c>
      <c r="R902" s="3" t="n">
        <v>5</v>
      </c>
      <c r="S902" s="6" t="n">
        <v>0</v>
      </c>
      <c r="T902" s="5" t="n">
        <v>-109.54</v>
      </c>
      <c r="U902" s="3" t="str">
        <f aca="false">IF(T902&lt;0,"Loss",IF(T902=0,"Break-even","Profit"))</f>
        <v>Loss</v>
      </c>
      <c r="V902" s="3" t="str">
        <f aca="false">IF(Q902&lt;100,"Low",IF(Q902&lt;=500,"Medium","High"))</f>
        <v>High</v>
      </c>
      <c r="W902" s="3" t="n">
        <f aca="false">D902-C902</f>
        <v>3</v>
      </c>
      <c r="X902" s="3" t="str">
        <f aca="false">TEXT(C902,"mmmm")</f>
        <v>September</v>
      </c>
      <c r="Y902" s="3" t="str">
        <f aca="false">LEFT(G902,1)&amp;MID(G902,FIND(" ",G902)+1,1)</f>
        <v>LK</v>
      </c>
    </row>
    <row r="903" customFormat="false" ht="15" hidden="false" customHeight="false" outlineLevel="0" collapsed="false">
      <c r="A903" s="3" t="n">
        <v>902</v>
      </c>
      <c r="B903" s="3" t="s">
        <v>2306</v>
      </c>
      <c r="C903" s="4" t="s">
        <v>2307</v>
      </c>
      <c r="D903" s="4" t="s">
        <v>2308</v>
      </c>
      <c r="E903" s="3" t="s">
        <v>28</v>
      </c>
      <c r="F903" s="3" t="s">
        <v>691</v>
      </c>
      <c r="G903" s="3" t="s">
        <v>692</v>
      </c>
      <c r="H903" s="3" t="s">
        <v>45</v>
      </c>
      <c r="I903" s="3" t="s">
        <v>32</v>
      </c>
      <c r="J903" s="3" t="s">
        <v>679</v>
      </c>
      <c r="K903" s="3" t="s">
        <v>202</v>
      </c>
      <c r="L903" s="3" t="s">
        <v>35</v>
      </c>
      <c r="M903" s="3" t="s">
        <v>300</v>
      </c>
      <c r="N903" s="3" t="s">
        <v>49</v>
      </c>
      <c r="O903" s="3" t="s">
        <v>143</v>
      </c>
      <c r="P903" s="3" t="s">
        <v>301</v>
      </c>
      <c r="Q903" s="5" t="n">
        <v>56.39</v>
      </c>
      <c r="R903" s="3" t="n">
        <v>10</v>
      </c>
      <c r="S903" s="6" t="n">
        <v>0.1</v>
      </c>
      <c r="T903" s="5" t="n">
        <v>-5.83</v>
      </c>
      <c r="U903" s="3" t="str">
        <f aca="false">IF(T903&lt;0,"Loss",IF(T903=0,"Break-even","Profit"))</f>
        <v>Loss</v>
      </c>
      <c r="V903" s="3" t="str">
        <f aca="false">IF(Q903&lt;100,"Low",IF(Q903&lt;=500,"Medium","High"))</f>
        <v>Low</v>
      </c>
      <c r="W903" s="3" t="n">
        <f aca="false">D903-C903</f>
        <v>5</v>
      </c>
      <c r="X903" s="3" t="str">
        <f aca="false">TEXT(C903,"mmmm")</f>
        <v>September</v>
      </c>
      <c r="Y903" s="3" t="str">
        <f aca="false">LEFT(G903,1)&amp;MID(G903,FIND(" ",G903)+1,1)</f>
        <v>MB</v>
      </c>
    </row>
    <row r="904" customFormat="false" ht="15" hidden="false" customHeight="false" outlineLevel="0" collapsed="false">
      <c r="A904" s="3" t="n">
        <v>903</v>
      </c>
      <c r="B904" s="3" t="s">
        <v>2309</v>
      </c>
      <c r="C904" s="4" t="s">
        <v>2310</v>
      </c>
      <c r="D904" s="4" t="s">
        <v>2311</v>
      </c>
      <c r="E904" s="3" t="s">
        <v>28</v>
      </c>
      <c r="F904" s="3" t="s">
        <v>550</v>
      </c>
      <c r="G904" s="3" t="s">
        <v>1978</v>
      </c>
      <c r="H904" s="3" t="s">
        <v>56</v>
      </c>
      <c r="I904" s="3" t="s">
        <v>32</v>
      </c>
      <c r="J904" s="3" t="s">
        <v>148</v>
      </c>
      <c r="K904" s="3" t="s">
        <v>78</v>
      </c>
      <c r="L904" s="3" t="s">
        <v>59</v>
      </c>
      <c r="M904" s="3" t="s">
        <v>142</v>
      </c>
      <c r="N904" s="3" t="s">
        <v>49</v>
      </c>
      <c r="O904" s="3" t="s">
        <v>143</v>
      </c>
      <c r="P904" s="3" t="s">
        <v>144</v>
      </c>
      <c r="Q904" s="5" t="n">
        <v>55</v>
      </c>
      <c r="R904" s="3" t="n">
        <v>1</v>
      </c>
      <c r="S904" s="6" t="n">
        <v>0</v>
      </c>
      <c r="T904" s="5" t="n">
        <v>7.29</v>
      </c>
      <c r="U904" s="3" t="str">
        <f aca="false">IF(T904&lt;0,"Loss",IF(T904=0,"Break-even","Profit"))</f>
        <v>Profit</v>
      </c>
      <c r="V904" s="3" t="str">
        <f aca="false">IF(Q904&lt;100,"Low",IF(Q904&lt;=500,"Medium","High"))</f>
        <v>Low</v>
      </c>
      <c r="W904" s="3" t="n">
        <f aca="false">D904-C904</f>
        <v>3</v>
      </c>
      <c r="X904" s="3" t="str">
        <f aca="false">TEXT(C904,"mmmm")</f>
        <v>September</v>
      </c>
      <c r="Y904" s="3" t="str">
        <f aca="false">LEFT(G904,1)&amp;MID(G904,FIND(" ",G904)+1,1)</f>
        <v>JC</v>
      </c>
    </row>
    <row r="905" customFormat="false" ht="15" hidden="false" customHeight="false" outlineLevel="0" collapsed="false">
      <c r="A905" s="3" t="n">
        <v>904</v>
      </c>
      <c r="B905" s="3" t="s">
        <v>2312</v>
      </c>
      <c r="C905" s="4" t="s">
        <v>2310</v>
      </c>
      <c r="D905" s="4" t="s">
        <v>2308</v>
      </c>
      <c r="E905" s="3" t="s">
        <v>42</v>
      </c>
      <c r="F905" s="3" t="s">
        <v>1582</v>
      </c>
      <c r="G905" s="3" t="s">
        <v>1583</v>
      </c>
      <c r="H905" s="3" t="s">
        <v>56</v>
      </c>
      <c r="I905" s="3" t="s">
        <v>32</v>
      </c>
      <c r="J905" s="3" t="s">
        <v>737</v>
      </c>
      <c r="K905" s="3" t="s">
        <v>307</v>
      </c>
      <c r="L905" s="3" t="s">
        <v>69</v>
      </c>
      <c r="M905" s="3" t="s">
        <v>209</v>
      </c>
      <c r="N905" s="3" t="s">
        <v>49</v>
      </c>
      <c r="O905" s="3" t="s">
        <v>106</v>
      </c>
      <c r="P905" s="3" t="s">
        <v>210</v>
      </c>
      <c r="Q905" s="5" t="n">
        <v>31.38</v>
      </c>
      <c r="R905" s="3" t="n">
        <v>1</v>
      </c>
      <c r="S905" s="6" t="n">
        <v>0</v>
      </c>
      <c r="T905" s="5" t="n">
        <v>-4.91</v>
      </c>
      <c r="U905" s="3" t="str">
        <f aca="false">IF(T905&lt;0,"Loss",IF(T905=0,"Break-even","Profit"))</f>
        <v>Loss</v>
      </c>
      <c r="V905" s="3" t="str">
        <f aca="false">IF(Q905&lt;100,"Low",IF(Q905&lt;=500,"Medium","High"))</f>
        <v>Low</v>
      </c>
      <c r="W905" s="3" t="n">
        <f aca="false">D905-C905</f>
        <v>2</v>
      </c>
      <c r="X905" s="3" t="str">
        <f aca="false">TEXT(C905,"mmmm")</f>
        <v>September</v>
      </c>
      <c r="Y905" s="3" t="str">
        <f aca="false">LEFT(G905,1)&amp;MID(G905,FIND(" ",G905)+1,1)</f>
        <v>DK</v>
      </c>
    </row>
    <row r="906" customFormat="false" ht="15" hidden="false" customHeight="false" outlineLevel="0" collapsed="false">
      <c r="A906" s="3" t="n">
        <v>905</v>
      </c>
      <c r="B906" s="3" t="s">
        <v>2313</v>
      </c>
      <c r="C906" s="4" t="s">
        <v>2310</v>
      </c>
      <c r="D906" s="4" t="s">
        <v>2308</v>
      </c>
      <c r="E906" s="3" t="s">
        <v>42</v>
      </c>
      <c r="F906" s="3" t="s">
        <v>310</v>
      </c>
      <c r="G906" s="3" t="s">
        <v>311</v>
      </c>
      <c r="H906" s="3" t="s">
        <v>45</v>
      </c>
      <c r="I906" s="3" t="s">
        <v>32</v>
      </c>
      <c r="J906" s="3" t="s">
        <v>87</v>
      </c>
      <c r="K906" s="3" t="s">
        <v>68</v>
      </c>
      <c r="L906" s="3" t="s">
        <v>69</v>
      </c>
      <c r="M906" s="3" t="s">
        <v>158</v>
      </c>
      <c r="N906" s="3" t="s">
        <v>49</v>
      </c>
      <c r="O906" s="3" t="s">
        <v>159</v>
      </c>
      <c r="P906" s="3" t="s">
        <v>160</v>
      </c>
      <c r="Q906" s="5" t="n">
        <v>381.94</v>
      </c>
      <c r="R906" s="3" t="n">
        <v>12</v>
      </c>
      <c r="S906" s="6" t="n">
        <v>0.5</v>
      </c>
      <c r="T906" s="5" t="n">
        <v>47.76</v>
      </c>
      <c r="U906" s="3" t="str">
        <f aca="false">IF(T906&lt;0,"Loss",IF(T906=0,"Break-even","Profit"))</f>
        <v>Profit</v>
      </c>
      <c r="V906" s="3" t="str">
        <f aca="false">IF(Q906&lt;100,"Low",IF(Q906&lt;=500,"Medium","High"))</f>
        <v>Medium</v>
      </c>
      <c r="W906" s="3" t="n">
        <f aca="false">D906-C906</f>
        <v>2</v>
      </c>
      <c r="X906" s="3" t="str">
        <f aca="false">TEXT(C906,"mmmm")</f>
        <v>September</v>
      </c>
      <c r="Y906" s="3" t="str">
        <f aca="false">LEFT(G906,1)&amp;MID(G906,FIND(" ",G906)+1,1)</f>
        <v>FD</v>
      </c>
    </row>
    <row r="907" customFormat="false" ht="15" hidden="false" customHeight="false" outlineLevel="0" collapsed="false">
      <c r="A907" s="3" t="n">
        <v>906</v>
      </c>
      <c r="B907" s="3" t="s">
        <v>2131</v>
      </c>
      <c r="C907" s="4" t="s">
        <v>2304</v>
      </c>
      <c r="D907" s="4" t="s">
        <v>2314</v>
      </c>
      <c r="E907" s="3" t="s">
        <v>28</v>
      </c>
      <c r="F907" s="3" t="s">
        <v>835</v>
      </c>
      <c r="G907" s="3" t="s">
        <v>836</v>
      </c>
      <c r="H907" s="3" t="s">
        <v>56</v>
      </c>
      <c r="I907" s="3" t="s">
        <v>32</v>
      </c>
      <c r="J907" s="3" t="s">
        <v>215</v>
      </c>
      <c r="K907" s="3" t="s">
        <v>34</v>
      </c>
      <c r="L907" s="3" t="s">
        <v>35</v>
      </c>
      <c r="M907" s="3" t="s">
        <v>173</v>
      </c>
      <c r="N907" s="3" t="s">
        <v>89</v>
      </c>
      <c r="O907" s="3" t="s">
        <v>174</v>
      </c>
      <c r="P907" s="3" t="s">
        <v>175</v>
      </c>
      <c r="Q907" s="5" t="n">
        <v>4948.03</v>
      </c>
      <c r="R907" s="3" t="n">
        <v>6</v>
      </c>
      <c r="S907" s="6" t="n">
        <v>0</v>
      </c>
      <c r="T907" s="5" t="n">
        <v>1340.76</v>
      </c>
      <c r="U907" s="3" t="str">
        <f aca="false">IF(T907&lt;0,"Loss",IF(T907=0,"Break-even","Profit"))</f>
        <v>Profit</v>
      </c>
      <c r="V907" s="3" t="str">
        <f aca="false">IF(Q907&lt;100,"Low",IF(Q907&lt;=500,"Medium","High"))</f>
        <v>High</v>
      </c>
      <c r="W907" s="3" t="n">
        <f aca="false">D907-C907</f>
        <v>4</v>
      </c>
      <c r="X907" s="3" t="str">
        <f aca="false">TEXT(C907,"mmmm")</f>
        <v>September</v>
      </c>
      <c r="Y907" s="3" t="str">
        <f aca="false">LEFT(G907,1)&amp;MID(G907,FIND(" ",G907)+1,1)</f>
        <v>AN</v>
      </c>
    </row>
    <row r="908" customFormat="false" ht="15" hidden="false" customHeight="false" outlineLevel="0" collapsed="false">
      <c r="A908" s="3" t="n">
        <v>907</v>
      </c>
      <c r="B908" s="3" t="s">
        <v>1691</v>
      </c>
      <c r="C908" s="4" t="s">
        <v>2308</v>
      </c>
      <c r="D908" s="4" t="s">
        <v>2308</v>
      </c>
      <c r="E908" s="3" t="s">
        <v>53</v>
      </c>
      <c r="F908" s="3" t="s">
        <v>2315</v>
      </c>
      <c r="G908" s="3" t="s">
        <v>2316</v>
      </c>
      <c r="H908" s="3" t="s">
        <v>45</v>
      </c>
      <c r="I908" s="3" t="s">
        <v>32</v>
      </c>
      <c r="J908" s="3" t="s">
        <v>133</v>
      </c>
      <c r="K908" s="3" t="s">
        <v>134</v>
      </c>
      <c r="L908" s="3" t="s">
        <v>69</v>
      </c>
      <c r="M908" s="3" t="s">
        <v>158</v>
      </c>
      <c r="N908" s="3" t="s">
        <v>49</v>
      </c>
      <c r="O908" s="3" t="s">
        <v>159</v>
      </c>
      <c r="P908" s="3" t="s">
        <v>160</v>
      </c>
      <c r="Q908" s="5" t="n">
        <v>363.65</v>
      </c>
      <c r="R908" s="3" t="n">
        <v>9</v>
      </c>
      <c r="S908" s="6" t="n">
        <v>0.1</v>
      </c>
      <c r="T908" s="5" t="n">
        <v>-88.24</v>
      </c>
      <c r="U908" s="3" t="str">
        <f aca="false">IF(T908&lt;0,"Loss",IF(T908=0,"Break-even","Profit"))</f>
        <v>Loss</v>
      </c>
      <c r="V908" s="3" t="str">
        <f aca="false">IF(Q908&lt;100,"Low",IF(Q908&lt;=500,"Medium","High"))</f>
        <v>Medium</v>
      </c>
      <c r="W908" s="3" t="n">
        <f aca="false">D908-C908</f>
        <v>0</v>
      </c>
      <c r="X908" s="3" t="str">
        <f aca="false">TEXT(C908,"mmmm")</f>
        <v>September</v>
      </c>
      <c r="Y908" s="3" t="str">
        <f aca="false">LEFT(G908,1)&amp;MID(G908,FIND(" ",G908)+1,1)</f>
        <v>SG</v>
      </c>
    </row>
    <row r="909" customFormat="false" ht="15" hidden="false" customHeight="false" outlineLevel="0" collapsed="false">
      <c r="A909" s="3" t="n">
        <v>908</v>
      </c>
      <c r="B909" s="3" t="s">
        <v>2317</v>
      </c>
      <c r="C909" s="4" t="s">
        <v>2308</v>
      </c>
      <c r="D909" s="4" t="s">
        <v>2311</v>
      </c>
      <c r="E909" s="3" t="s">
        <v>42</v>
      </c>
      <c r="F909" s="3" t="s">
        <v>755</v>
      </c>
      <c r="G909" s="3" t="s">
        <v>756</v>
      </c>
      <c r="H909" s="3" t="s">
        <v>31</v>
      </c>
      <c r="I909" s="3" t="s">
        <v>32</v>
      </c>
      <c r="J909" s="3" t="s">
        <v>148</v>
      </c>
      <c r="K909" s="3" t="s">
        <v>78</v>
      </c>
      <c r="L909" s="3" t="s">
        <v>59</v>
      </c>
      <c r="M909" s="3" t="s">
        <v>70</v>
      </c>
      <c r="N909" s="3" t="s">
        <v>37</v>
      </c>
      <c r="O909" s="3" t="s">
        <v>71</v>
      </c>
      <c r="P909" s="3" t="s">
        <v>72</v>
      </c>
      <c r="Q909" s="5" t="n">
        <v>11521.11</v>
      </c>
      <c r="R909" s="3" t="n">
        <v>14</v>
      </c>
      <c r="S909" s="6" t="n">
        <v>0.5</v>
      </c>
      <c r="T909" s="5" t="n">
        <v>-269.43</v>
      </c>
      <c r="U909" s="3" t="str">
        <f aca="false">IF(T909&lt;0,"Loss",IF(T909=0,"Break-even","Profit"))</f>
        <v>Loss</v>
      </c>
      <c r="V909" s="3" t="str">
        <f aca="false">IF(Q909&lt;100,"Low",IF(Q909&lt;=500,"Medium","High"))</f>
        <v>High</v>
      </c>
      <c r="W909" s="3" t="n">
        <f aca="false">D909-C909</f>
        <v>1</v>
      </c>
      <c r="X909" s="3" t="str">
        <f aca="false">TEXT(C909,"mmmm")</f>
        <v>September</v>
      </c>
      <c r="Y909" s="3" t="str">
        <f aca="false">LEFT(G909,1)&amp;MID(G909,FIND(" ",G909)+1,1)</f>
        <v>MA</v>
      </c>
    </row>
    <row r="910" customFormat="false" ht="15" hidden="false" customHeight="false" outlineLevel="0" collapsed="false">
      <c r="A910" s="3" t="n">
        <v>909</v>
      </c>
      <c r="B910" s="3" t="s">
        <v>2318</v>
      </c>
      <c r="C910" s="4" t="s">
        <v>2308</v>
      </c>
      <c r="D910" s="4" t="s">
        <v>2314</v>
      </c>
      <c r="E910" s="3" t="s">
        <v>84</v>
      </c>
      <c r="F910" s="3" t="s">
        <v>1562</v>
      </c>
      <c r="G910" s="3" t="s">
        <v>1563</v>
      </c>
      <c r="H910" s="3" t="s">
        <v>56</v>
      </c>
      <c r="I910" s="3" t="s">
        <v>32</v>
      </c>
      <c r="J910" s="3" t="s">
        <v>306</v>
      </c>
      <c r="K910" s="3" t="s">
        <v>307</v>
      </c>
      <c r="L910" s="3" t="s">
        <v>69</v>
      </c>
      <c r="M910" s="3" t="s">
        <v>322</v>
      </c>
      <c r="N910" s="3" t="s">
        <v>89</v>
      </c>
      <c r="O910" s="3" t="s">
        <v>323</v>
      </c>
      <c r="P910" s="3" t="s">
        <v>324</v>
      </c>
      <c r="Q910" s="5" t="n">
        <v>430.88</v>
      </c>
      <c r="R910" s="3" t="n">
        <v>8</v>
      </c>
      <c r="S910" s="6" t="n">
        <v>0.4</v>
      </c>
      <c r="T910" s="5" t="n">
        <v>-64.65</v>
      </c>
      <c r="U910" s="3" t="str">
        <f aca="false">IF(T910&lt;0,"Loss",IF(T910=0,"Break-even","Profit"))</f>
        <v>Loss</v>
      </c>
      <c r="V910" s="3" t="str">
        <f aca="false">IF(Q910&lt;100,"Low",IF(Q910&lt;=500,"Medium","High"))</f>
        <v>Medium</v>
      </c>
      <c r="W910" s="3" t="n">
        <f aca="false">D910-C910</f>
        <v>3</v>
      </c>
      <c r="X910" s="3" t="str">
        <f aca="false">TEXT(C910,"mmmm")</f>
        <v>September</v>
      </c>
      <c r="Y910" s="3" t="str">
        <f aca="false">LEFT(G910,1)&amp;MID(G910,FIND(" ",G910)+1,1)</f>
        <v>MB</v>
      </c>
    </row>
    <row r="911" customFormat="false" ht="15" hidden="false" customHeight="false" outlineLevel="0" collapsed="false">
      <c r="A911" s="3" t="n">
        <v>910</v>
      </c>
      <c r="B911" s="3" t="s">
        <v>2319</v>
      </c>
      <c r="C911" s="4" t="s">
        <v>2311</v>
      </c>
      <c r="D911" s="4" t="s">
        <v>2320</v>
      </c>
      <c r="E911" s="3" t="s">
        <v>84</v>
      </c>
      <c r="F911" s="3" t="s">
        <v>966</v>
      </c>
      <c r="G911" s="3" t="s">
        <v>967</v>
      </c>
      <c r="H911" s="3" t="s">
        <v>56</v>
      </c>
      <c r="I911" s="3" t="s">
        <v>32</v>
      </c>
      <c r="J911" s="3" t="s">
        <v>386</v>
      </c>
      <c r="K911" s="3" t="s">
        <v>387</v>
      </c>
      <c r="L911" s="3" t="s">
        <v>35</v>
      </c>
      <c r="M911" s="3" t="s">
        <v>149</v>
      </c>
      <c r="N911" s="3" t="s">
        <v>49</v>
      </c>
      <c r="O911" s="3" t="s">
        <v>150</v>
      </c>
      <c r="P911" s="3" t="s">
        <v>151</v>
      </c>
      <c r="Q911" s="5" t="n">
        <v>460.82</v>
      </c>
      <c r="R911" s="3" t="n">
        <v>7</v>
      </c>
      <c r="S911" s="6" t="n">
        <v>0.3</v>
      </c>
      <c r="T911" s="5" t="n">
        <v>50.51</v>
      </c>
      <c r="U911" s="3" t="str">
        <f aca="false">IF(T911&lt;0,"Loss",IF(T911=0,"Break-even","Profit"))</f>
        <v>Profit</v>
      </c>
      <c r="V911" s="3" t="str">
        <f aca="false">IF(Q911&lt;100,"Low",IF(Q911&lt;=500,"Medium","High"))</f>
        <v>Medium</v>
      </c>
      <c r="W911" s="3" t="n">
        <f aca="false">D911-C911</f>
        <v>4</v>
      </c>
      <c r="X911" s="3" t="str">
        <f aca="false">TEXT(C911,"mmmm")</f>
        <v>September</v>
      </c>
      <c r="Y911" s="3" t="str">
        <f aca="false">LEFT(G911,1)&amp;MID(G911,FIND(" ",G911)+1,1)</f>
        <v>RT</v>
      </c>
    </row>
    <row r="912" customFormat="false" ht="15" hidden="false" customHeight="false" outlineLevel="0" collapsed="false">
      <c r="A912" s="3" t="n">
        <v>911</v>
      </c>
      <c r="B912" s="3" t="s">
        <v>2321</v>
      </c>
      <c r="C912" s="4" t="s">
        <v>2311</v>
      </c>
      <c r="D912" s="4" t="s">
        <v>2322</v>
      </c>
      <c r="E912" s="3" t="s">
        <v>28</v>
      </c>
      <c r="F912" s="3" t="s">
        <v>839</v>
      </c>
      <c r="G912" s="3" t="s">
        <v>840</v>
      </c>
      <c r="H912" s="3" t="s">
        <v>56</v>
      </c>
      <c r="I912" s="3" t="s">
        <v>32</v>
      </c>
      <c r="J912" s="3" t="s">
        <v>814</v>
      </c>
      <c r="K912" s="3" t="s">
        <v>156</v>
      </c>
      <c r="L912" s="3" t="s">
        <v>157</v>
      </c>
      <c r="M912" s="3" t="s">
        <v>114</v>
      </c>
      <c r="N912" s="3" t="s">
        <v>49</v>
      </c>
      <c r="O912" s="3" t="s">
        <v>61</v>
      </c>
      <c r="P912" s="3" t="s">
        <v>115</v>
      </c>
      <c r="Q912" s="5" t="n">
        <v>471.96</v>
      </c>
      <c r="R912" s="3" t="n">
        <v>11</v>
      </c>
      <c r="S912" s="6" t="n">
        <v>0.3</v>
      </c>
      <c r="T912" s="5" t="n">
        <v>62.79</v>
      </c>
      <c r="U912" s="3" t="str">
        <f aca="false">IF(T912&lt;0,"Loss",IF(T912=0,"Break-even","Profit"))</f>
        <v>Profit</v>
      </c>
      <c r="V912" s="3" t="str">
        <f aca="false">IF(Q912&lt;100,"Low",IF(Q912&lt;=500,"Medium","High"))</f>
        <v>Medium</v>
      </c>
      <c r="W912" s="3" t="n">
        <f aca="false">D912-C912</f>
        <v>7</v>
      </c>
      <c r="X912" s="3" t="str">
        <f aca="false">TEXT(C912,"mmmm")</f>
        <v>September</v>
      </c>
      <c r="Y912" s="3" t="str">
        <f aca="false">LEFT(G912,1)&amp;MID(G912,FIND(" ",G912)+1,1)</f>
        <v>FS</v>
      </c>
    </row>
    <row r="913" customFormat="false" ht="15" hidden="false" customHeight="false" outlineLevel="0" collapsed="false">
      <c r="A913" s="3" t="n">
        <v>912</v>
      </c>
      <c r="B913" s="3" t="s">
        <v>2323</v>
      </c>
      <c r="C913" s="4" t="s">
        <v>2324</v>
      </c>
      <c r="D913" s="4" t="s">
        <v>2325</v>
      </c>
      <c r="E913" s="3" t="s">
        <v>84</v>
      </c>
      <c r="F913" s="3" t="s">
        <v>946</v>
      </c>
      <c r="G913" s="3" t="s">
        <v>947</v>
      </c>
      <c r="H913" s="3" t="s">
        <v>45</v>
      </c>
      <c r="I913" s="3" t="s">
        <v>32</v>
      </c>
      <c r="J913" s="3" t="s">
        <v>112</v>
      </c>
      <c r="K913" s="3" t="s">
        <v>113</v>
      </c>
      <c r="L913" s="3" t="s">
        <v>69</v>
      </c>
      <c r="M913" s="3" t="s">
        <v>420</v>
      </c>
      <c r="N913" s="3" t="s">
        <v>49</v>
      </c>
      <c r="O913" s="3" t="s">
        <v>80</v>
      </c>
      <c r="P913" s="3" t="s">
        <v>421</v>
      </c>
      <c r="Q913" s="5" t="n">
        <v>402.45</v>
      </c>
      <c r="R913" s="3" t="n">
        <v>5</v>
      </c>
      <c r="S913" s="6" t="n">
        <v>0.1</v>
      </c>
      <c r="T913" s="5" t="n">
        <v>-84.02</v>
      </c>
      <c r="U913" s="3" t="str">
        <f aca="false">IF(T913&lt;0,"Loss",IF(T913=0,"Break-even","Profit"))</f>
        <v>Loss</v>
      </c>
      <c r="V913" s="3" t="str">
        <f aca="false">IF(Q913&lt;100,"Low",IF(Q913&lt;=500,"Medium","High"))</f>
        <v>Medium</v>
      </c>
      <c r="W913" s="3" t="n">
        <f aca="false">D913-C913</f>
        <v>4</v>
      </c>
      <c r="X913" s="3" t="str">
        <f aca="false">TEXT(C913,"mmmm")</f>
        <v>September</v>
      </c>
      <c r="Y913" s="3" t="str">
        <f aca="false">LEFT(G913,1)&amp;MID(G913,FIND(" ",G913)+1,1)</f>
        <v>MW</v>
      </c>
    </row>
    <row r="914" customFormat="false" ht="15" hidden="false" customHeight="false" outlineLevel="0" collapsed="false">
      <c r="A914" s="3" t="n">
        <v>913</v>
      </c>
      <c r="B914" s="3" t="s">
        <v>2326</v>
      </c>
      <c r="C914" s="4" t="s">
        <v>2327</v>
      </c>
      <c r="D914" s="4" t="s">
        <v>2328</v>
      </c>
      <c r="E914" s="3" t="s">
        <v>28</v>
      </c>
      <c r="F914" s="3" t="s">
        <v>486</v>
      </c>
      <c r="G914" s="3" t="s">
        <v>487</v>
      </c>
      <c r="H914" s="3" t="s">
        <v>45</v>
      </c>
      <c r="I914" s="3" t="s">
        <v>32</v>
      </c>
      <c r="J914" s="3" t="s">
        <v>133</v>
      </c>
      <c r="K914" s="3" t="s">
        <v>134</v>
      </c>
      <c r="L914" s="3" t="s">
        <v>69</v>
      </c>
      <c r="M914" s="3" t="s">
        <v>461</v>
      </c>
      <c r="N914" s="3" t="s">
        <v>37</v>
      </c>
      <c r="O914" s="3" t="s">
        <v>71</v>
      </c>
      <c r="P914" s="3" t="s">
        <v>462</v>
      </c>
      <c r="Q914" s="5" t="n">
        <v>9825.71</v>
      </c>
      <c r="R914" s="3" t="n">
        <v>10</v>
      </c>
      <c r="S914" s="6" t="n">
        <v>0.4</v>
      </c>
      <c r="T914" s="5" t="n">
        <v>-1668.99</v>
      </c>
      <c r="U914" s="3" t="str">
        <f aca="false">IF(T914&lt;0,"Loss",IF(T914=0,"Break-even","Profit"))</f>
        <v>Loss</v>
      </c>
      <c r="V914" s="3" t="str">
        <f aca="false">IF(Q914&lt;100,"Low",IF(Q914&lt;=500,"Medium","High"))</f>
        <v>High</v>
      </c>
      <c r="W914" s="3" t="n">
        <f aca="false">D914-C914</f>
        <v>6</v>
      </c>
      <c r="X914" s="3" t="str">
        <f aca="false">TEXT(C914,"mmmm")</f>
        <v>October</v>
      </c>
      <c r="Y914" s="3" t="str">
        <f aca="false">LEFT(G914,1)&amp;MID(G914,FIND(" ",G914)+1,1)</f>
        <v>JB</v>
      </c>
    </row>
    <row r="915" customFormat="false" ht="15" hidden="false" customHeight="false" outlineLevel="0" collapsed="false">
      <c r="A915" s="3" t="n">
        <v>914</v>
      </c>
      <c r="B915" s="3" t="s">
        <v>2329</v>
      </c>
      <c r="C915" s="4" t="s">
        <v>2325</v>
      </c>
      <c r="D915" s="4" t="s">
        <v>2330</v>
      </c>
      <c r="E915" s="3" t="s">
        <v>28</v>
      </c>
      <c r="F915" s="3" t="s">
        <v>65</v>
      </c>
      <c r="G915" s="3" t="s">
        <v>66</v>
      </c>
      <c r="H915" s="3" t="s">
        <v>45</v>
      </c>
      <c r="I915" s="3" t="s">
        <v>32</v>
      </c>
      <c r="J915" s="3" t="s">
        <v>67</v>
      </c>
      <c r="K915" s="3" t="s">
        <v>68</v>
      </c>
      <c r="L915" s="3" t="s">
        <v>69</v>
      </c>
      <c r="M915" s="3" t="s">
        <v>190</v>
      </c>
      <c r="N915" s="3" t="s">
        <v>49</v>
      </c>
      <c r="O915" s="3" t="s">
        <v>150</v>
      </c>
      <c r="P915" s="3" t="s">
        <v>191</v>
      </c>
      <c r="Q915" s="5" t="n">
        <v>811.43</v>
      </c>
      <c r="R915" s="3" t="n">
        <v>7</v>
      </c>
      <c r="S915" s="6" t="n">
        <v>0.1</v>
      </c>
      <c r="T915" s="5" t="n">
        <v>97.51</v>
      </c>
      <c r="U915" s="3" t="str">
        <f aca="false">IF(T915&lt;0,"Loss",IF(T915=0,"Break-even","Profit"))</f>
        <v>Profit</v>
      </c>
      <c r="V915" s="3" t="str">
        <f aca="false">IF(Q915&lt;100,"Low",IF(Q915&lt;=500,"Medium","High"))</f>
        <v>High</v>
      </c>
      <c r="W915" s="3" t="n">
        <f aca="false">D915-C915</f>
        <v>5</v>
      </c>
      <c r="X915" s="3" t="str">
        <f aca="false">TEXT(C915,"mmmm")</f>
        <v>October</v>
      </c>
      <c r="Y915" s="3" t="str">
        <f aca="false">LEFT(G915,1)&amp;MID(G915,FIND(" ",G915)+1,1)</f>
        <v>MM</v>
      </c>
    </row>
    <row r="916" customFormat="false" ht="15" hidden="false" customHeight="false" outlineLevel="0" collapsed="false">
      <c r="A916" s="3" t="n">
        <v>915</v>
      </c>
      <c r="B916" s="3" t="s">
        <v>2331</v>
      </c>
      <c r="C916" s="4" t="s">
        <v>2332</v>
      </c>
      <c r="D916" s="4" t="s">
        <v>2333</v>
      </c>
      <c r="E916" s="3" t="s">
        <v>28</v>
      </c>
      <c r="F916" s="3" t="s">
        <v>1905</v>
      </c>
      <c r="G916" s="3" t="s">
        <v>1906</v>
      </c>
      <c r="H916" s="3" t="s">
        <v>31</v>
      </c>
      <c r="I916" s="3" t="s">
        <v>32</v>
      </c>
      <c r="J916" s="3" t="s">
        <v>365</v>
      </c>
      <c r="K916" s="3" t="s">
        <v>366</v>
      </c>
      <c r="L916" s="3" t="s">
        <v>157</v>
      </c>
      <c r="M916" s="3" t="s">
        <v>48</v>
      </c>
      <c r="N916" s="3" t="s">
        <v>49</v>
      </c>
      <c r="O916" s="3" t="s">
        <v>50</v>
      </c>
      <c r="P916" s="3" t="s">
        <v>51</v>
      </c>
      <c r="Q916" s="5" t="n">
        <v>353.23</v>
      </c>
      <c r="R916" s="3" t="n">
        <v>14</v>
      </c>
      <c r="S916" s="6" t="n">
        <v>0.2</v>
      </c>
      <c r="T916" s="5" t="n">
        <v>-81.7</v>
      </c>
      <c r="U916" s="3" t="str">
        <f aca="false">IF(T916&lt;0,"Loss",IF(T916=0,"Break-even","Profit"))</f>
        <v>Loss</v>
      </c>
      <c r="V916" s="3" t="str">
        <f aca="false">IF(Q916&lt;100,"Low",IF(Q916&lt;=500,"Medium","High"))</f>
        <v>Medium</v>
      </c>
      <c r="W916" s="3" t="n">
        <f aca="false">D916-C916</f>
        <v>6</v>
      </c>
      <c r="X916" s="3" t="str">
        <f aca="false">TEXT(C916,"mmmm")</f>
        <v>October</v>
      </c>
      <c r="Y916" s="3" t="str">
        <f aca="false">LEFT(G916,1)&amp;MID(G916,FIND(" ",G916)+1,1)</f>
        <v>MS</v>
      </c>
    </row>
    <row r="917" customFormat="false" ht="15" hidden="false" customHeight="false" outlineLevel="0" collapsed="false">
      <c r="A917" s="3" t="n">
        <v>916</v>
      </c>
      <c r="B917" s="3" t="s">
        <v>2334</v>
      </c>
      <c r="C917" s="4" t="s">
        <v>2332</v>
      </c>
      <c r="D917" s="4" t="s">
        <v>2328</v>
      </c>
      <c r="E917" s="3" t="s">
        <v>28</v>
      </c>
      <c r="F917" s="3" t="s">
        <v>542</v>
      </c>
      <c r="G917" s="3" t="s">
        <v>543</v>
      </c>
      <c r="H917" s="3" t="s">
        <v>45</v>
      </c>
      <c r="I917" s="3" t="s">
        <v>32</v>
      </c>
      <c r="J917" s="3" t="s">
        <v>252</v>
      </c>
      <c r="K917" s="3" t="s">
        <v>172</v>
      </c>
      <c r="L917" s="3" t="s">
        <v>157</v>
      </c>
      <c r="M917" s="3" t="s">
        <v>158</v>
      </c>
      <c r="N917" s="3" t="s">
        <v>49</v>
      </c>
      <c r="O917" s="3" t="s">
        <v>159</v>
      </c>
      <c r="P917" s="3" t="s">
        <v>160</v>
      </c>
      <c r="Q917" s="5" t="n">
        <v>260.01</v>
      </c>
      <c r="R917" s="3" t="n">
        <v>10</v>
      </c>
      <c r="S917" s="6" t="n">
        <v>0.2</v>
      </c>
      <c r="T917" s="5" t="n">
        <v>72.22</v>
      </c>
      <c r="U917" s="3" t="str">
        <f aca="false">IF(T917&lt;0,"Loss",IF(T917=0,"Break-even","Profit"))</f>
        <v>Profit</v>
      </c>
      <c r="V917" s="3" t="str">
        <f aca="false">IF(Q917&lt;100,"Low",IF(Q917&lt;=500,"Medium","High"))</f>
        <v>Medium</v>
      </c>
      <c r="W917" s="3" t="n">
        <f aca="false">D917-C917</f>
        <v>3</v>
      </c>
      <c r="X917" s="3" t="str">
        <f aca="false">TEXT(C917,"mmmm")</f>
        <v>October</v>
      </c>
      <c r="Y917" s="3" t="str">
        <f aca="false">LEFT(G917,1)&amp;MID(G917,FIND(" ",G917)+1,1)</f>
        <v>WM</v>
      </c>
    </row>
    <row r="918" customFormat="false" ht="15" hidden="false" customHeight="false" outlineLevel="0" collapsed="false">
      <c r="A918" s="3" t="n">
        <v>917</v>
      </c>
      <c r="B918" s="3" t="s">
        <v>2335</v>
      </c>
      <c r="C918" s="4" t="s">
        <v>2322</v>
      </c>
      <c r="D918" s="4" t="s">
        <v>2336</v>
      </c>
      <c r="E918" s="3" t="s">
        <v>28</v>
      </c>
      <c r="F918" s="3" t="s">
        <v>2337</v>
      </c>
      <c r="G918" s="3" t="s">
        <v>2338</v>
      </c>
      <c r="H918" s="3" t="s">
        <v>31</v>
      </c>
      <c r="I918" s="3" t="s">
        <v>32</v>
      </c>
      <c r="J918" s="3" t="s">
        <v>208</v>
      </c>
      <c r="K918" s="3" t="s">
        <v>134</v>
      </c>
      <c r="L918" s="3" t="s">
        <v>69</v>
      </c>
      <c r="M918" s="3" t="s">
        <v>121</v>
      </c>
      <c r="N918" s="3" t="s">
        <v>49</v>
      </c>
      <c r="O918" s="3" t="s">
        <v>50</v>
      </c>
      <c r="P918" s="3" t="s">
        <v>122</v>
      </c>
      <c r="Q918" s="5" t="n">
        <v>66.7</v>
      </c>
      <c r="R918" s="3" t="n">
        <v>4</v>
      </c>
      <c r="S918" s="6" t="n">
        <v>0.3</v>
      </c>
      <c r="T918" s="5" t="n">
        <v>13.78</v>
      </c>
      <c r="U918" s="3" t="str">
        <f aca="false">IF(T918&lt;0,"Loss",IF(T918=0,"Break-even","Profit"))</f>
        <v>Profit</v>
      </c>
      <c r="V918" s="3" t="str">
        <f aca="false">IF(Q918&lt;100,"Low",IF(Q918&lt;=500,"Medium","High"))</f>
        <v>Low</v>
      </c>
      <c r="W918" s="3" t="n">
        <f aca="false">D918-C918</f>
        <v>6</v>
      </c>
      <c r="X918" s="3" t="str">
        <f aca="false">TEXT(C918,"mmmm")</f>
        <v>October</v>
      </c>
      <c r="Y918" s="3" t="str">
        <f aca="false">LEFT(G918,1)&amp;MID(G918,FIND(" ",G918)+1,1)</f>
        <v>WN</v>
      </c>
    </row>
    <row r="919" customFormat="false" ht="15" hidden="false" customHeight="false" outlineLevel="0" collapsed="false">
      <c r="A919" s="3" t="n">
        <v>918</v>
      </c>
      <c r="B919" s="3" t="s">
        <v>2272</v>
      </c>
      <c r="C919" s="4" t="s">
        <v>2339</v>
      </c>
      <c r="D919" s="4" t="s">
        <v>2328</v>
      </c>
      <c r="E919" s="3" t="s">
        <v>42</v>
      </c>
      <c r="F919" s="3" t="s">
        <v>1714</v>
      </c>
      <c r="G919" s="3" t="s">
        <v>1715</v>
      </c>
      <c r="H919" s="3" t="s">
        <v>56</v>
      </c>
      <c r="I919" s="3" t="s">
        <v>32</v>
      </c>
      <c r="J919" s="3" t="s">
        <v>814</v>
      </c>
      <c r="K919" s="3" t="s">
        <v>156</v>
      </c>
      <c r="L919" s="3" t="s">
        <v>157</v>
      </c>
      <c r="M919" s="3" t="s">
        <v>121</v>
      </c>
      <c r="N919" s="3" t="s">
        <v>49</v>
      </c>
      <c r="O919" s="3" t="s">
        <v>50</v>
      </c>
      <c r="P919" s="3" t="s">
        <v>122</v>
      </c>
      <c r="Q919" s="5" t="n">
        <v>98.94</v>
      </c>
      <c r="R919" s="3" t="n">
        <v>1</v>
      </c>
      <c r="S919" s="6" t="n">
        <v>0</v>
      </c>
      <c r="T919" s="5" t="n">
        <v>-21.9</v>
      </c>
      <c r="U919" s="3" t="str">
        <f aca="false">IF(T919&lt;0,"Loss",IF(T919=0,"Break-even","Profit"))</f>
        <v>Loss</v>
      </c>
      <c r="V919" s="3" t="str">
        <f aca="false">IF(Q919&lt;100,"Low",IF(Q919&lt;=500,"Medium","High"))</f>
        <v>Low</v>
      </c>
      <c r="W919" s="3" t="n">
        <f aca="false">D919-C919</f>
        <v>1</v>
      </c>
      <c r="X919" s="3" t="str">
        <f aca="false">TEXT(C919,"mmmm")</f>
        <v>October</v>
      </c>
      <c r="Y919" s="3" t="str">
        <f aca="false">LEFT(G919,1)&amp;MID(G919,FIND(" ",G919)+1,1)</f>
        <v>AD</v>
      </c>
    </row>
    <row r="920" customFormat="false" ht="15" hidden="false" customHeight="false" outlineLevel="0" collapsed="false">
      <c r="A920" s="3" t="n">
        <v>919</v>
      </c>
      <c r="B920" s="3" t="s">
        <v>2340</v>
      </c>
      <c r="C920" s="4" t="s">
        <v>2339</v>
      </c>
      <c r="D920" s="4" t="s">
        <v>2330</v>
      </c>
      <c r="E920" s="3" t="s">
        <v>42</v>
      </c>
      <c r="F920" s="3" t="s">
        <v>293</v>
      </c>
      <c r="G920" s="3" t="s">
        <v>294</v>
      </c>
      <c r="H920" s="3" t="s">
        <v>45</v>
      </c>
      <c r="I920" s="3" t="s">
        <v>32</v>
      </c>
      <c r="J920" s="3" t="s">
        <v>476</v>
      </c>
      <c r="K920" s="3" t="s">
        <v>366</v>
      </c>
      <c r="L920" s="3" t="s">
        <v>157</v>
      </c>
      <c r="M920" s="3" t="s">
        <v>316</v>
      </c>
      <c r="N920" s="3" t="s">
        <v>49</v>
      </c>
      <c r="O920" s="3" t="s">
        <v>143</v>
      </c>
      <c r="P920" s="3" t="s">
        <v>317</v>
      </c>
      <c r="Q920" s="5" t="n">
        <v>165.15</v>
      </c>
      <c r="R920" s="3" t="n">
        <v>3</v>
      </c>
      <c r="S920" s="6" t="n">
        <v>0</v>
      </c>
      <c r="T920" s="5" t="n">
        <v>-5.78</v>
      </c>
      <c r="U920" s="3" t="str">
        <f aca="false">IF(T920&lt;0,"Loss",IF(T920=0,"Break-even","Profit"))</f>
        <v>Loss</v>
      </c>
      <c r="V920" s="3" t="str">
        <f aca="false">IF(Q920&lt;100,"Low",IF(Q920&lt;=500,"Medium","High"))</f>
        <v>Medium</v>
      </c>
      <c r="W920" s="3" t="n">
        <f aca="false">D920-C920</f>
        <v>2</v>
      </c>
      <c r="X920" s="3" t="str">
        <f aca="false">TEXT(C920,"mmmm")</f>
        <v>October</v>
      </c>
      <c r="Y920" s="3" t="str">
        <f aca="false">LEFT(G920,1)&amp;MID(G920,FIND(" ",G920)+1,1)</f>
        <v>LB</v>
      </c>
    </row>
    <row r="921" customFormat="false" ht="15" hidden="false" customHeight="false" outlineLevel="0" collapsed="false">
      <c r="A921" s="3" t="n">
        <v>920</v>
      </c>
      <c r="B921" s="3" t="s">
        <v>2070</v>
      </c>
      <c r="C921" s="4" t="s">
        <v>2328</v>
      </c>
      <c r="D921" s="4" t="s">
        <v>2328</v>
      </c>
      <c r="E921" s="3" t="s">
        <v>53</v>
      </c>
      <c r="F921" s="3" t="s">
        <v>553</v>
      </c>
      <c r="G921" s="3" t="s">
        <v>554</v>
      </c>
      <c r="H921" s="3" t="s">
        <v>56</v>
      </c>
      <c r="I921" s="3" t="s">
        <v>32</v>
      </c>
      <c r="J921" s="3" t="s">
        <v>476</v>
      </c>
      <c r="K921" s="3" t="s">
        <v>366</v>
      </c>
      <c r="L921" s="3" t="s">
        <v>157</v>
      </c>
      <c r="M921" s="3" t="s">
        <v>48</v>
      </c>
      <c r="N921" s="3" t="s">
        <v>49</v>
      </c>
      <c r="O921" s="3" t="s">
        <v>50</v>
      </c>
      <c r="P921" s="3" t="s">
        <v>51</v>
      </c>
      <c r="Q921" s="5" t="n">
        <v>701.45</v>
      </c>
      <c r="R921" s="3" t="n">
        <v>8</v>
      </c>
      <c r="S921" s="6" t="n">
        <v>0.1</v>
      </c>
      <c r="T921" s="5" t="n">
        <v>-107.35</v>
      </c>
      <c r="U921" s="3" t="str">
        <f aca="false">IF(T921&lt;0,"Loss",IF(T921=0,"Break-even","Profit"))</f>
        <v>Loss</v>
      </c>
      <c r="V921" s="3" t="str">
        <f aca="false">IF(Q921&lt;100,"Low",IF(Q921&lt;=500,"Medium","High"))</f>
        <v>High</v>
      </c>
      <c r="W921" s="3" t="n">
        <f aca="false">D921-C921</f>
        <v>0</v>
      </c>
      <c r="X921" s="3" t="str">
        <f aca="false">TEXT(C921,"mmmm")</f>
        <v>October</v>
      </c>
      <c r="Y921" s="3" t="str">
        <f aca="false">LEFT(G921,1)&amp;MID(G921,FIND(" ",G921)+1,1)</f>
        <v>LC</v>
      </c>
    </row>
    <row r="922" customFormat="false" ht="15" hidden="false" customHeight="false" outlineLevel="0" collapsed="false">
      <c r="A922" s="3" t="n">
        <v>921</v>
      </c>
      <c r="B922" s="3" t="s">
        <v>2009</v>
      </c>
      <c r="C922" s="4" t="s">
        <v>2328</v>
      </c>
      <c r="D922" s="4" t="s">
        <v>2341</v>
      </c>
      <c r="E922" s="3" t="s">
        <v>28</v>
      </c>
      <c r="F922" s="3" t="s">
        <v>350</v>
      </c>
      <c r="G922" s="3" t="s">
        <v>351</v>
      </c>
      <c r="H922" s="3" t="s">
        <v>56</v>
      </c>
      <c r="I922" s="3" t="s">
        <v>32</v>
      </c>
      <c r="J922" s="3" t="s">
        <v>133</v>
      </c>
      <c r="K922" s="3" t="s">
        <v>134</v>
      </c>
      <c r="L922" s="3" t="s">
        <v>69</v>
      </c>
      <c r="M922" s="3" t="s">
        <v>173</v>
      </c>
      <c r="N922" s="3" t="s">
        <v>89</v>
      </c>
      <c r="O922" s="3" t="s">
        <v>174</v>
      </c>
      <c r="P922" s="3" t="s">
        <v>175</v>
      </c>
      <c r="Q922" s="5" t="n">
        <v>3687.85</v>
      </c>
      <c r="R922" s="3" t="n">
        <v>10</v>
      </c>
      <c r="S922" s="6" t="n">
        <v>0.2</v>
      </c>
      <c r="T922" s="5" t="n">
        <v>-447.19</v>
      </c>
      <c r="U922" s="3" t="str">
        <f aca="false">IF(T922&lt;0,"Loss",IF(T922=0,"Break-even","Profit"))</f>
        <v>Loss</v>
      </c>
      <c r="V922" s="3" t="str">
        <f aca="false">IF(Q922&lt;100,"Low",IF(Q922&lt;=500,"Medium","High"))</f>
        <v>High</v>
      </c>
      <c r="W922" s="3" t="n">
        <f aca="false">D922-C922</f>
        <v>5</v>
      </c>
      <c r="X922" s="3" t="str">
        <f aca="false">TEXT(C922,"mmmm")</f>
        <v>October</v>
      </c>
      <c r="Y922" s="3" t="str">
        <f aca="false">LEFT(G922,1)&amp;MID(G922,FIND(" ",G922)+1,1)</f>
        <v>PA</v>
      </c>
    </row>
    <row r="923" customFormat="false" ht="15" hidden="false" customHeight="false" outlineLevel="0" collapsed="false">
      <c r="A923" s="3" t="n">
        <v>922</v>
      </c>
      <c r="B923" s="3" t="s">
        <v>2342</v>
      </c>
      <c r="C923" s="4" t="s">
        <v>2330</v>
      </c>
      <c r="D923" s="4" t="s">
        <v>2343</v>
      </c>
      <c r="E923" s="3" t="s">
        <v>28</v>
      </c>
      <c r="F923" s="3" t="s">
        <v>1918</v>
      </c>
      <c r="G923" s="3" t="s">
        <v>1919</v>
      </c>
      <c r="H923" s="3" t="s">
        <v>56</v>
      </c>
      <c r="I923" s="3" t="s">
        <v>32</v>
      </c>
      <c r="J923" s="3" t="s">
        <v>243</v>
      </c>
      <c r="K923" s="3" t="s">
        <v>244</v>
      </c>
      <c r="L923" s="3" t="s">
        <v>157</v>
      </c>
      <c r="M923" s="3" t="s">
        <v>347</v>
      </c>
      <c r="N923" s="3" t="s">
        <v>49</v>
      </c>
      <c r="O923" s="3" t="s">
        <v>220</v>
      </c>
      <c r="P923" s="3" t="s">
        <v>348</v>
      </c>
      <c r="Q923" s="5" t="n">
        <v>58.37</v>
      </c>
      <c r="R923" s="3" t="n">
        <v>6</v>
      </c>
      <c r="S923" s="6" t="n">
        <v>0.4</v>
      </c>
      <c r="T923" s="5" t="n">
        <v>2.28</v>
      </c>
      <c r="U923" s="3" t="str">
        <f aca="false">IF(T923&lt;0,"Loss",IF(T923=0,"Break-even","Profit"))</f>
        <v>Profit</v>
      </c>
      <c r="V923" s="3" t="str">
        <f aca="false">IF(Q923&lt;100,"Low",IF(Q923&lt;=500,"Medium","High"))</f>
        <v>Low</v>
      </c>
      <c r="W923" s="3" t="n">
        <f aca="false">D923-C923</f>
        <v>6</v>
      </c>
      <c r="X923" s="3" t="str">
        <f aca="false">TEXT(C923,"mmmm")</f>
        <v>October</v>
      </c>
      <c r="Y923" s="3" t="str">
        <f aca="false">LEFT(G923,1)&amp;MID(G923,FIND(" ",G923)+1,1)</f>
        <v>MJ</v>
      </c>
    </row>
    <row r="924" customFormat="false" ht="15" hidden="false" customHeight="false" outlineLevel="0" collapsed="false">
      <c r="A924" s="3" t="n">
        <v>923</v>
      </c>
      <c r="B924" s="3" t="s">
        <v>2344</v>
      </c>
      <c r="C924" s="4" t="s">
        <v>2345</v>
      </c>
      <c r="D924" s="4" t="s">
        <v>2346</v>
      </c>
      <c r="E924" s="3" t="s">
        <v>28</v>
      </c>
      <c r="F924" s="3" t="s">
        <v>246</v>
      </c>
      <c r="G924" s="3" t="s">
        <v>247</v>
      </c>
      <c r="H924" s="3" t="s">
        <v>31</v>
      </c>
      <c r="I924" s="3" t="s">
        <v>32</v>
      </c>
      <c r="J924" s="3" t="s">
        <v>616</v>
      </c>
      <c r="K924" s="3" t="s">
        <v>156</v>
      </c>
      <c r="L924" s="3" t="s">
        <v>157</v>
      </c>
      <c r="M924" s="3" t="s">
        <v>190</v>
      </c>
      <c r="N924" s="3" t="s">
        <v>49</v>
      </c>
      <c r="O924" s="3" t="s">
        <v>150</v>
      </c>
      <c r="P924" s="3" t="s">
        <v>191</v>
      </c>
      <c r="Q924" s="5" t="n">
        <v>126.21</v>
      </c>
      <c r="R924" s="3" t="n">
        <v>11</v>
      </c>
      <c r="S924" s="6" t="n">
        <v>0.5</v>
      </c>
      <c r="T924" s="5" t="n">
        <v>-12.36</v>
      </c>
      <c r="U924" s="3" t="str">
        <f aca="false">IF(T924&lt;0,"Loss",IF(T924=0,"Break-even","Profit"))</f>
        <v>Loss</v>
      </c>
      <c r="V924" s="3" t="str">
        <f aca="false">IF(Q924&lt;100,"Low",IF(Q924&lt;=500,"Medium","High"))</f>
        <v>Medium</v>
      </c>
      <c r="W924" s="3" t="n">
        <f aca="false">D924-C924</f>
        <v>6</v>
      </c>
      <c r="X924" s="3" t="str">
        <f aca="false">TEXT(C924,"mmmm")</f>
        <v>October</v>
      </c>
      <c r="Y924" s="3" t="str">
        <f aca="false">LEFT(G924,1)&amp;MID(G924,FIND(" ",G924)+1,1)</f>
        <v>JN</v>
      </c>
    </row>
    <row r="925" customFormat="false" ht="15" hidden="false" customHeight="false" outlineLevel="0" collapsed="false">
      <c r="A925" s="3" t="n">
        <v>924</v>
      </c>
      <c r="B925" s="3" t="s">
        <v>2347</v>
      </c>
      <c r="C925" s="4" t="s">
        <v>2333</v>
      </c>
      <c r="D925" s="4" t="s">
        <v>2343</v>
      </c>
      <c r="E925" s="3" t="s">
        <v>84</v>
      </c>
      <c r="F925" s="3" t="s">
        <v>293</v>
      </c>
      <c r="G925" s="3" t="s">
        <v>294</v>
      </c>
      <c r="H925" s="3" t="s">
        <v>31</v>
      </c>
      <c r="I925" s="3" t="s">
        <v>32</v>
      </c>
      <c r="J925" s="3" t="s">
        <v>67</v>
      </c>
      <c r="K925" s="3" t="s">
        <v>68</v>
      </c>
      <c r="L925" s="3" t="s">
        <v>69</v>
      </c>
      <c r="M925" s="3" t="s">
        <v>559</v>
      </c>
      <c r="N925" s="3" t="s">
        <v>37</v>
      </c>
      <c r="O925" s="3" t="s">
        <v>38</v>
      </c>
      <c r="P925" s="3" t="s">
        <v>560</v>
      </c>
      <c r="Q925" s="5" t="n">
        <v>6019.33</v>
      </c>
      <c r="R925" s="3" t="n">
        <v>12</v>
      </c>
      <c r="S925" s="6" t="n">
        <v>0</v>
      </c>
      <c r="T925" s="5" t="n">
        <v>-654.73</v>
      </c>
      <c r="U925" s="3" t="str">
        <f aca="false">IF(T925&lt;0,"Loss",IF(T925=0,"Break-even","Profit"))</f>
        <v>Loss</v>
      </c>
      <c r="V925" s="3" t="str">
        <f aca="false">IF(Q925&lt;100,"Low",IF(Q925&lt;=500,"Medium","High"))</f>
        <v>High</v>
      </c>
      <c r="W925" s="3" t="n">
        <f aca="false">D925-C925</f>
        <v>4</v>
      </c>
      <c r="X925" s="3" t="str">
        <f aca="false">TEXT(C925,"mmmm")</f>
        <v>October</v>
      </c>
      <c r="Y925" s="3" t="str">
        <f aca="false">LEFT(G925,1)&amp;MID(G925,FIND(" ",G925)+1,1)</f>
        <v>LB</v>
      </c>
    </row>
    <row r="926" customFormat="false" ht="15" hidden="false" customHeight="false" outlineLevel="0" collapsed="false">
      <c r="A926" s="3" t="n">
        <v>925</v>
      </c>
      <c r="B926" s="3" t="s">
        <v>2348</v>
      </c>
      <c r="C926" s="4" t="s">
        <v>2341</v>
      </c>
      <c r="D926" s="4" t="s">
        <v>2349</v>
      </c>
      <c r="E926" s="3" t="s">
        <v>28</v>
      </c>
      <c r="F926" s="3" t="s">
        <v>1481</v>
      </c>
      <c r="G926" s="3" t="s">
        <v>1482</v>
      </c>
      <c r="H926" s="3" t="s">
        <v>31</v>
      </c>
      <c r="I926" s="3" t="s">
        <v>32</v>
      </c>
      <c r="J926" s="3" t="s">
        <v>171</v>
      </c>
      <c r="K926" s="3" t="s">
        <v>172</v>
      </c>
      <c r="L926" s="3" t="s">
        <v>157</v>
      </c>
      <c r="M926" s="3" t="s">
        <v>470</v>
      </c>
      <c r="N926" s="3" t="s">
        <v>49</v>
      </c>
      <c r="O926" s="3" t="s">
        <v>159</v>
      </c>
      <c r="P926" s="3" t="s">
        <v>471</v>
      </c>
      <c r="Q926" s="5" t="n">
        <v>447.45</v>
      </c>
      <c r="R926" s="3" t="n">
        <v>13</v>
      </c>
      <c r="S926" s="6" t="n">
        <v>0.3</v>
      </c>
      <c r="T926" s="5" t="n">
        <v>-118.31</v>
      </c>
      <c r="U926" s="3" t="str">
        <f aca="false">IF(T926&lt;0,"Loss",IF(T926=0,"Break-even","Profit"))</f>
        <v>Loss</v>
      </c>
      <c r="V926" s="3" t="str">
        <f aca="false">IF(Q926&lt;100,"Low",IF(Q926&lt;=500,"Medium","High"))</f>
        <v>Medium</v>
      </c>
      <c r="W926" s="3" t="n">
        <f aca="false">D926-C926</f>
        <v>4</v>
      </c>
      <c r="X926" s="3" t="str">
        <f aca="false">TEXT(C926,"mmmm")</f>
        <v>October</v>
      </c>
      <c r="Y926" s="3" t="str">
        <f aca="false">LEFT(G926,1)&amp;MID(G926,FIND(" ",G926)+1,1)</f>
        <v>OJ</v>
      </c>
    </row>
    <row r="927" customFormat="false" ht="15" hidden="false" customHeight="false" outlineLevel="0" collapsed="false">
      <c r="A927" s="3" t="n">
        <v>926</v>
      </c>
      <c r="B927" s="3" t="s">
        <v>2350</v>
      </c>
      <c r="C927" s="4" t="s">
        <v>2341</v>
      </c>
      <c r="D927" s="4" t="s">
        <v>2346</v>
      </c>
      <c r="E927" s="3" t="s">
        <v>84</v>
      </c>
      <c r="F927" s="3" t="s">
        <v>2045</v>
      </c>
      <c r="G927" s="3" t="s">
        <v>2046</v>
      </c>
      <c r="H927" s="3" t="s">
        <v>45</v>
      </c>
      <c r="I927" s="3" t="s">
        <v>32</v>
      </c>
      <c r="J927" s="3" t="s">
        <v>208</v>
      </c>
      <c r="K927" s="3" t="s">
        <v>134</v>
      </c>
      <c r="L927" s="3" t="s">
        <v>69</v>
      </c>
      <c r="M927" s="3" t="s">
        <v>190</v>
      </c>
      <c r="N927" s="3" t="s">
        <v>49</v>
      </c>
      <c r="O927" s="3" t="s">
        <v>150</v>
      </c>
      <c r="P927" s="3" t="s">
        <v>191</v>
      </c>
      <c r="Q927" s="5" t="n">
        <v>994.83</v>
      </c>
      <c r="R927" s="3" t="n">
        <v>12</v>
      </c>
      <c r="S927" s="6" t="n">
        <v>0</v>
      </c>
      <c r="T927" s="5" t="n">
        <v>-174.2</v>
      </c>
      <c r="U927" s="3" t="str">
        <f aca="false">IF(T927&lt;0,"Loss",IF(T927=0,"Break-even","Profit"))</f>
        <v>Loss</v>
      </c>
      <c r="V927" s="3" t="str">
        <f aca="false">IF(Q927&lt;100,"Low",IF(Q927&lt;=500,"Medium","High"))</f>
        <v>High</v>
      </c>
      <c r="W927" s="3" t="n">
        <f aca="false">D927-C927</f>
        <v>3</v>
      </c>
      <c r="X927" s="3" t="str">
        <f aca="false">TEXT(C927,"mmmm")</f>
        <v>October</v>
      </c>
      <c r="Y927" s="3" t="str">
        <f aca="false">LEFT(G927,1)&amp;MID(G927,FIND(" ",G927)+1,1)</f>
        <v>WC</v>
      </c>
    </row>
    <row r="928" customFormat="false" ht="15" hidden="false" customHeight="false" outlineLevel="0" collapsed="false">
      <c r="A928" s="3" t="n">
        <v>927</v>
      </c>
      <c r="B928" s="3" t="s">
        <v>2351</v>
      </c>
      <c r="C928" s="4" t="s">
        <v>2341</v>
      </c>
      <c r="D928" s="4" t="s">
        <v>2341</v>
      </c>
      <c r="E928" s="3" t="s">
        <v>53</v>
      </c>
      <c r="F928" s="3" t="s">
        <v>1624</v>
      </c>
      <c r="G928" s="3" t="s">
        <v>1625</v>
      </c>
      <c r="H928" s="3" t="s">
        <v>45</v>
      </c>
      <c r="I928" s="3" t="s">
        <v>32</v>
      </c>
      <c r="J928" s="3" t="s">
        <v>33</v>
      </c>
      <c r="K928" s="3" t="s">
        <v>34</v>
      </c>
      <c r="L928" s="3" t="s">
        <v>35</v>
      </c>
      <c r="M928" s="3" t="s">
        <v>300</v>
      </c>
      <c r="N928" s="3" t="s">
        <v>49</v>
      </c>
      <c r="O928" s="3" t="s">
        <v>143</v>
      </c>
      <c r="P928" s="3" t="s">
        <v>301</v>
      </c>
      <c r="Q928" s="5" t="n">
        <v>101.35</v>
      </c>
      <c r="R928" s="3" t="n">
        <v>1</v>
      </c>
      <c r="S928" s="6" t="n">
        <v>0.2</v>
      </c>
      <c r="T928" s="5" t="n">
        <v>16.66</v>
      </c>
      <c r="U928" s="3" t="str">
        <f aca="false">IF(T928&lt;0,"Loss",IF(T928=0,"Break-even","Profit"))</f>
        <v>Profit</v>
      </c>
      <c r="V928" s="3" t="str">
        <f aca="false">IF(Q928&lt;100,"Low",IF(Q928&lt;=500,"Medium","High"))</f>
        <v>Medium</v>
      </c>
      <c r="W928" s="3" t="n">
        <f aca="false">D928-C928</f>
        <v>0</v>
      </c>
      <c r="X928" s="3" t="str">
        <f aca="false">TEXT(C928,"mmmm")</f>
        <v>October</v>
      </c>
      <c r="Y928" s="3" t="str">
        <f aca="false">LEFT(G928,1)&amp;MID(G928,FIND(" ",G928)+1,1)</f>
        <v>JD</v>
      </c>
    </row>
    <row r="929" customFormat="false" ht="15" hidden="false" customHeight="false" outlineLevel="0" collapsed="false">
      <c r="A929" s="3" t="n">
        <v>928</v>
      </c>
      <c r="B929" s="3" t="s">
        <v>2352</v>
      </c>
      <c r="C929" s="4" t="s">
        <v>2346</v>
      </c>
      <c r="D929" s="4" t="s">
        <v>2353</v>
      </c>
      <c r="E929" s="3" t="s">
        <v>28</v>
      </c>
      <c r="F929" s="3" t="s">
        <v>2354</v>
      </c>
      <c r="G929" s="3" t="s">
        <v>2355</v>
      </c>
      <c r="H929" s="3" t="s">
        <v>56</v>
      </c>
      <c r="I929" s="3" t="s">
        <v>32</v>
      </c>
      <c r="J929" s="3" t="s">
        <v>285</v>
      </c>
      <c r="K929" s="3" t="s">
        <v>202</v>
      </c>
      <c r="L929" s="3" t="s">
        <v>35</v>
      </c>
      <c r="M929" s="3" t="s">
        <v>470</v>
      </c>
      <c r="N929" s="3" t="s">
        <v>49</v>
      </c>
      <c r="O929" s="3" t="s">
        <v>159</v>
      </c>
      <c r="P929" s="3" t="s">
        <v>471</v>
      </c>
      <c r="Q929" s="5" t="n">
        <v>794.59</v>
      </c>
      <c r="R929" s="3" t="n">
        <v>14</v>
      </c>
      <c r="S929" s="6" t="n">
        <v>0.5</v>
      </c>
      <c r="T929" s="5" t="n">
        <v>11.85</v>
      </c>
      <c r="U929" s="3" t="str">
        <f aca="false">IF(T929&lt;0,"Loss",IF(T929=0,"Break-even","Profit"))</f>
        <v>Profit</v>
      </c>
      <c r="V929" s="3" t="str">
        <f aca="false">IF(Q929&lt;100,"Low",IF(Q929&lt;=500,"Medium","High"))</f>
        <v>High</v>
      </c>
      <c r="W929" s="3" t="n">
        <f aca="false">D929-C929</f>
        <v>3</v>
      </c>
      <c r="X929" s="3" t="str">
        <f aca="false">TEXT(C929,"mmmm")</f>
        <v>October</v>
      </c>
      <c r="Y929" s="3" t="str">
        <f aca="false">LEFT(G929,1)&amp;MID(G929,FIND(" ",G929)+1,1)</f>
        <v>PS</v>
      </c>
    </row>
    <row r="930" customFormat="false" ht="15" hidden="false" customHeight="false" outlineLevel="0" collapsed="false">
      <c r="A930" s="3" t="n">
        <v>929</v>
      </c>
      <c r="B930" s="3" t="s">
        <v>2356</v>
      </c>
      <c r="C930" s="4" t="s">
        <v>2349</v>
      </c>
      <c r="D930" s="4" t="s">
        <v>2353</v>
      </c>
      <c r="E930" s="3" t="s">
        <v>84</v>
      </c>
      <c r="F930" s="3" t="s">
        <v>647</v>
      </c>
      <c r="G930" s="3" t="s">
        <v>648</v>
      </c>
      <c r="H930" s="3" t="s">
        <v>56</v>
      </c>
      <c r="I930" s="3" t="s">
        <v>32</v>
      </c>
      <c r="J930" s="3" t="s">
        <v>365</v>
      </c>
      <c r="K930" s="3" t="s">
        <v>366</v>
      </c>
      <c r="L930" s="3" t="s">
        <v>157</v>
      </c>
      <c r="M930" s="3" t="s">
        <v>290</v>
      </c>
      <c r="N930" s="3" t="s">
        <v>37</v>
      </c>
      <c r="O930" s="3" t="s">
        <v>38</v>
      </c>
      <c r="P930" s="3" t="s">
        <v>291</v>
      </c>
      <c r="Q930" s="5" t="n">
        <v>16165.63</v>
      </c>
      <c r="R930" s="3" t="n">
        <v>11</v>
      </c>
      <c r="S930" s="6" t="n">
        <v>0.5</v>
      </c>
      <c r="T930" s="5" t="n">
        <v>1993.25</v>
      </c>
      <c r="U930" s="3" t="str">
        <f aca="false">IF(T930&lt;0,"Loss",IF(T930=0,"Break-even","Profit"))</f>
        <v>Profit</v>
      </c>
      <c r="V930" s="3" t="str">
        <f aca="false">IF(Q930&lt;100,"Low",IF(Q930&lt;=500,"Medium","High"))</f>
        <v>High</v>
      </c>
      <c r="W930" s="3" t="n">
        <f aca="false">D930-C930</f>
        <v>2</v>
      </c>
      <c r="X930" s="3" t="str">
        <f aca="false">TEXT(C930,"mmmm")</f>
        <v>October</v>
      </c>
      <c r="Y930" s="3" t="str">
        <f aca="false">LEFT(G930,1)&amp;MID(G930,FIND(" ",G930)+1,1)</f>
        <v>MS</v>
      </c>
    </row>
    <row r="931" customFormat="false" ht="15" hidden="false" customHeight="false" outlineLevel="0" collapsed="false">
      <c r="A931" s="3" t="n">
        <v>930</v>
      </c>
      <c r="B931" s="3" t="s">
        <v>2357</v>
      </c>
      <c r="C931" s="4" t="s">
        <v>2358</v>
      </c>
      <c r="D931" s="4" t="s">
        <v>2359</v>
      </c>
      <c r="E931" s="3" t="s">
        <v>28</v>
      </c>
      <c r="F931" s="3" t="s">
        <v>686</v>
      </c>
      <c r="G931" s="3" t="s">
        <v>687</v>
      </c>
      <c r="H931" s="3" t="s">
        <v>56</v>
      </c>
      <c r="I931" s="3" t="s">
        <v>32</v>
      </c>
      <c r="J931" s="3" t="s">
        <v>329</v>
      </c>
      <c r="K931" s="3" t="s">
        <v>156</v>
      </c>
      <c r="L931" s="3" t="s">
        <v>157</v>
      </c>
      <c r="M931" s="3" t="s">
        <v>36</v>
      </c>
      <c r="N931" s="3" t="s">
        <v>37</v>
      </c>
      <c r="O931" s="3" t="s">
        <v>38</v>
      </c>
      <c r="P931" s="3" t="s">
        <v>39</v>
      </c>
      <c r="Q931" s="5" t="n">
        <v>4072.65</v>
      </c>
      <c r="R931" s="3" t="n">
        <v>5</v>
      </c>
      <c r="S931" s="6" t="n">
        <v>0.2</v>
      </c>
      <c r="T931" s="5" t="n">
        <v>-340.19</v>
      </c>
      <c r="U931" s="3" t="str">
        <f aca="false">IF(T931&lt;0,"Loss",IF(T931=0,"Break-even","Profit"))</f>
        <v>Loss</v>
      </c>
      <c r="V931" s="3" t="str">
        <f aca="false">IF(Q931&lt;100,"Low",IF(Q931&lt;=500,"Medium","High"))</f>
        <v>High</v>
      </c>
      <c r="W931" s="3" t="n">
        <f aca="false">D931-C931</f>
        <v>3</v>
      </c>
      <c r="X931" s="3" t="str">
        <f aca="false">TEXT(C931,"mmmm")</f>
        <v>October</v>
      </c>
      <c r="Y931" s="3" t="str">
        <f aca="false">LEFT(G931,1)&amp;MID(G931,FIND(" ",G931)+1,1)</f>
        <v>EN</v>
      </c>
    </row>
    <row r="932" customFormat="false" ht="15" hidden="false" customHeight="false" outlineLevel="0" collapsed="false">
      <c r="A932" s="3" t="n">
        <v>931</v>
      </c>
      <c r="B932" s="3" t="s">
        <v>2360</v>
      </c>
      <c r="C932" s="4" t="s">
        <v>2358</v>
      </c>
      <c r="D932" s="4" t="s">
        <v>2361</v>
      </c>
      <c r="E932" s="3" t="s">
        <v>28</v>
      </c>
      <c r="F932" s="3" t="s">
        <v>1670</v>
      </c>
      <c r="G932" s="3" t="s">
        <v>1671</v>
      </c>
      <c r="H932" s="3" t="s">
        <v>45</v>
      </c>
      <c r="I932" s="3" t="s">
        <v>32</v>
      </c>
      <c r="J932" s="3" t="s">
        <v>67</v>
      </c>
      <c r="K932" s="3" t="s">
        <v>68</v>
      </c>
      <c r="L932" s="3" t="s">
        <v>69</v>
      </c>
      <c r="M932" s="3" t="s">
        <v>60</v>
      </c>
      <c r="N932" s="3" t="s">
        <v>49</v>
      </c>
      <c r="O932" s="3" t="s">
        <v>61</v>
      </c>
      <c r="P932" s="3" t="s">
        <v>62</v>
      </c>
      <c r="Q932" s="5" t="n">
        <v>102.93</v>
      </c>
      <c r="R932" s="3" t="n">
        <v>1</v>
      </c>
      <c r="S932" s="6" t="n">
        <v>0.3</v>
      </c>
      <c r="T932" s="5" t="n">
        <v>-12.22</v>
      </c>
      <c r="U932" s="3" t="str">
        <f aca="false">IF(T932&lt;0,"Loss",IF(T932=0,"Break-even","Profit"))</f>
        <v>Loss</v>
      </c>
      <c r="V932" s="3" t="str">
        <f aca="false">IF(Q932&lt;100,"Low",IF(Q932&lt;=500,"Medium","High"))</f>
        <v>Medium</v>
      </c>
      <c r="W932" s="3" t="n">
        <f aca="false">D932-C932</f>
        <v>7</v>
      </c>
      <c r="X932" s="3" t="str">
        <f aca="false">TEXT(C932,"mmmm")</f>
        <v>October</v>
      </c>
      <c r="Y932" s="3" t="str">
        <f aca="false">LEFT(G932,1)&amp;MID(G932,FIND(" ",G932)+1,1)</f>
        <v>FS</v>
      </c>
    </row>
    <row r="933" customFormat="false" ht="15" hidden="false" customHeight="false" outlineLevel="0" collapsed="false">
      <c r="A933" s="3" t="n">
        <v>932</v>
      </c>
      <c r="B933" s="3" t="s">
        <v>2362</v>
      </c>
      <c r="C933" s="4" t="s">
        <v>2358</v>
      </c>
      <c r="D933" s="4" t="s">
        <v>2361</v>
      </c>
      <c r="E933" s="3" t="s">
        <v>28</v>
      </c>
      <c r="F933" s="3" t="s">
        <v>1481</v>
      </c>
      <c r="G933" s="3" t="s">
        <v>1482</v>
      </c>
      <c r="H933" s="3" t="s">
        <v>31</v>
      </c>
      <c r="I933" s="3" t="s">
        <v>32</v>
      </c>
      <c r="J933" s="3" t="s">
        <v>95</v>
      </c>
      <c r="K933" s="3" t="s">
        <v>96</v>
      </c>
      <c r="L933" s="3" t="s">
        <v>59</v>
      </c>
      <c r="M933" s="3" t="s">
        <v>225</v>
      </c>
      <c r="N933" s="3" t="s">
        <v>37</v>
      </c>
      <c r="O933" s="3" t="s">
        <v>196</v>
      </c>
      <c r="P933" s="3" t="s">
        <v>226</v>
      </c>
      <c r="Q933" s="5" t="n">
        <v>5272.16</v>
      </c>
      <c r="R933" s="3" t="n">
        <v>5</v>
      </c>
      <c r="S933" s="6" t="n">
        <v>0</v>
      </c>
      <c r="T933" s="5" t="n">
        <v>198.26</v>
      </c>
      <c r="U933" s="3" t="str">
        <f aca="false">IF(T933&lt;0,"Loss",IF(T933=0,"Break-even","Profit"))</f>
        <v>Profit</v>
      </c>
      <c r="V933" s="3" t="str">
        <f aca="false">IF(Q933&lt;100,"Low",IF(Q933&lt;=500,"Medium","High"))</f>
        <v>High</v>
      </c>
      <c r="W933" s="3" t="n">
        <f aca="false">D933-C933</f>
        <v>7</v>
      </c>
      <c r="X933" s="3" t="str">
        <f aca="false">TEXT(C933,"mmmm")</f>
        <v>October</v>
      </c>
      <c r="Y933" s="3" t="str">
        <f aca="false">LEFT(G933,1)&amp;MID(G933,FIND(" ",G933)+1,1)</f>
        <v>OJ</v>
      </c>
    </row>
    <row r="934" customFormat="false" ht="15" hidden="false" customHeight="false" outlineLevel="0" collapsed="false">
      <c r="A934" s="3" t="n">
        <v>933</v>
      </c>
      <c r="B934" s="3" t="s">
        <v>2363</v>
      </c>
      <c r="C934" s="4" t="s">
        <v>2353</v>
      </c>
      <c r="D934" s="4" t="s">
        <v>2364</v>
      </c>
      <c r="E934" s="3" t="s">
        <v>42</v>
      </c>
      <c r="F934" s="3" t="s">
        <v>752</v>
      </c>
      <c r="G934" s="3" t="s">
        <v>753</v>
      </c>
      <c r="H934" s="3" t="s">
        <v>31</v>
      </c>
      <c r="I934" s="3" t="s">
        <v>32</v>
      </c>
      <c r="J934" s="3" t="s">
        <v>120</v>
      </c>
      <c r="K934" s="3" t="s">
        <v>113</v>
      </c>
      <c r="L934" s="3" t="s">
        <v>69</v>
      </c>
      <c r="M934" s="3" t="s">
        <v>142</v>
      </c>
      <c r="N934" s="3" t="s">
        <v>49</v>
      </c>
      <c r="O934" s="3" t="s">
        <v>143</v>
      </c>
      <c r="P934" s="3" t="s">
        <v>144</v>
      </c>
      <c r="Q934" s="5" t="n">
        <v>607.53</v>
      </c>
      <c r="R934" s="3" t="n">
        <v>6</v>
      </c>
      <c r="S934" s="6" t="n">
        <v>0.4</v>
      </c>
      <c r="T934" s="5" t="n">
        <v>-27.43</v>
      </c>
      <c r="U934" s="3" t="str">
        <f aca="false">IF(T934&lt;0,"Loss",IF(T934=0,"Break-even","Profit"))</f>
        <v>Loss</v>
      </c>
      <c r="V934" s="3" t="str">
        <f aca="false">IF(Q934&lt;100,"Low",IF(Q934&lt;=500,"Medium","High"))</f>
        <v>High</v>
      </c>
      <c r="W934" s="3" t="n">
        <f aca="false">D934-C934</f>
        <v>1</v>
      </c>
      <c r="X934" s="3" t="str">
        <f aca="false">TEXT(C934,"mmmm")</f>
        <v>October</v>
      </c>
      <c r="Y934" s="3" t="str">
        <f aca="false">LEFT(G934,1)&amp;MID(G934,FIND(" ",G934)+1,1)</f>
        <v>DM</v>
      </c>
    </row>
    <row r="935" customFormat="false" ht="15" hidden="false" customHeight="false" outlineLevel="0" collapsed="false">
      <c r="A935" s="3" t="n">
        <v>934</v>
      </c>
      <c r="B935" s="3" t="s">
        <v>2365</v>
      </c>
      <c r="C935" s="4" t="s">
        <v>2364</v>
      </c>
      <c r="D935" s="4" t="s">
        <v>2366</v>
      </c>
      <c r="E935" s="3" t="s">
        <v>84</v>
      </c>
      <c r="F935" s="3" t="s">
        <v>125</v>
      </c>
      <c r="G935" s="3" t="s">
        <v>126</v>
      </c>
      <c r="H935" s="3" t="s">
        <v>45</v>
      </c>
      <c r="I935" s="3" t="s">
        <v>32</v>
      </c>
      <c r="J935" s="3" t="s">
        <v>179</v>
      </c>
      <c r="K935" s="3" t="s">
        <v>47</v>
      </c>
      <c r="L935" s="3" t="s">
        <v>35</v>
      </c>
      <c r="M935" s="3" t="s">
        <v>209</v>
      </c>
      <c r="N935" s="3" t="s">
        <v>49</v>
      </c>
      <c r="O935" s="3" t="s">
        <v>106</v>
      </c>
      <c r="P935" s="3" t="s">
        <v>210</v>
      </c>
      <c r="Q935" s="5" t="n">
        <v>310.73</v>
      </c>
      <c r="R935" s="3" t="n">
        <v>4</v>
      </c>
      <c r="S935" s="6" t="n">
        <v>0.5</v>
      </c>
      <c r="T935" s="5" t="n">
        <v>-28.59</v>
      </c>
      <c r="U935" s="3" t="str">
        <f aca="false">IF(T935&lt;0,"Loss",IF(T935=0,"Break-even","Profit"))</f>
        <v>Loss</v>
      </c>
      <c r="V935" s="3" t="str">
        <f aca="false">IF(Q935&lt;100,"Low",IF(Q935&lt;=500,"Medium","High"))</f>
        <v>Medium</v>
      </c>
      <c r="W935" s="3" t="n">
        <f aca="false">D935-C935</f>
        <v>4</v>
      </c>
      <c r="X935" s="3" t="str">
        <f aca="false">TEXT(C935,"mmmm")</f>
        <v>October</v>
      </c>
      <c r="Y935" s="3" t="str">
        <f aca="false">LEFT(G935,1)&amp;MID(G935,FIND(" ",G935)+1,1)</f>
        <v>LM</v>
      </c>
    </row>
    <row r="936" customFormat="false" ht="15" hidden="false" customHeight="false" outlineLevel="0" collapsed="false">
      <c r="A936" s="3" t="n">
        <v>935</v>
      </c>
      <c r="B936" s="3" t="s">
        <v>2367</v>
      </c>
      <c r="C936" s="4" t="s">
        <v>2364</v>
      </c>
      <c r="D936" s="4" t="s">
        <v>2368</v>
      </c>
      <c r="E936" s="3" t="s">
        <v>84</v>
      </c>
      <c r="F936" s="3" t="s">
        <v>2088</v>
      </c>
      <c r="G936" s="3" t="s">
        <v>2089</v>
      </c>
      <c r="H936" s="3" t="s">
        <v>45</v>
      </c>
      <c r="I936" s="3" t="s">
        <v>32</v>
      </c>
      <c r="J936" s="3" t="s">
        <v>476</v>
      </c>
      <c r="K936" s="3" t="s">
        <v>366</v>
      </c>
      <c r="L936" s="3" t="s">
        <v>157</v>
      </c>
      <c r="M936" s="3" t="s">
        <v>88</v>
      </c>
      <c r="N936" s="3" t="s">
        <v>89</v>
      </c>
      <c r="O936" s="3" t="s">
        <v>90</v>
      </c>
      <c r="P936" s="3" t="s">
        <v>91</v>
      </c>
      <c r="Q936" s="5" t="n">
        <v>8864.66</v>
      </c>
      <c r="R936" s="3" t="n">
        <v>11</v>
      </c>
      <c r="S936" s="6" t="n">
        <v>0</v>
      </c>
      <c r="T936" s="5" t="n">
        <v>-1888.42</v>
      </c>
      <c r="U936" s="3" t="str">
        <f aca="false">IF(T936&lt;0,"Loss",IF(T936=0,"Break-even","Profit"))</f>
        <v>Loss</v>
      </c>
      <c r="V936" s="3" t="str">
        <f aca="false">IF(Q936&lt;100,"Low",IF(Q936&lt;=500,"Medium","High"))</f>
        <v>High</v>
      </c>
      <c r="W936" s="3" t="n">
        <f aca="false">D936-C936</f>
        <v>2</v>
      </c>
      <c r="X936" s="3" t="str">
        <f aca="false">TEXT(C936,"mmmm")</f>
        <v>October</v>
      </c>
      <c r="Y936" s="3" t="str">
        <f aca="false">LEFT(G936,1)&amp;MID(G936,FIND(" ",G936)+1,1)</f>
        <v>AS</v>
      </c>
    </row>
    <row r="937" customFormat="false" ht="15" hidden="false" customHeight="false" outlineLevel="0" collapsed="false">
      <c r="A937" s="3" t="n">
        <v>936</v>
      </c>
      <c r="B937" s="3" t="s">
        <v>1929</v>
      </c>
      <c r="C937" s="4" t="s">
        <v>2359</v>
      </c>
      <c r="D937" s="4" t="s">
        <v>2361</v>
      </c>
      <c r="E937" s="3" t="s">
        <v>84</v>
      </c>
      <c r="F937" s="3" t="s">
        <v>575</v>
      </c>
      <c r="G937" s="3" t="s">
        <v>576</v>
      </c>
      <c r="H937" s="3" t="s">
        <v>45</v>
      </c>
      <c r="I937" s="3" t="s">
        <v>32</v>
      </c>
      <c r="J937" s="3" t="s">
        <v>112</v>
      </c>
      <c r="K937" s="3" t="s">
        <v>113</v>
      </c>
      <c r="L937" s="3" t="s">
        <v>69</v>
      </c>
      <c r="M937" s="3" t="s">
        <v>190</v>
      </c>
      <c r="N937" s="3" t="s">
        <v>49</v>
      </c>
      <c r="O937" s="3" t="s">
        <v>150</v>
      </c>
      <c r="P937" s="3" t="s">
        <v>191</v>
      </c>
      <c r="Q937" s="5" t="n">
        <v>503.84</v>
      </c>
      <c r="R937" s="3" t="n">
        <v>13</v>
      </c>
      <c r="S937" s="6" t="n">
        <v>0.1</v>
      </c>
      <c r="T937" s="5" t="n">
        <v>136.17</v>
      </c>
      <c r="U937" s="3" t="str">
        <f aca="false">IF(T937&lt;0,"Loss",IF(T937=0,"Break-even","Profit"))</f>
        <v>Profit</v>
      </c>
      <c r="V937" s="3" t="str">
        <f aca="false">IF(Q937&lt;100,"Low",IF(Q937&lt;=500,"Medium","High"))</f>
        <v>High</v>
      </c>
      <c r="W937" s="3" t="n">
        <f aca="false">D937-C937</f>
        <v>4</v>
      </c>
      <c r="X937" s="3" t="str">
        <f aca="false">TEXT(C937,"mmmm")</f>
        <v>October</v>
      </c>
      <c r="Y937" s="3" t="str">
        <f aca="false">LEFT(G937,1)&amp;MID(G937,FIND(" ",G937)+1,1)</f>
        <v>PC</v>
      </c>
    </row>
    <row r="938" customFormat="false" ht="15" hidden="false" customHeight="false" outlineLevel="0" collapsed="false">
      <c r="A938" s="3" t="n">
        <v>937</v>
      </c>
      <c r="B938" s="3" t="s">
        <v>2369</v>
      </c>
      <c r="C938" s="4" t="s">
        <v>2368</v>
      </c>
      <c r="D938" s="4" t="s">
        <v>2370</v>
      </c>
      <c r="E938" s="3" t="s">
        <v>28</v>
      </c>
      <c r="F938" s="3" t="s">
        <v>1689</v>
      </c>
      <c r="G938" s="3" t="s">
        <v>1690</v>
      </c>
      <c r="H938" s="3" t="s">
        <v>45</v>
      </c>
      <c r="I938" s="3" t="s">
        <v>32</v>
      </c>
      <c r="J938" s="3" t="s">
        <v>77</v>
      </c>
      <c r="K938" s="3" t="s">
        <v>78</v>
      </c>
      <c r="L938" s="3" t="s">
        <v>59</v>
      </c>
      <c r="M938" s="3" t="s">
        <v>420</v>
      </c>
      <c r="N938" s="3" t="s">
        <v>49</v>
      </c>
      <c r="O938" s="3" t="s">
        <v>80</v>
      </c>
      <c r="P938" s="3" t="s">
        <v>421</v>
      </c>
      <c r="Q938" s="5" t="n">
        <v>709.28</v>
      </c>
      <c r="R938" s="3" t="n">
        <v>11</v>
      </c>
      <c r="S938" s="6" t="n">
        <v>0.4</v>
      </c>
      <c r="T938" s="5" t="n">
        <v>-166.28</v>
      </c>
      <c r="U938" s="3" t="str">
        <f aca="false">IF(T938&lt;0,"Loss",IF(T938=0,"Break-even","Profit"))</f>
        <v>Loss</v>
      </c>
      <c r="V938" s="3" t="str">
        <f aca="false">IF(Q938&lt;100,"Low",IF(Q938&lt;=500,"Medium","High"))</f>
        <v>High</v>
      </c>
      <c r="W938" s="3" t="n">
        <f aca="false">D938-C938</f>
        <v>4</v>
      </c>
      <c r="X938" s="3" t="str">
        <f aca="false">TEXT(C938,"mmmm")</f>
        <v>October</v>
      </c>
      <c r="Y938" s="3" t="str">
        <f aca="false">LEFT(G938,1)&amp;MID(G938,FIND(" ",G938)+1,1)</f>
        <v>CK</v>
      </c>
    </row>
    <row r="939" customFormat="false" ht="15" hidden="false" customHeight="false" outlineLevel="0" collapsed="false">
      <c r="A939" s="3" t="n">
        <v>938</v>
      </c>
      <c r="B939" s="3" t="s">
        <v>2371</v>
      </c>
      <c r="C939" s="4" t="s">
        <v>2372</v>
      </c>
      <c r="D939" s="4" t="s">
        <v>2372</v>
      </c>
      <c r="E939" s="3" t="s">
        <v>53</v>
      </c>
      <c r="F939" s="3" t="s">
        <v>1485</v>
      </c>
      <c r="G939" s="3" t="s">
        <v>1486</v>
      </c>
      <c r="H939" s="3" t="s">
        <v>45</v>
      </c>
      <c r="I939" s="3" t="s">
        <v>32</v>
      </c>
      <c r="J939" s="3" t="s">
        <v>104</v>
      </c>
      <c r="K939" s="3" t="s">
        <v>96</v>
      </c>
      <c r="L939" s="3" t="s">
        <v>59</v>
      </c>
      <c r="M939" s="3" t="s">
        <v>105</v>
      </c>
      <c r="N939" s="3" t="s">
        <v>49</v>
      </c>
      <c r="O939" s="3" t="s">
        <v>106</v>
      </c>
      <c r="P939" s="3" t="s">
        <v>107</v>
      </c>
      <c r="Q939" s="5" t="n">
        <v>301.97</v>
      </c>
      <c r="R939" s="3" t="n">
        <v>3</v>
      </c>
      <c r="S939" s="6" t="n">
        <v>0</v>
      </c>
      <c r="T939" s="5" t="n">
        <v>26.99</v>
      </c>
      <c r="U939" s="3" t="str">
        <f aca="false">IF(T939&lt;0,"Loss",IF(T939=0,"Break-even","Profit"))</f>
        <v>Profit</v>
      </c>
      <c r="V939" s="3" t="str">
        <f aca="false">IF(Q939&lt;100,"Low",IF(Q939&lt;=500,"Medium","High"))</f>
        <v>Medium</v>
      </c>
      <c r="W939" s="3" t="n">
        <f aca="false">D939-C939</f>
        <v>0</v>
      </c>
      <c r="X939" s="3" t="str">
        <f aca="false">TEXT(C939,"mmmm")</f>
        <v>October</v>
      </c>
      <c r="Y939" s="3" t="str">
        <f aca="false">LEFT(G939,1)&amp;MID(G939,FIND(" ",G939)+1,1)</f>
        <v>SC</v>
      </c>
    </row>
    <row r="940" customFormat="false" ht="15" hidden="false" customHeight="false" outlineLevel="0" collapsed="false">
      <c r="A940" s="3" t="n">
        <v>939</v>
      </c>
      <c r="B940" s="3" t="s">
        <v>2373</v>
      </c>
      <c r="C940" s="4" t="s">
        <v>2366</v>
      </c>
      <c r="D940" s="4" t="s">
        <v>2374</v>
      </c>
      <c r="E940" s="3" t="s">
        <v>28</v>
      </c>
      <c r="F940" s="3" t="s">
        <v>880</v>
      </c>
      <c r="G940" s="3" t="s">
        <v>881</v>
      </c>
      <c r="H940" s="3" t="s">
        <v>56</v>
      </c>
      <c r="I940" s="3" t="s">
        <v>32</v>
      </c>
      <c r="J940" s="3" t="s">
        <v>171</v>
      </c>
      <c r="K940" s="3" t="s">
        <v>172</v>
      </c>
      <c r="L940" s="3" t="s">
        <v>157</v>
      </c>
      <c r="M940" s="3" t="s">
        <v>334</v>
      </c>
      <c r="N940" s="3" t="s">
        <v>37</v>
      </c>
      <c r="O940" s="3" t="s">
        <v>136</v>
      </c>
      <c r="P940" s="3" t="s">
        <v>335</v>
      </c>
      <c r="Q940" s="5" t="n">
        <v>2728.5</v>
      </c>
      <c r="R940" s="3" t="n">
        <v>3</v>
      </c>
      <c r="S940" s="6" t="n">
        <v>0.1</v>
      </c>
      <c r="T940" s="5" t="n">
        <v>-281.81</v>
      </c>
      <c r="U940" s="3" t="str">
        <f aca="false">IF(T940&lt;0,"Loss",IF(T940=0,"Break-even","Profit"))</f>
        <v>Loss</v>
      </c>
      <c r="V940" s="3" t="str">
        <f aca="false">IF(Q940&lt;100,"Low",IF(Q940&lt;=500,"Medium","High"))</f>
        <v>High</v>
      </c>
      <c r="W940" s="3" t="n">
        <f aca="false">D940-C940</f>
        <v>6</v>
      </c>
      <c r="X940" s="3" t="str">
        <f aca="false">TEXT(C940,"mmmm")</f>
        <v>October</v>
      </c>
      <c r="Y940" s="3" t="str">
        <f aca="false">LEFT(G940,1)&amp;MID(G940,FIND(" ",G940)+1,1)</f>
        <v>MK</v>
      </c>
    </row>
    <row r="941" customFormat="false" ht="15" hidden="false" customHeight="false" outlineLevel="0" collapsed="false">
      <c r="A941" s="3" t="n">
        <v>940</v>
      </c>
      <c r="B941" s="3" t="s">
        <v>1580</v>
      </c>
      <c r="C941" s="4" t="s">
        <v>2366</v>
      </c>
      <c r="D941" s="4" t="s">
        <v>2374</v>
      </c>
      <c r="E941" s="3" t="s">
        <v>28</v>
      </c>
      <c r="F941" s="3" t="s">
        <v>644</v>
      </c>
      <c r="G941" s="3" t="s">
        <v>645</v>
      </c>
      <c r="H941" s="3" t="s">
        <v>56</v>
      </c>
      <c r="I941" s="3" t="s">
        <v>32</v>
      </c>
      <c r="J941" s="3" t="s">
        <v>104</v>
      </c>
      <c r="K941" s="3" t="s">
        <v>96</v>
      </c>
      <c r="L941" s="3" t="s">
        <v>59</v>
      </c>
      <c r="M941" s="3" t="s">
        <v>190</v>
      </c>
      <c r="N941" s="3" t="s">
        <v>49</v>
      </c>
      <c r="O941" s="3" t="s">
        <v>150</v>
      </c>
      <c r="P941" s="3" t="s">
        <v>191</v>
      </c>
      <c r="Q941" s="5" t="n">
        <v>351.57</v>
      </c>
      <c r="R941" s="3" t="n">
        <v>4</v>
      </c>
      <c r="S941" s="6" t="n">
        <v>0.3</v>
      </c>
      <c r="T941" s="5" t="n">
        <v>47.91</v>
      </c>
      <c r="U941" s="3" t="str">
        <f aca="false">IF(T941&lt;0,"Loss",IF(T941=0,"Break-even","Profit"))</f>
        <v>Profit</v>
      </c>
      <c r="V941" s="3" t="str">
        <f aca="false">IF(Q941&lt;100,"Low",IF(Q941&lt;=500,"Medium","High"))</f>
        <v>Medium</v>
      </c>
      <c r="W941" s="3" t="n">
        <f aca="false">D941-C941</f>
        <v>6</v>
      </c>
      <c r="X941" s="3" t="str">
        <f aca="false">TEXT(C941,"mmmm")</f>
        <v>October</v>
      </c>
      <c r="Y941" s="3" t="str">
        <f aca="false">LEFT(G941,1)&amp;MID(G941,FIND(" ",G941)+1,1)</f>
        <v>LJ</v>
      </c>
    </row>
    <row r="942" customFormat="false" ht="15" hidden="false" customHeight="false" outlineLevel="0" collapsed="false">
      <c r="A942" s="3" t="n">
        <v>941</v>
      </c>
      <c r="B942" s="3" t="s">
        <v>1822</v>
      </c>
      <c r="C942" s="4" t="s">
        <v>2366</v>
      </c>
      <c r="D942" s="4" t="s">
        <v>2375</v>
      </c>
      <c r="E942" s="3" t="s">
        <v>28</v>
      </c>
      <c r="F942" s="3" t="s">
        <v>1674</v>
      </c>
      <c r="G942" s="3" t="s">
        <v>1675</v>
      </c>
      <c r="H942" s="3" t="s">
        <v>56</v>
      </c>
      <c r="I942" s="3" t="s">
        <v>32</v>
      </c>
      <c r="J942" s="3" t="s">
        <v>148</v>
      </c>
      <c r="K942" s="3" t="s">
        <v>78</v>
      </c>
      <c r="L942" s="3" t="s">
        <v>59</v>
      </c>
      <c r="M942" s="3" t="s">
        <v>70</v>
      </c>
      <c r="N942" s="3" t="s">
        <v>37</v>
      </c>
      <c r="O942" s="3" t="s">
        <v>71</v>
      </c>
      <c r="P942" s="3" t="s">
        <v>72</v>
      </c>
      <c r="Q942" s="5" t="n">
        <v>3603.77</v>
      </c>
      <c r="R942" s="3" t="n">
        <v>4</v>
      </c>
      <c r="S942" s="6" t="n">
        <v>0</v>
      </c>
      <c r="T942" s="5" t="n">
        <v>761.2</v>
      </c>
      <c r="U942" s="3" t="str">
        <f aca="false">IF(T942&lt;0,"Loss",IF(T942=0,"Break-even","Profit"))</f>
        <v>Profit</v>
      </c>
      <c r="V942" s="3" t="str">
        <f aca="false">IF(Q942&lt;100,"Low",IF(Q942&lt;=500,"Medium","High"))</f>
        <v>High</v>
      </c>
      <c r="W942" s="3" t="n">
        <f aca="false">D942-C942</f>
        <v>3</v>
      </c>
      <c r="X942" s="3" t="str">
        <f aca="false">TEXT(C942,"mmmm")</f>
        <v>October</v>
      </c>
      <c r="Y942" s="3" t="str">
        <f aca="false">LEFT(G942,1)&amp;MID(G942,FIND(" ",G942)+1,1)</f>
        <v>RS</v>
      </c>
    </row>
    <row r="943" customFormat="false" ht="15" hidden="false" customHeight="false" outlineLevel="0" collapsed="false">
      <c r="A943" s="3" t="n">
        <v>942</v>
      </c>
      <c r="B943" s="3" t="s">
        <v>2376</v>
      </c>
      <c r="C943" s="4" t="s">
        <v>2361</v>
      </c>
      <c r="D943" s="4" t="s">
        <v>2377</v>
      </c>
      <c r="E943" s="3" t="s">
        <v>84</v>
      </c>
      <c r="F943" s="3" t="s">
        <v>1086</v>
      </c>
      <c r="G943" s="3" t="s">
        <v>1087</v>
      </c>
      <c r="H943" s="3" t="s">
        <v>45</v>
      </c>
      <c r="I943" s="3" t="s">
        <v>32</v>
      </c>
      <c r="J943" s="3" t="s">
        <v>285</v>
      </c>
      <c r="K943" s="3" t="s">
        <v>202</v>
      </c>
      <c r="L943" s="3" t="s">
        <v>35</v>
      </c>
      <c r="M943" s="3" t="s">
        <v>237</v>
      </c>
      <c r="N943" s="3" t="s">
        <v>49</v>
      </c>
      <c r="O943" s="3" t="s">
        <v>220</v>
      </c>
      <c r="P943" s="3" t="s">
        <v>238</v>
      </c>
      <c r="Q943" s="5" t="n">
        <v>123.85</v>
      </c>
      <c r="R943" s="3" t="n">
        <v>3</v>
      </c>
      <c r="S943" s="6" t="n">
        <v>0.4</v>
      </c>
      <c r="T943" s="5" t="n">
        <v>1.15</v>
      </c>
      <c r="U943" s="3" t="str">
        <f aca="false">IF(T943&lt;0,"Loss",IF(T943=0,"Break-even","Profit"))</f>
        <v>Profit</v>
      </c>
      <c r="V943" s="3" t="str">
        <f aca="false">IF(Q943&lt;100,"Low",IF(Q943&lt;=500,"Medium","High"))</f>
        <v>Medium</v>
      </c>
      <c r="W943" s="3" t="n">
        <f aca="false">D943-C943</f>
        <v>4</v>
      </c>
      <c r="X943" s="3" t="str">
        <f aca="false">TEXT(C943,"mmmm")</f>
        <v>October</v>
      </c>
      <c r="Y943" s="3" t="str">
        <f aca="false">LEFT(G943,1)&amp;MID(G943,FIND(" ",G943)+1,1)</f>
        <v>AB</v>
      </c>
    </row>
    <row r="944" customFormat="false" ht="15" hidden="false" customHeight="false" outlineLevel="0" collapsed="false">
      <c r="A944" s="3" t="n">
        <v>943</v>
      </c>
      <c r="B944" s="3" t="s">
        <v>2378</v>
      </c>
      <c r="C944" s="4" t="s">
        <v>2361</v>
      </c>
      <c r="D944" s="4" t="s">
        <v>2377</v>
      </c>
      <c r="E944" s="3" t="s">
        <v>84</v>
      </c>
      <c r="F944" s="3" t="s">
        <v>1131</v>
      </c>
      <c r="G944" s="3" t="s">
        <v>1132</v>
      </c>
      <c r="H944" s="3" t="s">
        <v>45</v>
      </c>
      <c r="I944" s="3" t="s">
        <v>32</v>
      </c>
      <c r="J944" s="3" t="s">
        <v>57</v>
      </c>
      <c r="K944" s="3" t="s">
        <v>58</v>
      </c>
      <c r="L944" s="3" t="s">
        <v>59</v>
      </c>
      <c r="M944" s="3" t="s">
        <v>36</v>
      </c>
      <c r="N944" s="3" t="s">
        <v>37</v>
      </c>
      <c r="O944" s="3" t="s">
        <v>38</v>
      </c>
      <c r="P944" s="3" t="s">
        <v>39</v>
      </c>
      <c r="Q944" s="5" t="n">
        <v>159.91</v>
      </c>
      <c r="R944" s="3" t="n">
        <v>5</v>
      </c>
      <c r="S944" s="6" t="n">
        <v>0.5</v>
      </c>
      <c r="T944" s="5" t="n">
        <v>-6</v>
      </c>
      <c r="U944" s="3" t="str">
        <f aca="false">IF(T944&lt;0,"Loss",IF(T944=0,"Break-even","Profit"))</f>
        <v>Loss</v>
      </c>
      <c r="V944" s="3" t="str">
        <f aca="false">IF(Q944&lt;100,"Low",IF(Q944&lt;=500,"Medium","High"))</f>
        <v>Medium</v>
      </c>
      <c r="W944" s="3" t="n">
        <f aca="false">D944-C944</f>
        <v>4</v>
      </c>
      <c r="X944" s="3" t="str">
        <f aca="false">TEXT(C944,"mmmm")</f>
        <v>October</v>
      </c>
      <c r="Y944" s="3" t="str">
        <f aca="false">LEFT(G944,1)&amp;MID(G944,FIND(" ",G944)+1,1)</f>
        <v>JJ</v>
      </c>
    </row>
    <row r="945" customFormat="false" ht="15" hidden="false" customHeight="false" outlineLevel="0" collapsed="false">
      <c r="A945" s="3" t="n">
        <v>944</v>
      </c>
      <c r="B945" s="3" t="s">
        <v>2379</v>
      </c>
      <c r="C945" s="4" t="s">
        <v>2361</v>
      </c>
      <c r="D945" s="4" t="s">
        <v>2377</v>
      </c>
      <c r="E945" s="3" t="s">
        <v>84</v>
      </c>
      <c r="F945" s="3" t="s">
        <v>1053</v>
      </c>
      <c r="G945" s="3" t="s">
        <v>1054</v>
      </c>
      <c r="H945" s="3" t="s">
        <v>31</v>
      </c>
      <c r="I945" s="3" t="s">
        <v>32</v>
      </c>
      <c r="J945" s="3" t="s">
        <v>365</v>
      </c>
      <c r="K945" s="3" t="s">
        <v>366</v>
      </c>
      <c r="L945" s="3" t="s">
        <v>157</v>
      </c>
      <c r="M945" s="3" t="s">
        <v>334</v>
      </c>
      <c r="N945" s="3" t="s">
        <v>37</v>
      </c>
      <c r="O945" s="3" t="s">
        <v>136</v>
      </c>
      <c r="P945" s="3" t="s">
        <v>335</v>
      </c>
      <c r="Q945" s="5" t="n">
        <v>3846.48</v>
      </c>
      <c r="R945" s="3" t="n">
        <v>13</v>
      </c>
      <c r="S945" s="6" t="n">
        <v>0.1</v>
      </c>
      <c r="T945" s="5" t="n">
        <v>958.29</v>
      </c>
      <c r="U945" s="3" t="str">
        <f aca="false">IF(T945&lt;0,"Loss",IF(T945=0,"Break-even","Profit"))</f>
        <v>Profit</v>
      </c>
      <c r="V945" s="3" t="str">
        <f aca="false">IF(Q945&lt;100,"Low",IF(Q945&lt;=500,"Medium","High"))</f>
        <v>High</v>
      </c>
      <c r="W945" s="3" t="n">
        <f aca="false">D945-C945</f>
        <v>4</v>
      </c>
      <c r="X945" s="3" t="str">
        <f aca="false">TEXT(C945,"mmmm")</f>
        <v>October</v>
      </c>
      <c r="Y945" s="3" t="str">
        <f aca="false">LEFT(G945,1)&amp;MID(G945,FIND(" ",G945)+1,1)</f>
        <v>MS</v>
      </c>
    </row>
    <row r="946" customFormat="false" ht="15" hidden="false" customHeight="false" outlineLevel="0" collapsed="false">
      <c r="A946" s="3" t="n">
        <v>945</v>
      </c>
      <c r="B946" s="3" t="s">
        <v>2380</v>
      </c>
      <c r="C946" s="4" t="s">
        <v>2361</v>
      </c>
      <c r="D946" s="4" t="s">
        <v>2375</v>
      </c>
      <c r="E946" s="3" t="s">
        <v>42</v>
      </c>
      <c r="F946" s="3" t="s">
        <v>232</v>
      </c>
      <c r="G946" s="3" t="s">
        <v>233</v>
      </c>
      <c r="H946" s="3" t="s">
        <v>45</v>
      </c>
      <c r="I946" s="3" t="s">
        <v>32</v>
      </c>
      <c r="J946" s="3" t="s">
        <v>112</v>
      </c>
      <c r="K946" s="3" t="s">
        <v>113</v>
      </c>
      <c r="L946" s="3" t="s">
        <v>69</v>
      </c>
      <c r="M946" s="3" t="s">
        <v>659</v>
      </c>
      <c r="N946" s="3" t="s">
        <v>89</v>
      </c>
      <c r="O946" s="3" t="s">
        <v>323</v>
      </c>
      <c r="P946" s="3" t="s">
        <v>660</v>
      </c>
      <c r="Q946" s="5" t="n">
        <v>2547.53</v>
      </c>
      <c r="R946" s="3" t="n">
        <v>6</v>
      </c>
      <c r="S946" s="6" t="n">
        <v>0.5</v>
      </c>
      <c r="T946" s="5" t="n">
        <v>-483.87</v>
      </c>
      <c r="U946" s="3" t="str">
        <f aca="false">IF(T946&lt;0,"Loss",IF(T946=0,"Break-even","Profit"))</f>
        <v>Loss</v>
      </c>
      <c r="V946" s="3" t="str">
        <f aca="false">IF(Q946&lt;100,"Low",IF(Q946&lt;=500,"Medium","High"))</f>
        <v>High</v>
      </c>
      <c r="W946" s="3" t="n">
        <f aca="false">D946-C946</f>
        <v>2</v>
      </c>
      <c r="X946" s="3" t="str">
        <f aca="false">TEXT(C946,"mmmm")</f>
        <v>October</v>
      </c>
      <c r="Y946" s="3" t="str">
        <f aca="false">LEFT(G946,1)&amp;MID(G946,FIND(" ",G946)+1,1)</f>
        <v>PN</v>
      </c>
    </row>
    <row r="947" customFormat="false" ht="15" hidden="false" customHeight="false" outlineLevel="0" collapsed="false">
      <c r="A947" s="3" t="n">
        <v>946</v>
      </c>
      <c r="B947" s="3" t="s">
        <v>2381</v>
      </c>
      <c r="C947" s="4" t="s">
        <v>2370</v>
      </c>
      <c r="D947" s="4" t="s">
        <v>2382</v>
      </c>
      <c r="E947" s="3" t="s">
        <v>42</v>
      </c>
      <c r="F947" s="3" t="s">
        <v>527</v>
      </c>
      <c r="G947" s="3" t="s">
        <v>528</v>
      </c>
      <c r="H947" s="3" t="s">
        <v>31</v>
      </c>
      <c r="I947" s="3" t="s">
        <v>32</v>
      </c>
      <c r="J947" s="3" t="s">
        <v>171</v>
      </c>
      <c r="K947" s="3" t="s">
        <v>172</v>
      </c>
      <c r="L947" s="3" t="s">
        <v>157</v>
      </c>
      <c r="M947" s="3" t="s">
        <v>121</v>
      </c>
      <c r="N947" s="3" t="s">
        <v>49</v>
      </c>
      <c r="O947" s="3" t="s">
        <v>50</v>
      </c>
      <c r="P947" s="3" t="s">
        <v>122</v>
      </c>
      <c r="Q947" s="5" t="n">
        <v>114.45</v>
      </c>
      <c r="R947" s="3" t="n">
        <v>1</v>
      </c>
      <c r="S947" s="6" t="n">
        <v>0.1</v>
      </c>
      <c r="T947" s="5" t="n">
        <v>37.32</v>
      </c>
      <c r="U947" s="3" t="str">
        <f aca="false">IF(T947&lt;0,"Loss",IF(T947=0,"Break-even","Profit"))</f>
        <v>Profit</v>
      </c>
      <c r="V947" s="3" t="str">
        <f aca="false">IF(Q947&lt;100,"Low",IF(Q947&lt;=500,"Medium","High"))</f>
        <v>Medium</v>
      </c>
      <c r="W947" s="3" t="n">
        <f aca="false">D947-C947</f>
        <v>2</v>
      </c>
      <c r="X947" s="3" t="str">
        <f aca="false">TEXT(C947,"mmmm")</f>
        <v>October</v>
      </c>
      <c r="Y947" s="3" t="str">
        <f aca="false">LEFT(G947,1)&amp;MID(G947,FIND(" ",G947)+1,1)</f>
        <v>CC</v>
      </c>
    </row>
    <row r="948" customFormat="false" ht="15" hidden="false" customHeight="false" outlineLevel="0" collapsed="false">
      <c r="A948" s="3" t="n">
        <v>947</v>
      </c>
      <c r="B948" s="3" t="s">
        <v>2383</v>
      </c>
      <c r="C948" s="4" t="s">
        <v>2370</v>
      </c>
      <c r="D948" s="4" t="s">
        <v>2384</v>
      </c>
      <c r="E948" s="3" t="s">
        <v>28</v>
      </c>
      <c r="F948" s="3" t="s">
        <v>2385</v>
      </c>
      <c r="G948" s="3" t="s">
        <v>2386</v>
      </c>
      <c r="H948" s="3" t="s">
        <v>56</v>
      </c>
      <c r="I948" s="3" t="s">
        <v>32</v>
      </c>
      <c r="J948" s="3" t="s">
        <v>148</v>
      </c>
      <c r="K948" s="3" t="s">
        <v>78</v>
      </c>
      <c r="L948" s="3" t="s">
        <v>59</v>
      </c>
      <c r="M948" s="3" t="s">
        <v>420</v>
      </c>
      <c r="N948" s="3" t="s">
        <v>49</v>
      </c>
      <c r="O948" s="3" t="s">
        <v>80</v>
      </c>
      <c r="P948" s="3" t="s">
        <v>421</v>
      </c>
      <c r="Q948" s="5" t="n">
        <v>791.14</v>
      </c>
      <c r="R948" s="3" t="n">
        <v>14</v>
      </c>
      <c r="S948" s="6" t="n">
        <v>0</v>
      </c>
      <c r="T948" s="5" t="n">
        <v>133.41</v>
      </c>
      <c r="U948" s="3" t="str">
        <f aca="false">IF(T948&lt;0,"Loss",IF(T948=0,"Break-even","Profit"))</f>
        <v>Profit</v>
      </c>
      <c r="V948" s="3" t="str">
        <f aca="false">IF(Q948&lt;100,"Low",IF(Q948&lt;=500,"Medium","High"))</f>
        <v>High</v>
      </c>
      <c r="W948" s="3" t="n">
        <f aca="false">D948-C948</f>
        <v>7</v>
      </c>
      <c r="X948" s="3" t="str">
        <f aca="false">TEXT(C948,"mmmm")</f>
        <v>October</v>
      </c>
      <c r="Y948" s="3" t="str">
        <f aca="false">LEFT(G948,1)&amp;MID(G948,FIND(" ",G948)+1,1)</f>
        <v>SN</v>
      </c>
    </row>
    <row r="949" customFormat="false" ht="15" hidden="false" customHeight="false" outlineLevel="0" collapsed="false">
      <c r="A949" s="3" t="n">
        <v>948</v>
      </c>
      <c r="B949" s="3" t="s">
        <v>2387</v>
      </c>
      <c r="C949" s="4" t="s">
        <v>2375</v>
      </c>
      <c r="D949" s="4" t="s">
        <v>2388</v>
      </c>
      <c r="E949" s="3" t="s">
        <v>28</v>
      </c>
      <c r="F949" s="3" t="s">
        <v>2389</v>
      </c>
      <c r="G949" s="3" t="s">
        <v>2390</v>
      </c>
      <c r="H949" s="3" t="s">
        <v>56</v>
      </c>
      <c r="I949" s="3" t="s">
        <v>32</v>
      </c>
      <c r="J949" s="3" t="s">
        <v>548</v>
      </c>
      <c r="K949" s="3" t="s">
        <v>244</v>
      </c>
      <c r="L949" s="3" t="s">
        <v>157</v>
      </c>
      <c r="M949" s="3" t="s">
        <v>316</v>
      </c>
      <c r="N949" s="3" t="s">
        <v>49</v>
      </c>
      <c r="O949" s="3" t="s">
        <v>143</v>
      </c>
      <c r="P949" s="3" t="s">
        <v>317</v>
      </c>
      <c r="Q949" s="5" t="n">
        <v>728.88</v>
      </c>
      <c r="R949" s="3" t="n">
        <v>9</v>
      </c>
      <c r="S949" s="6" t="n">
        <v>0.1</v>
      </c>
      <c r="T949" s="5" t="n">
        <v>149.97</v>
      </c>
      <c r="U949" s="3" t="str">
        <f aca="false">IF(T949&lt;0,"Loss",IF(T949=0,"Break-even","Profit"))</f>
        <v>Profit</v>
      </c>
      <c r="V949" s="3" t="str">
        <f aca="false">IF(Q949&lt;100,"Low",IF(Q949&lt;=500,"Medium","High"))</f>
        <v>High</v>
      </c>
      <c r="W949" s="3" t="n">
        <f aca="false">D949-C949</f>
        <v>5</v>
      </c>
      <c r="X949" s="3" t="str">
        <f aca="false">TEXT(C949,"mmmm")</f>
        <v>October</v>
      </c>
      <c r="Y949" s="3" t="str">
        <f aca="false">LEFT(G949,1)&amp;MID(G949,FIND(" ",G949)+1,1)</f>
        <v>AS</v>
      </c>
    </row>
    <row r="950" customFormat="false" ht="15" hidden="false" customHeight="false" outlineLevel="0" collapsed="false">
      <c r="A950" s="3" t="n">
        <v>949</v>
      </c>
      <c r="B950" s="3" t="s">
        <v>2150</v>
      </c>
      <c r="C950" s="4" t="s">
        <v>2382</v>
      </c>
      <c r="D950" s="4" t="s">
        <v>2391</v>
      </c>
      <c r="E950" s="3" t="s">
        <v>28</v>
      </c>
      <c r="F950" s="3" t="s">
        <v>970</v>
      </c>
      <c r="G950" s="3" t="s">
        <v>971</v>
      </c>
      <c r="H950" s="3" t="s">
        <v>31</v>
      </c>
      <c r="I950" s="3" t="s">
        <v>32</v>
      </c>
      <c r="J950" s="3" t="s">
        <v>77</v>
      </c>
      <c r="K950" s="3" t="s">
        <v>78</v>
      </c>
      <c r="L950" s="3" t="s">
        <v>59</v>
      </c>
      <c r="M950" s="3" t="s">
        <v>219</v>
      </c>
      <c r="N950" s="3" t="s">
        <v>49</v>
      </c>
      <c r="O950" s="3" t="s">
        <v>220</v>
      </c>
      <c r="P950" s="3" t="s">
        <v>221</v>
      </c>
      <c r="Q950" s="5" t="n">
        <v>295.98</v>
      </c>
      <c r="R950" s="3" t="n">
        <v>14</v>
      </c>
      <c r="S950" s="6" t="n">
        <v>0.3</v>
      </c>
      <c r="T950" s="5" t="n">
        <v>-69.9</v>
      </c>
      <c r="U950" s="3" t="str">
        <f aca="false">IF(T950&lt;0,"Loss",IF(T950=0,"Break-even","Profit"))</f>
        <v>Loss</v>
      </c>
      <c r="V950" s="3" t="str">
        <f aca="false">IF(Q950&lt;100,"Low",IF(Q950&lt;=500,"Medium","High"))</f>
        <v>Medium</v>
      </c>
      <c r="W950" s="3" t="n">
        <f aca="false">D950-C950</f>
        <v>3</v>
      </c>
      <c r="X950" s="3" t="str">
        <f aca="false">TEXT(C950,"mmmm")</f>
        <v>October</v>
      </c>
      <c r="Y950" s="3" t="str">
        <f aca="false">LEFT(G950,1)&amp;MID(G950,FIND(" ",G950)+1,1)</f>
        <v>PG</v>
      </c>
    </row>
    <row r="951" customFormat="false" ht="15" hidden="false" customHeight="false" outlineLevel="0" collapsed="false">
      <c r="A951" s="3" t="n">
        <v>950</v>
      </c>
      <c r="B951" s="3" t="s">
        <v>2392</v>
      </c>
      <c r="C951" s="4" t="s">
        <v>2382</v>
      </c>
      <c r="D951" s="4" t="s">
        <v>2393</v>
      </c>
      <c r="E951" s="3" t="s">
        <v>28</v>
      </c>
      <c r="F951" s="3" t="s">
        <v>2354</v>
      </c>
      <c r="G951" s="3" t="s">
        <v>2355</v>
      </c>
      <c r="H951" s="3" t="s">
        <v>56</v>
      </c>
      <c r="I951" s="3" t="s">
        <v>32</v>
      </c>
      <c r="J951" s="3" t="s">
        <v>188</v>
      </c>
      <c r="K951" s="3" t="s">
        <v>189</v>
      </c>
      <c r="L951" s="3" t="s">
        <v>59</v>
      </c>
      <c r="M951" s="3" t="s">
        <v>60</v>
      </c>
      <c r="N951" s="3" t="s">
        <v>49</v>
      </c>
      <c r="O951" s="3" t="s">
        <v>61</v>
      </c>
      <c r="P951" s="3" t="s">
        <v>62</v>
      </c>
      <c r="Q951" s="5" t="n">
        <v>226.93</v>
      </c>
      <c r="R951" s="3" t="n">
        <v>3</v>
      </c>
      <c r="S951" s="6" t="n">
        <v>0.3</v>
      </c>
      <c r="T951" s="5" t="n">
        <v>28.82</v>
      </c>
      <c r="U951" s="3" t="str">
        <f aca="false">IF(T951&lt;0,"Loss",IF(T951=0,"Break-even","Profit"))</f>
        <v>Profit</v>
      </c>
      <c r="V951" s="3" t="str">
        <f aca="false">IF(Q951&lt;100,"Low",IF(Q951&lt;=500,"Medium","High"))</f>
        <v>Medium</v>
      </c>
      <c r="W951" s="3" t="n">
        <f aca="false">D951-C951</f>
        <v>6</v>
      </c>
      <c r="X951" s="3" t="str">
        <f aca="false">TEXT(C951,"mmmm")</f>
        <v>October</v>
      </c>
      <c r="Y951" s="3" t="str">
        <f aca="false">LEFT(G951,1)&amp;MID(G951,FIND(" ",G951)+1,1)</f>
        <v>PS</v>
      </c>
    </row>
    <row r="952" customFormat="false" ht="15" hidden="false" customHeight="false" outlineLevel="0" collapsed="false">
      <c r="A952" s="3" t="n">
        <v>951</v>
      </c>
      <c r="B952" s="3" t="s">
        <v>2394</v>
      </c>
      <c r="C952" s="4" t="s">
        <v>2374</v>
      </c>
      <c r="D952" s="4" t="s">
        <v>2395</v>
      </c>
      <c r="E952" s="3" t="s">
        <v>28</v>
      </c>
      <c r="F952" s="3" t="s">
        <v>2396</v>
      </c>
      <c r="G952" s="3" t="s">
        <v>2397</v>
      </c>
      <c r="H952" s="3" t="s">
        <v>56</v>
      </c>
      <c r="I952" s="3" t="s">
        <v>32</v>
      </c>
      <c r="J952" s="3" t="s">
        <v>476</v>
      </c>
      <c r="K952" s="3" t="s">
        <v>366</v>
      </c>
      <c r="L952" s="3" t="s">
        <v>157</v>
      </c>
      <c r="M952" s="3" t="s">
        <v>195</v>
      </c>
      <c r="N952" s="3" t="s">
        <v>37</v>
      </c>
      <c r="O952" s="3" t="s">
        <v>196</v>
      </c>
      <c r="P952" s="3" t="s">
        <v>197</v>
      </c>
      <c r="Q952" s="5" t="n">
        <v>3998.4</v>
      </c>
      <c r="R952" s="3" t="n">
        <v>8</v>
      </c>
      <c r="S952" s="6" t="n">
        <v>0.4</v>
      </c>
      <c r="T952" s="5" t="n">
        <v>-794.39</v>
      </c>
      <c r="U952" s="3" t="str">
        <f aca="false">IF(T952&lt;0,"Loss",IF(T952=0,"Break-even","Profit"))</f>
        <v>Loss</v>
      </c>
      <c r="V952" s="3" t="str">
        <f aca="false">IF(Q952&lt;100,"Low",IF(Q952&lt;=500,"Medium","High"))</f>
        <v>High</v>
      </c>
      <c r="W952" s="3" t="n">
        <f aca="false">D952-C952</f>
        <v>5</v>
      </c>
      <c r="X952" s="3" t="str">
        <f aca="false">TEXT(C952,"mmmm")</f>
        <v>October</v>
      </c>
      <c r="Y952" s="3" t="str">
        <f aca="false">LEFT(G952,1)&amp;MID(G952,FIND(" ",G952)+1,1)</f>
        <v>WA</v>
      </c>
    </row>
    <row r="953" customFormat="false" ht="15" hidden="false" customHeight="false" outlineLevel="0" collapsed="false">
      <c r="A953" s="3" t="n">
        <v>952</v>
      </c>
      <c r="B953" s="3" t="s">
        <v>2398</v>
      </c>
      <c r="C953" s="4" t="s">
        <v>2374</v>
      </c>
      <c r="D953" s="4" t="s">
        <v>2393</v>
      </c>
      <c r="E953" s="3" t="s">
        <v>28</v>
      </c>
      <c r="F953" s="3" t="s">
        <v>2396</v>
      </c>
      <c r="G953" s="3" t="s">
        <v>2397</v>
      </c>
      <c r="H953" s="3" t="s">
        <v>45</v>
      </c>
      <c r="I953" s="3" t="s">
        <v>32</v>
      </c>
      <c r="J953" s="3" t="s">
        <v>67</v>
      </c>
      <c r="K953" s="3" t="s">
        <v>68</v>
      </c>
      <c r="L953" s="3" t="s">
        <v>69</v>
      </c>
      <c r="M953" s="3" t="s">
        <v>60</v>
      </c>
      <c r="N953" s="3" t="s">
        <v>49</v>
      </c>
      <c r="O953" s="3" t="s">
        <v>61</v>
      </c>
      <c r="P953" s="3" t="s">
        <v>62</v>
      </c>
      <c r="Q953" s="5" t="n">
        <v>486.92</v>
      </c>
      <c r="R953" s="3" t="n">
        <v>14</v>
      </c>
      <c r="S953" s="6" t="n">
        <v>0.1</v>
      </c>
      <c r="T953" s="5" t="n">
        <v>59.81</v>
      </c>
      <c r="U953" s="3" t="str">
        <f aca="false">IF(T953&lt;0,"Loss",IF(T953=0,"Break-even","Profit"))</f>
        <v>Profit</v>
      </c>
      <c r="V953" s="3" t="str">
        <f aca="false">IF(Q953&lt;100,"Low",IF(Q953&lt;=500,"Medium","High"))</f>
        <v>Medium</v>
      </c>
      <c r="W953" s="3" t="n">
        <f aca="false">D953-C953</f>
        <v>4</v>
      </c>
      <c r="X953" s="3" t="str">
        <f aca="false">TEXT(C953,"mmmm")</f>
        <v>October</v>
      </c>
      <c r="Y953" s="3" t="str">
        <f aca="false">LEFT(G953,1)&amp;MID(G953,FIND(" ",G953)+1,1)</f>
        <v>WA</v>
      </c>
    </row>
    <row r="954" customFormat="false" ht="15" hidden="false" customHeight="false" outlineLevel="0" collapsed="false">
      <c r="A954" s="3" t="n">
        <v>953</v>
      </c>
      <c r="B954" s="3" t="s">
        <v>2399</v>
      </c>
      <c r="C954" s="4" t="s">
        <v>2374</v>
      </c>
      <c r="D954" s="4" t="s">
        <v>2391</v>
      </c>
      <c r="E954" s="3" t="s">
        <v>42</v>
      </c>
      <c r="F954" s="3" t="s">
        <v>263</v>
      </c>
      <c r="G954" s="3" t="s">
        <v>264</v>
      </c>
      <c r="H954" s="3" t="s">
        <v>56</v>
      </c>
      <c r="I954" s="3" t="s">
        <v>32</v>
      </c>
      <c r="J954" s="3" t="s">
        <v>679</v>
      </c>
      <c r="K954" s="3" t="s">
        <v>202</v>
      </c>
      <c r="L954" s="3" t="s">
        <v>35</v>
      </c>
      <c r="M954" s="3" t="s">
        <v>290</v>
      </c>
      <c r="N954" s="3" t="s">
        <v>37</v>
      </c>
      <c r="O954" s="3" t="s">
        <v>38</v>
      </c>
      <c r="P954" s="3" t="s">
        <v>291</v>
      </c>
      <c r="Q954" s="5" t="n">
        <v>6433.3</v>
      </c>
      <c r="R954" s="3" t="n">
        <v>6</v>
      </c>
      <c r="S954" s="6" t="n">
        <v>0</v>
      </c>
      <c r="T954" s="5" t="n">
        <v>-1239.9</v>
      </c>
      <c r="U954" s="3" t="str">
        <f aca="false">IF(T954&lt;0,"Loss",IF(T954=0,"Break-even","Profit"))</f>
        <v>Loss</v>
      </c>
      <c r="V954" s="3" t="str">
        <f aca="false">IF(Q954&lt;100,"Low",IF(Q954&lt;=500,"Medium","High"))</f>
        <v>High</v>
      </c>
      <c r="W954" s="3" t="n">
        <f aca="false">D954-C954</f>
        <v>1</v>
      </c>
      <c r="X954" s="3" t="str">
        <f aca="false">TEXT(C954,"mmmm")</f>
        <v>October</v>
      </c>
      <c r="Y954" s="3" t="str">
        <f aca="false">LEFT(G954,1)&amp;MID(G954,FIND(" ",G954)+1,1)</f>
        <v>MB</v>
      </c>
    </row>
    <row r="955" customFormat="false" ht="15" hidden="false" customHeight="false" outlineLevel="0" collapsed="false">
      <c r="A955" s="3" t="n">
        <v>954</v>
      </c>
      <c r="B955" s="3" t="s">
        <v>2400</v>
      </c>
      <c r="C955" s="4" t="s">
        <v>2388</v>
      </c>
      <c r="D955" s="4" t="s">
        <v>2401</v>
      </c>
      <c r="E955" s="3" t="s">
        <v>84</v>
      </c>
      <c r="F955" s="3" t="s">
        <v>501</v>
      </c>
      <c r="G955" s="3" t="s">
        <v>502</v>
      </c>
      <c r="H955" s="3" t="s">
        <v>56</v>
      </c>
      <c r="I955" s="3" t="s">
        <v>32</v>
      </c>
      <c r="J955" s="3" t="s">
        <v>77</v>
      </c>
      <c r="K955" s="3" t="s">
        <v>78</v>
      </c>
      <c r="L955" s="3" t="s">
        <v>59</v>
      </c>
      <c r="M955" s="3" t="s">
        <v>195</v>
      </c>
      <c r="N955" s="3" t="s">
        <v>37</v>
      </c>
      <c r="O955" s="3" t="s">
        <v>196</v>
      </c>
      <c r="P955" s="3" t="s">
        <v>197</v>
      </c>
      <c r="Q955" s="5" t="n">
        <v>9022.81</v>
      </c>
      <c r="R955" s="3" t="n">
        <v>8</v>
      </c>
      <c r="S955" s="6" t="n">
        <v>0.5</v>
      </c>
      <c r="T955" s="5" t="n">
        <v>1135.24</v>
      </c>
      <c r="U955" s="3" t="str">
        <f aca="false">IF(T955&lt;0,"Loss",IF(T955=0,"Break-even","Profit"))</f>
        <v>Profit</v>
      </c>
      <c r="V955" s="3" t="str">
        <f aca="false">IF(Q955&lt;100,"Low",IF(Q955&lt;=500,"Medium","High"))</f>
        <v>High</v>
      </c>
      <c r="W955" s="3" t="n">
        <f aca="false">D955-C955</f>
        <v>4</v>
      </c>
      <c r="X955" s="3" t="str">
        <f aca="false">TEXT(C955,"mmmm")</f>
        <v>November</v>
      </c>
      <c r="Y955" s="3" t="str">
        <f aca="false">LEFT(G955,1)&amp;MID(G955,FIND(" ",G955)+1,1)</f>
        <v>DR</v>
      </c>
    </row>
    <row r="956" customFormat="false" ht="15" hidden="false" customHeight="false" outlineLevel="0" collapsed="false">
      <c r="A956" s="3" t="n">
        <v>955</v>
      </c>
      <c r="B956" s="3" t="s">
        <v>2402</v>
      </c>
      <c r="C956" s="4" t="s">
        <v>2388</v>
      </c>
      <c r="D956" s="4" t="s">
        <v>2393</v>
      </c>
      <c r="E956" s="3" t="s">
        <v>42</v>
      </c>
      <c r="F956" s="3" t="s">
        <v>1388</v>
      </c>
      <c r="G956" s="3" t="s">
        <v>1389</v>
      </c>
      <c r="H956" s="3" t="s">
        <v>56</v>
      </c>
      <c r="I956" s="3" t="s">
        <v>32</v>
      </c>
      <c r="J956" s="3" t="s">
        <v>148</v>
      </c>
      <c r="K956" s="3" t="s">
        <v>78</v>
      </c>
      <c r="L956" s="3" t="s">
        <v>59</v>
      </c>
      <c r="M956" s="3" t="s">
        <v>225</v>
      </c>
      <c r="N956" s="3" t="s">
        <v>37</v>
      </c>
      <c r="O956" s="3" t="s">
        <v>196</v>
      </c>
      <c r="P956" s="3" t="s">
        <v>226</v>
      </c>
      <c r="Q956" s="5" t="n">
        <v>5236.99</v>
      </c>
      <c r="R956" s="3" t="n">
        <v>8</v>
      </c>
      <c r="S956" s="6" t="n">
        <v>0</v>
      </c>
      <c r="T956" s="5" t="n">
        <v>245.81</v>
      </c>
      <c r="U956" s="3" t="str">
        <f aca="false">IF(T956&lt;0,"Loss",IF(T956=0,"Break-even","Profit"))</f>
        <v>Profit</v>
      </c>
      <c r="V956" s="3" t="str">
        <f aca="false">IF(Q956&lt;100,"Low",IF(Q956&lt;=500,"Medium","High"))</f>
        <v>High</v>
      </c>
      <c r="W956" s="3" t="n">
        <f aca="false">D956-C956</f>
        <v>2</v>
      </c>
      <c r="X956" s="3" t="str">
        <f aca="false">TEXT(C956,"mmmm")</f>
        <v>November</v>
      </c>
      <c r="Y956" s="3" t="str">
        <f aca="false">LEFT(G956,1)&amp;MID(G956,FIND(" ",G956)+1,1)</f>
        <v>WK</v>
      </c>
    </row>
    <row r="957" customFormat="false" ht="15" hidden="false" customHeight="false" outlineLevel="0" collapsed="false">
      <c r="A957" s="3" t="n">
        <v>956</v>
      </c>
      <c r="B957" s="3" t="s">
        <v>2403</v>
      </c>
      <c r="C957" s="4" t="s">
        <v>2388</v>
      </c>
      <c r="D957" s="4" t="s">
        <v>2404</v>
      </c>
      <c r="E957" s="3" t="s">
        <v>28</v>
      </c>
      <c r="F957" s="3" t="s">
        <v>1233</v>
      </c>
      <c r="G957" s="3" t="s">
        <v>1234</v>
      </c>
      <c r="H957" s="3" t="s">
        <v>56</v>
      </c>
      <c r="I957" s="3" t="s">
        <v>32</v>
      </c>
      <c r="J957" s="3" t="s">
        <v>208</v>
      </c>
      <c r="K957" s="3" t="s">
        <v>134</v>
      </c>
      <c r="L957" s="3" t="s">
        <v>69</v>
      </c>
      <c r="M957" s="3" t="s">
        <v>334</v>
      </c>
      <c r="N957" s="3" t="s">
        <v>37</v>
      </c>
      <c r="O957" s="3" t="s">
        <v>136</v>
      </c>
      <c r="P957" s="3" t="s">
        <v>335</v>
      </c>
      <c r="Q957" s="5" t="n">
        <v>1713.22</v>
      </c>
      <c r="R957" s="3" t="n">
        <v>2</v>
      </c>
      <c r="S957" s="6" t="n">
        <v>0.1</v>
      </c>
      <c r="T957" s="5" t="n">
        <v>-394.18</v>
      </c>
      <c r="U957" s="3" t="str">
        <f aca="false">IF(T957&lt;0,"Loss",IF(T957=0,"Break-even","Profit"))</f>
        <v>Loss</v>
      </c>
      <c r="V957" s="3" t="str">
        <f aca="false">IF(Q957&lt;100,"Low",IF(Q957&lt;=500,"Medium","High"))</f>
        <v>High</v>
      </c>
      <c r="W957" s="3" t="n">
        <f aca="false">D957-C957</f>
        <v>5</v>
      </c>
      <c r="X957" s="3" t="str">
        <f aca="false">TEXT(C957,"mmmm")</f>
        <v>November</v>
      </c>
      <c r="Y957" s="3" t="str">
        <f aca="false">LEFT(G957,1)&amp;MID(G957,FIND(" ",G957)+1,1)</f>
        <v>WJ</v>
      </c>
    </row>
    <row r="958" customFormat="false" ht="15" hidden="false" customHeight="false" outlineLevel="0" collapsed="false">
      <c r="A958" s="3" t="n">
        <v>957</v>
      </c>
      <c r="B958" s="3" t="s">
        <v>2405</v>
      </c>
      <c r="C958" s="4" t="s">
        <v>2395</v>
      </c>
      <c r="D958" s="4" t="s">
        <v>2406</v>
      </c>
      <c r="E958" s="3" t="s">
        <v>28</v>
      </c>
      <c r="F958" s="3" t="s">
        <v>2407</v>
      </c>
      <c r="G958" s="3" t="s">
        <v>2408</v>
      </c>
      <c r="H958" s="3" t="s">
        <v>56</v>
      </c>
      <c r="I958" s="3" t="s">
        <v>32</v>
      </c>
      <c r="J958" s="3" t="s">
        <v>299</v>
      </c>
      <c r="K958" s="3" t="s">
        <v>189</v>
      </c>
      <c r="L958" s="3" t="s">
        <v>59</v>
      </c>
      <c r="M958" s="3" t="s">
        <v>447</v>
      </c>
      <c r="N958" s="3" t="s">
        <v>89</v>
      </c>
      <c r="O958" s="3" t="s">
        <v>323</v>
      </c>
      <c r="P958" s="3" t="s">
        <v>448</v>
      </c>
      <c r="Q958" s="5" t="n">
        <v>2636.21</v>
      </c>
      <c r="R958" s="3" t="n">
        <v>12</v>
      </c>
      <c r="S958" s="6" t="n">
        <v>0</v>
      </c>
      <c r="T958" s="5" t="n">
        <v>61.76</v>
      </c>
      <c r="U958" s="3" t="str">
        <f aca="false">IF(T958&lt;0,"Loss",IF(T958=0,"Break-even","Profit"))</f>
        <v>Profit</v>
      </c>
      <c r="V958" s="3" t="str">
        <f aca="false">IF(Q958&lt;100,"Low",IF(Q958&lt;=500,"Medium","High"))</f>
        <v>High</v>
      </c>
      <c r="W958" s="3" t="n">
        <f aca="false">D958-C958</f>
        <v>3</v>
      </c>
      <c r="X958" s="3" t="str">
        <f aca="false">TEXT(C958,"mmmm")</f>
        <v>November</v>
      </c>
      <c r="Y958" s="3" t="str">
        <f aca="false">LEFT(G958,1)&amp;MID(G958,FIND(" ",G958)+1,1)</f>
        <v>FM</v>
      </c>
    </row>
    <row r="959" customFormat="false" ht="15" hidden="false" customHeight="false" outlineLevel="0" collapsed="false">
      <c r="A959" s="3" t="n">
        <v>958</v>
      </c>
      <c r="B959" s="3" t="s">
        <v>2409</v>
      </c>
      <c r="C959" s="4" t="s">
        <v>2395</v>
      </c>
      <c r="D959" s="4" t="s">
        <v>2410</v>
      </c>
      <c r="E959" s="3" t="s">
        <v>84</v>
      </c>
      <c r="F959" s="3" t="s">
        <v>1278</v>
      </c>
      <c r="G959" s="3" t="s">
        <v>1279</v>
      </c>
      <c r="H959" s="3" t="s">
        <v>45</v>
      </c>
      <c r="I959" s="3" t="s">
        <v>32</v>
      </c>
      <c r="J959" s="3" t="s">
        <v>252</v>
      </c>
      <c r="K959" s="3" t="s">
        <v>172</v>
      </c>
      <c r="L959" s="3" t="s">
        <v>157</v>
      </c>
      <c r="M959" s="3" t="s">
        <v>60</v>
      </c>
      <c r="N959" s="3" t="s">
        <v>49</v>
      </c>
      <c r="O959" s="3" t="s">
        <v>61</v>
      </c>
      <c r="P959" s="3" t="s">
        <v>62</v>
      </c>
      <c r="Q959" s="5" t="n">
        <v>278.87</v>
      </c>
      <c r="R959" s="3" t="n">
        <v>11</v>
      </c>
      <c r="S959" s="6" t="n">
        <v>0</v>
      </c>
      <c r="T959" s="5" t="n">
        <v>-64.01</v>
      </c>
      <c r="U959" s="3" t="str">
        <f aca="false">IF(T959&lt;0,"Loss",IF(T959=0,"Break-even","Profit"))</f>
        <v>Loss</v>
      </c>
      <c r="V959" s="3" t="str">
        <f aca="false">IF(Q959&lt;100,"Low",IF(Q959&lt;=500,"Medium","High"))</f>
        <v>Medium</v>
      </c>
      <c r="W959" s="3" t="n">
        <f aca="false">D959-C959</f>
        <v>4</v>
      </c>
      <c r="X959" s="3" t="str">
        <f aca="false">TEXT(C959,"mmmm")</f>
        <v>November</v>
      </c>
      <c r="Y959" s="3" t="str">
        <f aca="false">LEFT(G959,1)&amp;MID(G959,FIND(" ",G959)+1,1)</f>
        <v>MC</v>
      </c>
    </row>
    <row r="960" customFormat="false" ht="15" hidden="false" customHeight="false" outlineLevel="0" collapsed="false">
      <c r="A960" s="3" t="n">
        <v>959</v>
      </c>
      <c r="B960" s="3" t="s">
        <v>2154</v>
      </c>
      <c r="C960" s="4" t="s">
        <v>2401</v>
      </c>
      <c r="D960" s="4" t="s">
        <v>2401</v>
      </c>
      <c r="E960" s="3" t="s">
        <v>53</v>
      </c>
      <c r="F960" s="3" t="s">
        <v>1428</v>
      </c>
      <c r="G960" s="3" t="s">
        <v>1429</v>
      </c>
      <c r="H960" s="3" t="s">
        <v>56</v>
      </c>
      <c r="I960" s="3" t="s">
        <v>32</v>
      </c>
      <c r="J960" s="3" t="s">
        <v>329</v>
      </c>
      <c r="K960" s="3" t="s">
        <v>156</v>
      </c>
      <c r="L960" s="3" t="s">
        <v>157</v>
      </c>
      <c r="M960" s="3" t="s">
        <v>209</v>
      </c>
      <c r="N960" s="3" t="s">
        <v>49</v>
      </c>
      <c r="O960" s="3" t="s">
        <v>106</v>
      </c>
      <c r="P960" s="3" t="s">
        <v>210</v>
      </c>
      <c r="Q960" s="5" t="n">
        <v>473.31</v>
      </c>
      <c r="R960" s="3" t="n">
        <v>11</v>
      </c>
      <c r="S960" s="6" t="n">
        <v>0.2</v>
      </c>
      <c r="T960" s="5" t="n">
        <v>62.69</v>
      </c>
      <c r="U960" s="3" t="str">
        <f aca="false">IF(T960&lt;0,"Loss",IF(T960=0,"Break-even","Profit"))</f>
        <v>Profit</v>
      </c>
      <c r="V960" s="3" t="str">
        <f aca="false">IF(Q960&lt;100,"Low",IF(Q960&lt;=500,"Medium","High"))</f>
        <v>Medium</v>
      </c>
      <c r="W960" s="3" t="n">
        <f aca="false">D960-C960</f>
        <v>0</v>
      </c>
      <c r="X960" s="3" t="str">
        <f aca="false">TEXT(C960,"mmmm")</f>
        <v>November</v>
      </c>
      <c r="Y960" s="3" t="str">
        <f aca="false">LEFT(G960,1)&amp;MID(G960,FIND(" ",G960)+1,1)</f>
        <v>RS</v>
      </c>
    </row>
    <row r="961" customFormat="false" ht="15" hidden="false" customHeight="false" outlineLevel="0" collapsed="false">
      <c r="A961" s="3" t="n">
        <v>960</v>
      </c>
      <c r="B961" s="3" t="s">
        <v>2411</v>
      </c>
      <c r="C961" s="4" t="s">
        <v>2401</v>
      </c>
      <c r="D961" s="4" t="s">
        <v>2410</v>
      </c>
      <c r="E961" s="3" t="s">
        <v>28</v>
      </c>
      <c r="F961" s="3" t="s">
        <v>2354</v>
      </c>
      <c r="G961" s="3" t="s">
        <v>2355</v>
      </c>
      <c r="H961" s="3" t="s">
        <v>56</v>
      </c>
      <c r="I961" s="3" t="s">
        <v>32</v>
      </c>
      <c r="J961" s="3" t="s">
        <v>208</v>
      </c>
      <c r="K961" s="3" t="s">
        <v>134</v>
      </c>
      <c r="L961" s="3" t="s">
        <v>69</v>
      </c>
      <c r="M961" s="3" t="s">
        <v>322</v>
      </c>
      <c r="N961" s="3" t="s">
        <v>89</v>
      </c>
      <c r="O961" s="3" t="s">
        <v>323</v>
      </c>
      <c r="P961" s="3" t="s">
        <v>324</v>
      </c>
      <c r="Q961" s="5" t="n">
        <v>11512.06</v>
      </c>
      <c r="R961" s="3" t="n">
        <v>14</v>
      </c>
      <c r="S961" s="6" t="n">
        <v>0.1</v>
      </c>
      <c r="T961" s="5" t="n">
        <v>-2702.38</v>
      </c>
      <c r="U961" s="3" t="str">
        <f aca="false">IF(T961&lt;0,"Loss",IF(T961=0,"Break-even","Profit"))</f>
        <v>Loss</v>
      </c>
      <c r="V961" s="3" t="str">
        <f aca="false">IF(Q961&lt;100,"Low",IF(Q961&lt;=500,"Medium","High"))</f>
        <v>High</v>
      </c>
      <c r="W961" s="3" t="n">
        <f aca="false">D961-C961</f>
        <v>3</v>
      </c>
      <c r="X961" s="3" t="str">
        <f aca="false">TEXT(C961,"mmmm")</f>
        <v>November</v>
      </c>
      <c r="Y961" s="3" t="str">
        <f aca="false">LEFT(G961,1)&amp;MID(G961,FIND(" ",G961)+1,1)</f>
        <v>PS</v>
      </c>
    </row>
    <row r="962" customFormat="false" ht="15" hidden="false" customHeight="false" outlineLevel="0" collapsed="false">
      <c r="A962" s="3" t="n">
        <v>961</v>
      </c>
      <c r="B962" s="3" t="s">
        <v>2412</v>
      </c>
      <c r="C962" s="4" t="s">
        <v>2406</v>
      </c>
      <c r="D962" s="4" t="s">
        <v>2413</v>
      </c>
      <c r="E962" s="3" t="s">
        <v>28</v>
      </c>
      <c r="F962" s="3" t="s">
        <v>883</v>
      </c>
      <c r="G962" s="3" t="s">
        <v>884</v>
      </c>
      <c r="H962" s="3" t="s">
        <v>56</v>
      </c>
      <c r="I962" s="3" t="s">
        <v>32</v>
      </c>
      <c r="J962" s="3" t="s">
        <v>112</v>
      </c>
      <c r="K962" s="3" t="s">
        <v>113</v>
      </c>
      <c r="L962" s="3" t="s">
        <v>69</v>
      </c>
      <c r="M962" s="3" t="s">
        <v>79</v>
      </c>
      <c r="N962" s="3" t="s">
        <v>49</v>
      </c>
      <c r="O962" s="3" t="s">
        <v>80</v>
      </c>
      <c r="P962" s="3" t="s">
        <v>81</v>
      </c>
      <c r="Q962" s="5" t="n">
        <v>322.09</v>
      </c>
      <c r="R962" s="3" t="n">
        <v>6</v>
      </c>
      <c r="S962" s="6" t="n">
        <v>0.2</v>
      </c>
      <c r="T962" s="5" t="n">
        <v>96.79</v>
      </c>
      <c r="U962" s="3" t="str">
        <f aca="false">IF(T962&lt;0,"Loss",IF(T962=0,"Break-even","Profit"))</f>
        <v>Profit</v>
      </c>
      <c r="V962" s="3" t="str">
        <f aca="false">IF(Q962&lt;100,"Low",IF(Q962&lt;=500,"Medium","High"))</f>
        <v>Medium</v>
      </c>
      <c r="W962" s="3" t="n">
        <f aca="false">D962-C962</f>
        <v>6</v>
      </c>
      <c r="X962" s="3" t="str">
        <f aca="false">TEXT(C962,"mmmm")</f>
        <v>November</v>
      </c>
      <c r="Y962" s="3" t="str">
        <f aca="false">LEFT(G962,1)&amp;MID(G962,FIND(" ",G962)+1,1)</f>
        <v>PT</v>
      </c>
    </row>
    <row r="963" customFormat="false" ht="15" hidden="false" customHeight="false" outlineLevel="0" collapsed="false">
      <c r="A963" s="3" t="n">
        <v>962</v>
      </c>
      <c r="B963" s="3" t="s">
        <v>2414</v>
      </c>
      <c r="C963" s="4" t="s">
        <v>2406</v>
      </c>
      <c r="D963" s="4" t="s">
        <v>2413</v>
      </c>
      <c r="E963" s="3" t="s">
        <v>28</v>
      </c>
      <c r="F963" s="3" t="s">
        <v>1631</v>
      </c>
      <c r="G963" s="3" t="s">
        <v>1632</v>
      </c>
      <c r="H963" s="3" t="s">
        <v>56</v>
      </c>
      <c r="I963" s="3" t="s">
        <v>32</v>
      </c>
      <c r="J963" s="3" t="s">
        <v>188</v>
      </c>
      <c r="K963" s="3" t="s">
        <v>189</v>
      </c>
      <c r="L963" s="3" t="s">
        <v>59</v>
      </c>
      <c r="M963" s="3" t="s">
        <v>135</v>
      </c>
      <c r="N963" s="3" t="s">
        <v>37</v>
      </c>
      <c r="O963" s="3" t="s">
        <v>136</v>
      </c>
      <c r="P963" s="3" t="s">
        <v>137</v>
      </c>
      <c r="Q963" s="5" t="n">
        <v>1260.98</v>
      </c>
      <c r="R963" s="3" t="n">
        <v>4</v>
      </c>
      <c r="S963" s="6" t="n">
        <v>0.3</v>
      </c>
      <c r="T963" s="5" t="n">
        <v>-65.57</v>
      </c>
      <c r="U963" s="3" t="str">
        <f aca="false">IF(T963&lt;0,"Loss",IF(T963=0,"Break-even","Profit"))</f>
        <v>Loss</v>
      </c>
      <c r="V963" s="3" t="str">
        <f aca="false">IF(Q963&lt;100,"Low",IF(Q963&lt;=500,"Medium","High"))</f>
        <v>High</v>
      </c>
      <c r="W963" s="3" t="n">
        <f aca="false">D963-C963</f>
        <v>6</v>
      </c>
      <c r="X963" s="3" t="str">
        <f aca="false">TEXT(C963,"mmmm")</f>
        <v>November</v>
      </c>
      <c r="Y963" s="3" t="str">
        <f aca="false">LEFT(G963,1)&amp;MID(G963,FIND(" ",G963)+1,1)</f>
        <v>AK</v>
      </c>
    </row>
    <row r="964" customFormat="false" ht="15" hidden="false" customHeight="false" outlineLevel="0" collapsed="false">
      <c r="A964" s="3" t="n">
        <v>963</v>
      </c>
      <c r="B964" s="3" t="s">
        <v>2415</v>
      </c>
      <c r="C964" s="4" t="s">
        <v>2406</v>
      </c>
      <c r="D964" s="4" t="s">
        <v>2416</v>
      </c>
      <c r="E964" s="3" t="s">
        <v>84</v>
      </c>
      <c r="F964" s="3" t="s">
        <v>310</v>
      </c>
      <c r="G964" s="3" t="s">
        <v>311</v>
      </c>
      <c r="H964" s="3" t="s">
        <v>45</v>
      </c>
      <c r="I964" s="3" t="s">
        <v>32</v>
      </c>
      <c r="J964" s="3" t="s">
        <v>104</v>
      </c>
      <c r="K964" s="3" t="s">
        <v>96</v>
      </c>
      <c r="L964" s="3" t="s">
        <v>59</v>
      </c>
      <c r="M964" s="3" t="s">
        <v>48</v>
      </c>
      <c r="N964" s="3" t="s">
        <v>49</v>
      </c>
      <c r="O964" s="3" t="s">
        <v>50</v>
      </c>
      <c r="P964" s="3" t="s">
        <v>51</v>
      </c>
      <c r="Q964" s="5" t="n">
        <v>466.01</v>
      </c>
      <c r="R964" s="3" t="n">
        <v>11</v>
      </c>
      <c r="S964" s="6" t="n">
        <v>0.1</v>
      </c>
      <c r="T964" s="5" t="n">
        <v>-81.08</v>
      </c>
      <c r="U964" s="3" t="str">
        <f aca="false">IF(T964&lt;0,"Loss",IF(T964=0,"Break-even","Profit"))</f>
        <v>Loss</v>
      </c>
      <c r="V964" s="3" t="str">
        <f aca="false">IF(Q964&lt;100,"Low",IF(Q964&lt;=500,"Medium","High"))</f>
        <v>Medium</v>
      </c>
      <c r="W964" s="3" t="n">
        <f aca="false">D964-C964</f>
        <v>3</v>
      </c>
      <c r="X964" s="3" t="str">
        <f aca="false">TEXT(C964,"mmmm")</f>
        <v>November</v>
      </c>
      <c r="Y964" s="3" t="str">
        <f aca="false">LEFT(G964,1)&amp;MID(G964,FIND(" ",G964)+1,1)</f>
        <v>FD</v>
      </c>
    </row>
    <row r="965" customFormat="false" ht="15" hidden="false" customHeight="false" outlineLevel="0" collapsed="false">
      <c r="A965" s="3" t="n">
        <v>964</v>
      </c>
      <c r="B965" s="3" t="s">
        <v>1647</v>
      </c>
      <c r="C965" s="4" t="s">
        <v>2410</v>
      </c>
      <c r="D965" s="4" t="s">
        <v>2410</v>
      </c>
      <c r="E965" s="3" t="s">
        <v>53</v>
      </c>
      <c r="F965" s="3" t="s">
        <v>1333</v>
      </c>
      <c r="G965" s="3" t="s">
        <v>1334</v>
      </c>
      <c r="H965" s="3" t="s">
        <v>56</v>
      </c>
      <c r="I965" s="3" t="s">
        <v>32</v>
      </c>
      <c r="J965" s="3" t="s">
        <v>77</v>
      </c>
      <c r="K965" s="3" t="s">
        <v>78</v>
      </c>
      <c r="L965" s="3" t="s">
        <v>59</v>
      </c>
      <c r="M965" s="3" t="s">
        <v>165</v>
      </c>
      <c r="N965" s="3" t="s">
        <v>89</v>
      </c>
      <c r="O965" s="3" t="s">
        <v>166</v>
      </c>
      <c r="P965" s="3" t="s">
        <v>167</v>
      </c>
      <c r="Q965" s="5" t="n">
        <v>852.53</v>
      </c>
      <c r="R965" s="3" t="n">
        <v>6</v>
      </c>
      <c r="S965" s="6" t="n">
        <v>0</v>
      </c>
      <c r="T965" s="5" t="n">
        <v>-2.21</v>
      </c>
      <c r="U965" s="3" t="str">
        <f aca="false">IF(T965&lt;0,"Loss",IF(T965=0,"Break-even","Profit"))</f>
        <v>Loss</v>
      </c>
      <c r="V965" s="3" t="str">
        <f aca="false">IF(Q965&lt;100,"Low",IF(Q965&lt;=500,"Medium","High"))</f>
        <v>High</v>
      </c>
      <c r="W965" s="3" t="n">
        <f aca="false">D965-C965</f>
        <v>0</v>
      </c>
      <c r="X965" s="3" t="str">
        <f aca="false">TEXT(C965,"mmmm")</f>
        <v>November</v>
      </c>
      <c r="Y965" s="3" t="str">
        <f aca="false">LEFT(G965,1)&amp;MID(G965,FIND(" ",G965)+1,1)</f>
        <v>MN</v>
      </c>
    </row>
    <row r="966" customFormat="false" ht="15" hidden="false" customHeight="false" outlineLevel="0" collapsed="false">
      <c r="A966" s="3" t="n">
        <v>965</v>
      </c>
      <c r="B966" s="3" t="s">
        <v>2417</v>
      </c>
      <c r="C966" s="4" t="s">
        <v>2410</v>
      </c>
      <c r="D966" s="4" t="s">
        <v>2418</v>
      </c>
      <c r="E966" s="3" t="s">
        <v>28</v>
      </c>
      <c r="F966" s="3" t="s">
        <v>65</v>
      </c>
      <c r="G966" s="3" t="s">
        <v>66</v>
      </c>
      <c r="H966" s="3" t="s">
        <v>56</v>
      </c>
      <c r="I966" s="3" t="s">
        <v>32</v>
      </c>
      <c r="J966" s="3" t="s">
        <v>548</v>
      </c>
      <c r="K966" s="3" t="s">
        <v>244</v>
      </c>
      <c r="L966" s="3" t="s">
        <v>157</v>
      </c>
      <c r="M966" s="3" t="s">
        <v>190</v>
      </c>
      <c r="N966" s="3" t="s">
        <v>49</v>
      </c>
      <c r="O966" s="3" t="s">
        <v>150</v>
      </c>
      <c r="P966" s="3" t="s">
        <v>191</v>
      </c>
      <c r="Q966" s="5" t="n">
        <v>266.5</v>
      </c>
      <c r="R966" s="3" t="n">
        <v>13</v>
      </c>
      <c r="S966" s="6" t="n">
        <v>0.1</v>
      </c>
      <c r="T966" s="5" t="n">
        <v>-33.71</v>
      </c>
      <c r="U966" s="3" t="str">
        <f aca="false">IF(T966&lt;0,"Loss",IF(T966=0,"Break-even","Profit"))</f>
        <v>Loss</v>
      </c>
      <c r="V966" s="3" t="str">
        <f aca="false">IF(Q966&lt;100,"Low",IF(Q966&lt;=500,"Medium","High"))</f>
        <v>Medium</v>
      </c>
      <c r="W966" s="3" t="n">
        <f aca="false">D966-C966</f>
        <v>3</v>
      </c>
      <c r="X966" s="3" t="str">
        <f aca="false">TEXT(C966,"mmmm")</f>
        <v>November</v>
      </c>
      <c r="Y966" s="3" t="str">
        <f aca="false">LEFT(G966,1)&amp;MID(G966,FIND(" ",G966)+1,1)</f>
        <v>MM</v>
      </c>
    </row>
    <row r="967" customFormat="false" ht="15" hidden="false" customHeight="false" outlineLevel="0" collapsed="false">
      <c r="A967" s="3" t="n">
        <v>966</v>
      </c>
      <c r="B967" s="3" t="s">
        <v>2306</v>
      </c>
      <c r="C967" s="4" t="s">
        <v>2419</v>
      </c>
      <c r="D967" s="4" t="s">
        <v>2416</v>
      </c>
      <c r="E967" s="3" t="s">
        <v>42</v>
      </c>
      <c r="F967" s="3" t="s">
        <v>1325</v>
      </c>
      <c r="G967" s="3" t="s">
        <v>1326</v>
      </c>
      <c r="H967" s="3" t="s">
        <v>56</v>
      </c>
      <c r="I967" s="3" t="s">
        <v>32</v>
      </c>
      <c r="J967" s="3" t="s">
        <v>208</v>
      </c>
      <c r="K967" s="3" t="s">
        <v>134</v>
      </c>
      <c r="L967" s="3" t="s">
        <v>69</v>
      </c>
      <c r="M967" s="3" t="s">
        <v>683</v>
      </c>
      <c r="N967" s="3" t="s">
        <v>37</v>
      </c>
      <c r="O967" s="3" t="s">
        <v>136</v>
      </c>
      <c r="P967" s="3" t="s">
        <v>684</v>
      </c>
      <c r="Q967" s="5" t="n">
        <v>17468.51</v>
      </c>
      <c r="R967" s="3" t="n">
        <v>12</v>
      </c>
      <c r="S967" s="6" t="n">
        <v>0.1</v>
      </c>
      <c r="T967" s="5" t="n">
        <v>3559.23</v>
      </c>
      <c r="U967" s="3" t="str">
        <f aca="false">IF(T967&lt;0,"Loss",IF(T967=0,"Break-even","Profit"))</f>
        <v>Profit</v>
      </c>
      <c r="V967" s="3" t="str">
        <f aca="false">IF(Q967&lt;100,"Low",IF(Q967&lt;=500,"Medium","High"))</f>
        <v>High</v>
      </c>
      <c r="W967" s="3" t="n">
        <f aca="false">D967-C967</f>
        <v>1</v>
      </c>
      <c r="X967" s="3" t="str">
        <f aca="false">TEXT(C967,"mmmm")</f>
        <v>November</v>
      </c>
      <c r="Y967" s="3" t="str">
        <f aca="false">LEFT(G967,1)&amp;MID(G967,FIND(" ",G967)+1,1)</f>
        <v>MT</v>
      </c>
    </row>
    <row r="968" customFormat="false" ht="15" hidden="false" customHeight="false" outlineLevel="0" collapsed="false">
      <c r="A968" s="3" t="n">
        <v>967</v>
      </c>
      <c r="B968" s="3" t="s">
        <v>2420</v>
      </c>
      <c r="C968" s="4" t="s">
        <v>2419</v>
      </c>
      <c r="D968" s="4" t="s">
        <v>2413</v>
      </c>
      <c r="E968" s="3" t="s">
        <v>28</v>
      </c>
      <c r="F968" s="3" t="s">
        <v>2315</v>
      </c>
      <c r="G968" s="3" t="s">
        <v>2316</v>
      </c>
      <c r="H968" s="3" t="s">
        <v>56</v>
      </c>
      <c r="I968" s="3" t="s">
        <v>32</v>
      </c>
      <c r="J968" s="3" t="s">
        <v>381</v>
      </c>
      <c r="K968" s="3" t="s">
        <v>58</v>
      </c>
      <c r="L968" s="3" t="s">
        <v>59</v>
      </c>
      <c r="M968" s="3" t="s">
        <v>470</v>
      </c>
      <c r="N968" s="3" t="s">
        <v>49</v>
      </c>
      <c r="O968" s="3" t="s">
        <v>159</v>
      </c>
      <c r="P968" s="3" t="s">
        <v>471</v>
      </c>
      <c r="Q968" s="5" t="n">
        <v>1160.54</v>
      </c>
      <c r="R968" s="3" t="n">
        <v>13</v>
      </c>
      <c r="S968" s="6" t="n">
        <v>0</v>
      </c>
      <c r="T968" s="5" t="n">
        <v>150.64</v>
      </c>
      <c r="U968" s="3" t="str">
        <f aca="false">IF(T968&lt;0,"Loss",IF(T968=0,"Break-even","Profit"))</f>
        <v>Profit</v>
      </c>
      <c r="V968" s="3" t="str">
        <f aca="false">IF(Q968&lt;100,"Low",IF(Q968&lt;=500,"Medium","High"))</f>
        <v>High</v>
      </c>
      <c r="W968" s="3" t="n">
        <f aca="false">D968-C968</f>
        <v>4</v>
      </c>
      <c r="X968" s="3" t="str">
        <f aca="false">TEXT(C968,"mmmm")</f>
        <v>November</v>
      </c>
      <c r="Y968" s="3" t="str">
        <f aca="false">LEFT(G968,1)&amp;MID(G968,FIND(" ",G968)+1,1)</f>
        <v>SG</v>
      </c>
    </row>
    <row r="969" customFormat="false" ht="15" hidden="false" customHeight="false" outlineLevel="0" collapsed="false">
      <c r="A969" s="3" t="n">
        <v>968</v>
      </c>
      <c r="B969" s="3" t="s">
        <v>2421</v>
      </c>
      <c r="C969" s="4" t="s">
        <v>2418</v>
      </c>
      <c r="D969" s="4" t="s">
        <v>2422</v>
      </c>
      <c r="E969" s="3" t="s">
        <v>28</v>
      </c>
      <c r="F969" s="3" t="s">
        <v>1802</v>
      </c>
      <c r="G969" s="3" t="s">
        <v>1803</v>
      </c>
      <c r="H969" s="3" t="s">
        <v>31</v>
      </c>
      <c r="I969" s="3" t="s">
        <v>32</v>
      </c>
      <c r="J969" s="3" t="s">
        <v>243</v>
      </c>
      <c r="K969" s="3" t="s">
        <v>244</v>
      </c>
      <c r="L969" s="3" t="s">
        <v>157</v>
      </c>
      <c r="M969" s="3" t="s">
        <v>158</v>
      </c>
      <c r="N969" s="3" t="s">
        <v>49</v>
      </c>
      <c r="O969" s="3" t="s">
        <v>159</v>
      </c>
      <c r="P969" s="3" t="s">
        <v>160</v>
      </c>
      <c r="Q969" s="5" t="n">
        <v>573.61</v>
      </c>
      <c r="R969" s="3" t="n">
        <v>11</v>
      </c>
      <c r="S969" s="6" t="n">
        <v>0.1</v>
      </c>
      <c r="T969" s="5" t="n">
        <v>132.97</v>
      </c>
      <c r="U969" s="3" t="str">
        <f aca="false">IF(T969&lt;0,"Loss",IF(T969=0,"Break-even","Profit"))</f>
        <v>Profit</v>
      </c>
      <c r="V969" s="3" t="str">
        <f aca="false">IF(Q969&lt;100,"Low",IF(Q969&lt;=500,"Medium","High"))</f>
        <v>High</v>
      </c>
      <c r="W969" s="3" t="n">
        <f aca="false">D969-C969</f>
        <v>5</v>
      </c>
      <c r="X969" s="3" t="str">
        <f aca="false">TEXT(C969,"mmmm")</f>
        <v>November</v>
      </c>
      <c r="Y969" s="3" t="str">
        <f aca="false">LEFT(G969,1)&amp;MID(G969,FIND(" ",G969)+1,1)</f>
        <v>AJ</v>
      </c>
    </row>
    <row r="970" customFormat="false" ht="15" hidden="false" customHeight="false" outlineLevel="0" collapsed="false">
      <c r="A970" s="3" t="n">
        <v>969</v>
      </c>
      <c r="B970" s="3" t="s">
        <v>2423</v>
      </c>
      <c r="C970" s="4" t="s">
        <v>2424</v>
      </c>
      <c r="D970" s="4" t="s">
        <v>2425</v>
      </c>
      <c r="E970" s="3" t="s">
        <v>28</v>
      </c>
      <c r="F970" s="3" t="s">
        <v>1063</v>
      </c>
      <c r="G970" s="3" t="s">
        <v>1064</v>
      </c>
      <c r="H970" s="3" t="s">
        <v>56</v>
      </c>
      <c r="I970" s="3" t="s">
        <v>32</v>
      </c>
      <c r="J970" s="3" t="s">
        <v>77</v>
      </c>
      <c r="K970" s="3" t="s">
        <v>78</v>
      </c>
      <c r="L970" s="3" t="s">
        <v>59</v>
      </c>
      <c r="M970" s="3" t="s">
        <v>253</v>
      </c>
      <c r="N970" s="3" t="s">
        <v>89</v>
      </c>
      <c r="O970" s="3" t="s">
        <v>90</v>
      </c>
      <c r="P970" s="3" t="s">
        <v>254</v>
      </c>
      <c r="Q970" s="5" t="n">
        <v>1368.79</v>
      </c>
      <c r="R970" s="3" t="n">
        <v>2</v>
      </c>
      <c r="S970" s="6" t="n">
        <v>0</v>
      </c>
      <c r="T970" s="5" t="n">
        <v>-195.8</v>
      </c>
      <c r="U970" s="3" t="str">
        <f aca="false">IF(T970&lt;0,"Loss",IF(T970=0,"Break-even","Profit"))</f>
        <v>Loss</v>
      </c>
      <c r="V970" s="3" t="str">
        <f aca="false">IF(Q970&lt;100,"Low",IF(Q970&lt;=500,"Medium","High"))</f>
        <v>High</v>
      </c>
      <c r="W970" s="3" t="n">
        <f aca="false">D970-C970</f>
        <v>6</v>
      </c>
      <c r="X970" s="3" t="str">
        <f aca="false">TEXT(C970,"mmmm")</f>
        <v>November</v>
      </c>
      <c r="Y970" s="3" t="str">
        <f aca="false">LEFT(G970,1)&amp;MID(G970,FIND(" ",G970)+1,1)</f>
        <v>AB</v>
      </c>
    </row>
    <row r="971" customFormat="false" ht="15" hidden="false" customHeight="false" outlineLevel="0" collapsed="false">
      <c r="A971" s="3" t="n">
        <v>970</v>
      </c>
      <c r="B971" s="3" t="s">
        <v>2426</v>
      </c>
      <c r="C971" s="4" t="s">
        <v>2424</v>
      </c>
      <c r="D971" s="4" t="s">
        <v>2427</v>
      </c>
      <c r="E971" s="3" t="s">
        <v>28</v>
      </c>
      <c r="F971" s="3" t="s">
        <v>496</v>
      </c>
      <c r="G971" s="3" t="s">
        <v>497</v>
      </c>
      <c r="H971" s="3" t="s">
        <v>45</v>
      </c>
      <c r="I971" s="3" t="s">
        <v>32</v>
      </c>
      <c r="J971" s="3" t="s">
        <v>252</v>
      </c>
      <c r="K971" s="3" t="s">
        <v>172</v>
      </c>
      <c r="L971" s="3" t="s">
        <v>157</v>
      </c>
      <c r="M971" s="3" t="s">
        <v>142</v>
      </c>
      <c r="N971" s="3" t="s">
        <v>49</v>
      </c>
      <c r="O971" s="3" t="s">
        <v>143</v>
      </c>
      <c r="P971" s="3" t="s">
        <v>144</v>
      </c>
      <c r="Q971" s="5" t="n">
        <v>949.27</v>
      </c>
      <c r="R971" s="3" t="n">
        <v>8</v>
      </c>
      <c r="S971" s="6" t="n">
        <v>0</v>
      </c>
      <c r="T971" s="5" t="n">
        <v>262.35</v>
      </c>
      <c r="U971" s="3" t="str">
        <f aca="false">IF(T971&lt;0,"Loss",IF(T971=0,"Break-even","Profit"))</f>
        <v>Profit</v>
      </c>
      <c r="V971" s="3" t="str">
        <f aca="false">IF(Q971&lt;100,"Low",IF(Q971&lt;=500,"Medium","High"))</f>
        <v>High</v>
      </c>
      <c r="W971" s="3" t="n">
        <f aca="false">D971-C971</f>
        <v>5</v>
      </c>
      <c r="X971" s="3" t="str">
        <f aca="false">TEXT(C971,"mmmm")</f>
        <v>November</v>
      </c>
      <c r="Y971" s="3" t="str">
        <f aca="false">LEFT(G971,1)&amp;MID(G971,FIND(" ",G971)+1,1)</f>
        <v>DD</v>
      </c>
    </row>
    <row r="972" customFormat="false" ht="15" hidden="false" customHeight="false" outlineLevel="0" collapsed="false">
      <c r="A972" s="3" t="n">
        <v>971</v>
      </c>
      <c r="B972" s="3" t="s">
        <v>2428</v>
      </c>
      <c r="C972" s="4" t="s">
        <v>2424</v>
      </c>
      <c r="D972" s="4" t="s">
        <v>2413</v>
      </c>
      <c r="E972" s="3" t="s">
        <v>42</v>
      </c>
      <c r="F972" s="3" t="s">
        <v>606</v>
      </c>
      <c r="G972" s="3" t="s">
        <v>607</v>
      </c>
      <c r="H972" s="3" t="s">
        <v>45</v>
      </c>
      <c r="I972" s="3" t="s">
        <v>32</v>
      </c>
      <c r="J972" s="3" t="s">
        <v>548</v>
      </c>
      <c r="K972" s="3" t="s">
        <v>244</v>
      </c>
      <c r="L972" s="3" t="s">
        <v>157</v>
      </c>
      <c r="M972" s="3" t="s">
        <v>79</v>
      </c>
      <c r="N972" s="3" t="s">
        <v>49</v>
      </c>
      <c r="O972" s="3" t="s">
        <v>80</v>
      </c>
      <c r="P972" s="3" t="s">
        <v>81</v>
      </c>
      <c r="Q972" s="5" t="n">
        <v>68.38</v>
      </c>
      <c r="R972" s="3" t="n">
        <v>1</v>
      </c>
      <c r="S972" s="6" t="n">
        <v>0.4</v>
      </c>
      <c r="T972" s="5" t="n">
        <v>-13.4</v>
      </c>
      <c r="U972" s="3" t="str">
        <f aca="false">IF(T972&lt;0,"Loss",IF(T972=0,"Break-even","Profit"))</f>
        <v>Loss</v>
      </c>
      <c r="V972" s="3" t="str">
        <f aca="false">IF(Q972&lt;100,"Low",IF(Q972&lt;=500,"Medium","High"))</f>
        <v>Low</v>
      </c>
      <c r="W972" s="3" t="n">
        <f aca="false">D972-C972</f>
        <v>1</v>
      </c>
      <c r="X972" s="3" t="str">
        <f aca="false">TEXT(C972,"mmmm")</f>
        <v>November</v>
      </c>
      <c r="Y972" s="3" t="str">
        <f aca="false">LEFT(G972,1)&amp;MID(G972,FIND(" ",G972)+1,1)</f>
        <v>JA</v>
      </c>
    </row>
    <row r="973" customFormat="false" ht="15" hidden="false" customHeight="false" outlineLevel="0" collapsed="false">
      <c r="A973" s="3" t="n">
        <v>972</v>
      </c>
      <c r="B973" s="3" t="s">
        <v>2429</v>
      </c>
      <c r="C973" s="4" t="s">
        <v>2413</v>
      </c>
      <c r="D973" s="4" t="s">
        <v>2430</v>
      </c>
      <c r="E973" s="3" t="s">
        <v>28</v>
      </c>
      <c r="F973" s="3" t="s">
        <v>1722</v>
      </c>
      <c r="G973" s="3" t="s">
        <v>1723</v>
      </c>
      <c r="H973" s="3" t="s">
        <v>31</v>
      </c>
      <c r="I973" s="3" t="s">
        <v>32</v>
      </c>
      <c r="J973" s="3" t="s">
        <v>386</v>
      </c>
      <c r="K973" s="3" t="s">
        <v>387</v>
      </c>
      <c r="L973" s="3" t="s">
        <v>35</v>
      </c>
      <c r="M973" s="3" t="s">
        <v>209</v>
      </c>
      <c r="N973" s="3" t="s">
        <v>49</v>
      </c>
      <c r="O973" s="3" t="s">
        <v>106</v>
      </c>
      <c r="P973" s="3" t="s">
        <v>210</v>
      </c>
      <c r="Q973" s="5" t="n">
        <v>60.57</v>
      </c>
      <c r="R973" s="3" t="n">
        <v>1</v>
      </c>
      <c r="S973" s="6" t="n">
        <v>0.1</v>
      </c>
      <c r="T973" s="5" t="n">
        <v>-15.19</v>
      </c>
      <c r="U973" s="3" t="str">
        <f aca="false">IF(T973&lt;0,"Loss",IF(T973=0,"Break-even","Profit"))</f>
        <v>Loss</v>
      </c>
      <c r="V973" s="3" t="str">
        <f aca="false">IF(Q973&lt;100,"Low",IF(Q973&lt;=500,"Medium","High"))</f>
        <v>Low</v>
      </c>
      <c r="W973" s="3" t="n">
        <f aca="false">D973-C973</f>
        <v>7</v>
      </c>
      <c r="X973" s="3" t="str">
        <f aca="false">TEXT(C973,"mmmm")</f>
        <v>November</v>
      </c>
      <c r="Y973" s="3" t="str">
        <f aca="false">LEFT(G973,1)&amp;MID(G973,FIND(" ",G973)+1,1)</f>
        <v>MK</v>
      </c>
    </row>
    <row r="974" customFormat="false" ht="15" hidden="false" customHeight="false" outlineLevel="0" collapsed="false">
      <c r="A974" s="3" t="n">
        <v>973</v>
      </c>
      <c r="B974" s="3" t="s">
        <v>2431</v>
      </c>
      <c r="C974" s="4" t="s">
        <v>2432</v>
      </c>
      <c r="D974" s="4" t="s">
        <v>2433</v>
      </c>
      <c r="E974" s="3" t="s">
        <v>42</v>
      </c>
      <c r="F974" s="3" t="s">
        <v>550</v>
      </c>
      <c r="G974" s="3" t="s">
        <v>551</v>
      </c>
      <c r="H974" s="3" t="s">
        <v>45</v>
      </c>
      <c r="I974" s="3" t="s">
        <v>32</v>
      </c>
      <c r="J974" s="3" t="s">
        <v>188</v>
      </c>
      <c r="K974" s="3" t="s">
        <v>189</v>
      </c>
      <c r="L974" s="3" t="s">
        <v>59</v>
      </c>
      <c r="M974" s="3" t="s">
        <v>142</v>
      </c>
      <c r="N974" s="3" t="s">
        <v>49</v>
      </c>
      <c r="O974" s="3" t="s">
        <v>143</v>
      </c>
      <c r="P974" s="3" t="s">
        <v>144</v>
      </c>
      <c r="Q974" s="5" t="n">
        <v>162.98</v>
      </c>
      <c r="R974" s="3" t="n">
        <v>5</v>
      </c>
      <c r="S974" s="6" t="n">
        <v>0.3</v>
      </c>
      <c r="T974" s="5" t="n">
        <v>-2.28</v>
      </c>
      <c r="U974" s="3" t="str">
        <f aca="false">IF(T974&lt;0,"Loss",IF(T974=0,"Break-even","Profit"))</f>
        <v>Loss</v>
      </c>
      <c r="V974" s="3" t="str">
        <f aca="false">IF(Q974&lt;100,"Low",IF(Q974&lt;=500,"Medium","High"))</f>
        <v>Medium</v>
      </c>
      <c r="W974" s="3" t="n">
        <f aca="false">D974-C974</f>
        <v>1</v>
      </c>
      <c r="X974" s="3" t="str">
        <f aca="false">TEXT(C974,"mmmm")</f>
        <v>November</v>
      </c>
      <c r="Y974" s="3" t="str">
        <f aca="false">LEFT(G974,1)&amp;MID(G974,FIND(" ",G974)+1,1)</f>
        <v>EM</v>
      </c>
    </row>
    <row r="975" customFormat="false" ht="15" hidden="false" customHeight="false" outlineLevel="0" collapsed="false">
      <c r="A975" s="3" t="n">
        <v>974</v>
      </c>
      <c r="B975" s="3" t="s">
        <v>2434</v>
      </c>
      <c r="C975" s="4" t="s">
        <v>2432</v>
      </c>
      <c r="D975" s="4" t="s">
        <v>2435</v>
      </c>
      <c r="E975" s="3" t="s">
        <v>28</v>
      </c>
      <c r="F975" s="3" t="s">
        <v>1652</v>
      </c>
      <c r="G975" s="3" t="s">
        <v>1653</v>
      </c>
      <c r="H975" s="3" t="s">
        <v>45</v>
      </c>
      <c r="I975" s="3" t="s">
        <v>32</v>
      </c>
      <c r="J975" s="3" t="s">
        <v>285</v>
      </c>
      <c r="K975" s="3" t="s">
        <v>202</v>
      </c>
      <c r="L975" s="3" t="s">
        <v>35</v>
      </c>
      <c r="M975" s="3" t="s">
        <v>420</v>
      </c>
      <c r="N975" s="3" t="s">
        <v>49</v>
      </c>
      <c r="O975" s="3" t="s">
        <v>80</v>
      </c>
      <c r="P975" s="3" t="s">
        <v>421</v>
      </c>
      <c r="Q975" s="5" t="n">
        <v>534.32</v>
      </c>
      <c r="R975" s="3" t="n">
        <v>14</v>
      </c>
      <c r="S975" s="6" t="n">
        <v>0.4</v>
      </c>
      <c r="T975" s="5" t="n">
        <v>65.65</v>
      </c>
      <c r="U975" s="3" t="str">
        <f aca="false">IF(T975&lt;0,"Loss",IF(T975=0,"Break-even","Profit"))</f>
        <v>Profit</v>
      </c>
      <c r="V975" s="3" t="str">
        <f aca="false">IF(Q975&lt;100,"Low",IF(Q975&lt;=500,"Medium","High"))</f>
        <v>High</v>
      </c>
      <c r="W975" s="3" t="n">
        <f aca="false">D975-C975</f>
        <v>5</v>
      </c>
      <c r="X975" s="3" t="str">
        <f aca="false">TEXT(C975,"mmmm")</f>
        <v>November</v>
      </c>
      <c r="Y975" s="3" t="str">
        <f aca="false">LEFT(G975,1)&amp;MID(G975,FIND(" ",G975)+1,1)</f>
        <v>MR</v>
      </c>
    </row>
    <row r="976" customFormat="false" ht="15" hidden="false" customHeight="false" outlineLevel="0" collapsed="false">
      <c r="A976" s="3" t="n">
        <v>975</v>
      </c>
      <c r="B976" s="3" t="s">
        <v>2436</v>
      </c>
      <c r="C976" s="4" t="s">
        <v>2433</v>
      </c>
      <c r="D976" s="4" t="s">
        <v>2433</v>
      </c>
      <c r="E976" s="3" t="s">
        <v>53</v>
      </c>
      <c r="F976" s="3" t="s">
        <v>1536</v>
      </c>
      <c r="G976" s="3" t="s">
        <v>1537</v>
      </c>
      <c r="H976" s="3" t="s">
        <v>56</v>
      </c>
      <c r="I976" s="3" t="s">
        <v>32</v>
      </c>
      <c r="J976" s="3" t="s">
        <v>737</v>
      </c>
      <c r="K976" s="3" t="s">
        <v>307</v>
      </c>
      <c r="L976" s="3" t="s">
        <v>69</v>
      </c>
      <c r="M976" s="3" t="s">
        <v>127</v>
      </c>
      <c r="N976" s="3" t="s">
        <v>49</v>
      </c>
      <c r="O976" s="3" t="s">
        <v>61</v>
      </c>
      <c r="P976" s="3" t="s">
        <v>128</v>
      </c>
      <c r="Q976" s="5" t="n">
        <v>497.68</v>
      </c>
      <c r="R976" s="3" t="n">
        <v>7</v>
      </c>
      <c r="S976" s="6" t="n">
        <v>0</v>
      </c>
      <c r="T976" s="5" t="n">
        <v>-57.88</v>
      </c>
      <c r="U976" s="3" t="str">
        <f aca="false">IF(T976&lt;0,"Loss",IF(T976=0,"Break-even","Profit"))</f>
        <v>Loss</v>
      </c>
      <c r="V976" s="3" t="str">
        <f aca="false">IF(Q976&lt;100,"Low",IF(Q976&lt;=500,"Medium","High"))</f>
        <v>Medium</v>
      </c>
      <c r="W976" s="3" t="n">
        <f aca="false">D976-C976</f>
        <v>0</v>
      </c>
      <c r="X976" s="3" t="str">
        <f aca="false">TEXT(C976,"mmmm")</f>
        <v>November</v>
      </c>
      <c r="Y976" s="3" t="str">
        <f aca="false">LEFT(G976,1)&amp;MID(G976,FIND(" ",G976)+1,1)</f>
        <v>PM</v>
      </c>
    </row>
    <row r="977" customFormat="false" ht="15" hidden="false" customHeight="false" outlineLevel="0" collapsed="false">
      <c r="A977" s="3" t="n">
        <v>976</v>
      </c>
      <c r="B977" s="3" t="s">
        <v>2437</v>
      </c>
      <c r="C977" s="4" t="s">
        <v>2422</v>
      </c>
      <c r="D977" s="4" t="s">
        <v>2438</v>
      </c>
      <c r="E977" s="3" t="s">
        <v>28</v>
      </c>
      <c r="F977" s="3" t="s">
        <v>622</v>
      </c>
      <c r="G977" s="3" t="s">
        <v>623</v>
      </c>
      <c r="H977" s="3" t="s">
        <v>31</v>
      </c>
      <c r="I977" s="3" t="s">
        <v>32</v>
      </c>
      <c r="J977" s="3" t="s">
        <v>548</v>
      </c>
      <c r="K977" s="3" t="s">
        <v>244</v>
      </c>
      <c r="L977" s="3" t="s">
        <v>157</v>
      </c>
      <c r="M977" s="3" t="s">
        <v>470</v>
      </c>
      <c r="N977" s="3" t="s">
        <v>49</v>
      </c>
      <c r="O977" s="3" t="s">
        <v>159</v>
      </c>
      <c r="P977" s="3" t="s">
        <v>471</v>
      </c>
      <c r="Q977" s="5" t="n">
        <v>445.53</v>
      </c>
      <c r="R977" s="3" t="n">
        <v>14</v>
      </c>
      <c r="S977" s="6" t="n">
        <v>0</v>
      </c>
      <c r="T977" s="5" t="n">
        <v>59.31</v>
      </c>
      <c r="U977" s="3" t="str">
        <f aca="false">IF(T977&lt;0,"Loss",IF(T977=0,"Break-even","Profit"))</f>
        <v>Profit</v>
      </c>
      <c r="V977" s="3" t="str">
        <f aca="false">IF(Q977&lt;100,"Low",IF(Q977&lt;=500,"Medium","High"))</f>
        <v>Medium</v>
      </c>
      <c r="W977" s="3" t="n">
        <f aca="false">D977-C977</f>
        <v>7</v>
      </c>
      <c r="X977" s="3" t="str">
        <f aca="false">TEXT(C977,"mmmm")</f>
        <v>November</v>
      </c>
      <c r="Y977" s="3" t="str">
        <f aca="false">LEFT(G977,1)&amp;MID(G977,FIND(" ",G977)+1,1)</f>
        <v>LR</v>
      </c>
    </row>
    <row r="978" customFormat="false" ht="15" hidden="false" customHeight="false" outlineLevel="0" collapsed="false">
      <c r="A978" s="3" t="n">
        <v>977</v>
      </c>
      <c r="B978" s="3" t="s">
        <v>2439</v>
      </c>
      <c r="C978" s="4" t="s">
        <v>2422</v>
      </c>
      <c r="D978" s="4" t="s">
        <v>2440</v>
      </c>
      <c r="E978" s="3" t="s">
        <v>28</v>
      </c>
      <c r="F978" s="3" t="s">
        <v>1594</v>
      </c>
      <c r="G978" s="3" t="s">
        <v>1595</v>
      </c>
      <c r="H978" s="3" t="s">
        <v>31</v>
      </c>
      <c r="I978" s="3" t="s">
        <v>32</v>
      </c>
      <c r="J978" s="3" t="s">
        <v>252</v>
      </c>
      <c r="K978" s="3" t="s">
        <v>172</v>
      </c>
      <c r="L978" s="3" t="s">
        <v>157</v>
      </c>
      <c r="M978" s="3" t="s">
        <v>190</v>
      </c>
      <c r="N978" s="3" t="s">
        <v>49</v>
      </c>
      <c r="O978" s="3" t="s">
        <v>150</v>
      </c>
      <c r="P978" s="3" t="s">
        <v>191</v>
      </c>
      <c r="Q978" s="5" t="n">
        <v>882.53</v>
      </c>
      <c r="R978" s="3" t="n">
        <v>10</v>
      </c>
      <c r="S978" s="6" t="n">
        <v>0</v>
      </c>
      <c r="T978" s="5" t="n">
        <v>162.41</v>
      </c>
      <c r="U978" s="3" t="str">
        <f aca="false">IF(T978&lt;0,"Loss",IF(T978=0,"Break-even","Profit"))</f>
        <v>Profit</v>
      </c>
      <c r="V978" s="3" t="str">
        <f aca="false">IF(Q978&lt;100,"Low",IF(Q978&lt;=500,"Medium","High"))</f>
        <v>High</v>
      </c>
      <c r="W978" s="3" t="n">
        <f aca="false">D978-C978</f>
        <v>5</v>
      </c>
      <c r="X978" s="3" t="str">
        <f aca="false">TEXT(C978,"mmmm")</f>
        <v>November</v>
      </c>
      <c r="Y978" s="3" t="str">
        <f aca="false">LEFT(G978,1)&amp;MID(G978,FIND(" ",G978)+1,1)</f>
        <v>CM</v>
      </c>
    </row>
    <row r="979" customFormat="false" ht="15" hidden="false" customHeight="false" outlineLevel="0" collapsed="false">
      <c r="A979" s="3" t="n">
        <v>978</v>
      </c>
      <c r="B979" s="3" t="s">
        <v>1664</v>
      </c>
      <c r="C979" s="4" t="s">
        <v>2427</v>
      </c>
      <c r="D979" s="4" t="s">
        <v>2430</v>
      </c>
      <c r="E979" s="3" t="s">
        <v>28</v>
      </c>
      <c r="F979" s="3" t="s">
        <v>2166</v>
      </c>
      <c r="G979" s="3" t="s">
        <v>2167</v>
      </c>
      <c r="H979" s="3" t="s">
        <v>56</v>
      </c>
      <c r="I979" s="3" t="s">
        <v>32</v>
      </c>
      <c r="J979" s="3" t="s">
        <v>243</v>
      </c>
      <c r="K979" s="3" t="s">
        <v>244</v>
      </c>
      <c r="L979" s="3" t="s">
        <v>157</v>
      </c>
      <c r="M979" s="3" t="s">
        <v>88</v>
      </c>
      <c r="N979" s="3" t="s">
        <v>89</v>
      </c>
      <c r="O979" s="3" t="s">
        <v>90</v>
      </c>
      <c r="P979" s="3" t="s">
        <v>91</v>
      </c>
      <c r="Q979" s="5" t="n">
        <v>851.15</v>
      </c>
      <c r="R979" s="3" t="n">
        <v>14</v>
      </c>
      <c r="S979" s="6" t="n">
        <v>0.3</v>
      </c>
      <c r="T979" s="5" t="n">
        <v>27.74</v>
      </c>
      <c r="U979" s="3" t="str">
        <f aca="false">IF(T979&lt;0,"Loss",IF(T979=0,"Break-even","Profit"))</f>
        <v>Profit</v>
      </c>
      <c r="V979" s="3" t="str">
        <f aca="false">IF(Q979&lt;100,"Low",IF(Q979&lt;=500,"Medium","High"))</f>
        <v>High</v>
      </c>
      <c r="W979" s="3" t="n">
        <f aca="false">D979-C979</f>
        <v>3</v>
      </c>
      <c r="X979" s="3" t="str">
        <f aca="false">TEXT(C979,"mmmm")</f>
        <v>November</v>
      </c>
      <c r="Y979" s="3" t="str">
        <f aca="false">LEFT(G979,1)&amp;MID(G979,FIND(" ",G979)+1,1)</f>
        <v>JR</v>
      </c>
    </row>
    <row r="980" customFormat="false" ht="15" hidden="false" customHeight="false" outlineLevel="0" collapsed="false">
      <c r="A980" s="3" t="n">
        <v>979</v>
      </c>
      <c r="B980" s="3" t="s">
        <v>2441</v>
      </c>
      <c r="C980" s="4" t="s">
        <v>2425</v>
      </c>
      <c r="D980" s="4" t="s">
        <v>2442</v>
      </c>
      <c r="E980" s="3" t="s">
        <v>28</v>
      </c>
      <c r="F980" s="3" t="s">
        <v>514</v>
      </c>
      <c r="G980" s="3" t="s">
        <v>515</v>
      </c>
      <c r="H980" s="3" t="s">
        <v>56</v>
      </c>
      <c r="I980" s="3" t="s">
        <v>32</v>
      </c>
      <c r="J980" s="3" t="s">
        <v>120</v>
      </c>
      <c r="K980" s="3" t="s">
        <v>113</v>
      </c>
      <c r="L980" s="3" t="s">
        <v>69</v>
      </c>
      <c r="M980" s="3" t="s">
        <v>470</v>
      </c>
      <c r="N980" s="3" t="s">
        <v>49</v>
      </c>
      <c r="O980" s="3" t="s">
        <v>159</v>
      </c>
      <c r="P980" s="3" t="s">
        <v>471</v>
      </c>
      <c r="Q980" s="5" t="n">
        <v>1426</v>
      </c>
      <c r="R980" s="3" t="n">
        <v>12</v>
      </c>
      <c r="S980" s="6" t="n">
        <v>0</v>
      </c>
      <c r="T980" s="5" t="n">
        <v>457.21</v>
      </c>
      <c r="U980" s="3" t="str">
        <f aca="false">IF(T980&lt;0,"Loss",IF(T980=0,"Break-even","Profit"))</f>
        <v>Profit</v>
      </c>
      <c r="V980" s="3" t="str">
        <f aca="false">IF(Q980&lt;100,"Low",IF(Q980&lt;=500,"Medium","High"))</f>
        <v>High</v>
      </c>
      <c r="W980" s="3" t="n">
        <f aca="false">D980-C980</f>
        <v>4</v>
      </c>
      <c r="X980" s="3" t="str">
        <f aca="false">TEXT(C980,"mmmm")</f>
        <v>November</v>
      </c>
      <c r="Y980" s="3" t="str">
        <f aca="false">LEFT(G980,1)&amp;MID(G980,FIND(" ",G980)+1,1)</f>
        <v>MM</v>
      </c>
    </row>
    <row r="981" customFormat="false" ht="15" hidden="false" customHeight="false" outlineLevel="0" collapsed="false">
      <c r="A981" s="3" t="n">
        <v>980</v>
      </c>
      <c r="B981" s="3" t="s">
        <v>2443</v>
      </c>
      <c r="C981" s="4" t="s">
        <v>2435</v>
      </c>
      <c r="D981" s="4" t="s">
        <v>2444</v>
      </c>
      <c r="E981" s="3" t="s">
        <v>28</v>
      </c>
      <c r="F981" s="3" t="s">
        <v>384</v>
      </c>
      <c r="G981" s="3" t="s">
        <v>385</v>
      </c>
      <c r="H981" s="3" t="s">
        <v>56</v>
      </c>
      <c r="I981" s="3" t="s">
        <v>32</v>
      </c>
      <c r="J981" s="3" t="s">
        <v>548</v>
      </c>
      <c r="K981" s="3" t="s">
        <v>244</v>
      </c>
      <c r="L981" s="3" t="s">
        <v>157</v>
      </c>
      <c r="M981" s="3" t="s">
        <v>322</v>
      </c>
      <c r="N981" s="3" t="s">
        <v>89</v>
      </c>
      <c r="O981" s="3" t="s">
        <v>323</v>
      </c>
      <c r="P981" s="3" t="s">
        <v>324</v>
      </c>
      <c r="Q981" s="5" t="n">
        <v>4214.75</v>
      </c>
      <c r="R981" s="3" t="n">
        <v>5</v>
      </c>
      <c r="S981" s="6" t="n">
        <v>0.2</v>
      </c>
      <c r="T981" s="5" t="n">
        <v>-989.73</v>
      </c>
      <c r="U981" s="3" t="str">
        <f aca="false">IF(T981&lt;0,"Loss",IF(T981=0,"Break-even","Profit"))</f>
        <v>Loss</v>
      </c>
      <c r="V981" s="3" t="str">
        <f aca="false">IF(Q981&lt;100,"Low",IF(Q981&lt;=500,"Medium","High"))</f>
        <v>High</v>
      </c>
      <c r="W981" s="3" t="n">
        <f aca="false">D981-C981</f>
        <v>7</v>
      </c>
      <c r="X981" s="3" t="str">
        <f aca="false">TEXT(C981,"mmmm")</f>
        <v>November</v>
      </c>
      <c r="Y981" s="3" t="str">
        <f aca="false">LEFT(G981,1)&amp;MID(G981,FIND(" ",G981)+1,1)</f>
        <v>DJ</v>
      </c>
    </row>
    <row r="982" customFormat="false" ht="15" hidden="false" customHeight="false" outlineLevel="0" collapsed="false">
      <c r="A982" s="3" t="n">
        <v>981</v>
      </c>
      <c r="B982" s="3" t="s">
        <v>2445</v>
      </c>
      <c r="C982" s="4" t="s">
        <v>2440</v>
      </c>
      <c r="D982" s="4" t="s">
        <v>2440</v>
      </c>
      <c r="E982" s="3" t="s">
        <v>53</v>
      </c>
      <c r="F982" s="3" t="s">
        <v>1197</v>
      </c>
      <c r="G982" s="3" t="s">
        <v>1198</v>
      </c>
      <c r="H982" s="3" t="s">
        <v>56</v>
      </c>
      <c r="I982" s="3" t="s">
        <v>32</v>
      </c>
      <c r="J982" s="3" t="s">
        <v>77</v>
      </c>
      <c r="K982" s="3" t="s">
        <v>78</v>
      </c>
      <c r="L982" s="3" t="s">
        <v>59</v>
      </c>
      <c r="M982" s="3" t="s">
        <v>470</v>
      </c>
      <c r="N982" s="3" t="s">
        <v>49</v>
      </c>
      <c r="O982" s="3" t="s">
        <v>159</v>
      </c>
      <c r="P982" s="3" t="s">
        <v>471</v>
      </c>
      <c r="Q982" s="5" t="n">
        <v>618.14</v>
      </c>
      <c r="R982" s="3" t="n">
        <v>11</v>
      </c>
      <c r="S982" s="6" t="n">
        <v>0.5</v>
      </c>
      <c r="T982" s="5" t="n">
        <v>91.51</v>
      </c>
      <c r="U982" s="3" t="str">
        <f aca="false">IF(T982&lt;0,"Loss",IF(T982=0,"Break-even","Profit"))</f>
        <v>Profit</v>
      </c>
      <c r="V982" s="3" t="str">
        <f aca="false">IF(Q982&lt;100,"Low",IF(Q982&lt;=500,"Medium","High"))</f>
        <v>High</v>
      </c>
      <c r="W982" s="3" t="n">
        <f aca="false">D982-C982</f>
        <v>0</v>
      </c>
      <c r="X982" s="3" t="str">
        <f aca="false">TEXT(C982,"mmmm")</f>
        <v>November</v>
      </c>
      <c r="Y982" s="3" t="str">
        <f aca="false">LEFT(G982,1)&amp;MID(G982,FIND(" ",G982)+1,1)</f>
        <v>PT</v>
      </c>
    </row>
    <row r="983" customFormat="false" ht="15" hidden="false" customHeight="false" outlineLevel="0" collapsed="false">
      <c r="A983" s="3" t="n">
        <v>982</v>
      </c>
      <c r="B983" s="3" t="s">
        <v>2367</v>
      </c>
      <c r="C983" s="4" t="s">
        <v>2440</v>
      </c>
      <c r="D983" s="4" t="s">
        <v>2446</v>
      </c>
      <c r="E983" s="3" t="s">
        <v>28</v>
      </c>
      <c r="F983" s="3" t="s">
        <v>823</v>
      </c>
      <c r="G983" s="3" t="s">
        <v>824</v>
      </c>
      <c r="H983" s="3" t="s">
        <v>56</v>
      </c>
      <c r="I983" s="3" t="s">
        <v>32</v>
      </c>
      <c r="J983" s="3" t="s">
        <v>243</v>
      </c>
      <c r="K983" s="3" t="s">
        <v>244</v>
      </c>
      <c r="L983" s="3" t="s">
        <v>157</v>
      </c>
      <c r="M983" s="3" t="s">
        <v>280</v>
      </c>
      <c r="N983" s="3" t="s">
        <v>89</v>
      </c>
      <c r="O983" s="3" t="s">
        <v>166</v>
      </c>
      <c r="P983" s="3" t="s">
        <v>281</v>
      </c>
      <c r="Q983" s="5" t="n">
        <v>1005.33</v>
      </c>
      <c r="R983" s="3" t="n">
        <v>11</v>
      </c>
      <c r="S983" s="6" t="n">
        <v>0</v>
      </c>
      <c r="T983" s="5" t="n">
        <v>36.21</v>
      </c>
      <c r="U983" s="3" t="str">
        <f aca="false">IF(T983&lt;0,"Loss",IF(T983=0,"Break-even","Profit"))</f>
        <v>Profit</v>
      </c>
      <c r="V983" s="3" t="str">
        <f aca="false">IF(Q983&lt;100,"Low",IF(Q983&lt;=500,"Medium","High"))</f>
        <v>High</v>
      </c>
      <c r="W983" s="3" t="n">
        <f aca="false">D983-C983</f>
        <v>4</v>
      </c>
      <c r="X983" s="3" t="str">
        <f aca="false">TEXT(C983,"mmmm")</f>
        <v>November</v>
      </c>
      <c r="Y983" s="3" t="str">
        <f aca="false">LEFT(G983,1)&amp;MID(G983,FIND(" ",G983)+1,1)</f>
        <v>JS</v>
      </c>
    </row>
    <row r="984" customFormat="false" ht="15" hidden="false" customHeight="false" outlineLevel="0" collapsed="false">
      <c r="A984" s="3" t="n">
        <v>983</v>
      </c>
      <c r="B984" s="3" t="s">
        <v>1982</v>
      </c>
      <c r="C984" s="4" t="s">
        <v>2440</v>
      </c>
      <c r="D984" s="4" t="s">
        <v>2447</v>
      </c>
      <c r="E984" s="3" t="s">
        <v>28</v>
      </c>
      <c r="F984" s="3" t="s">
        <v>891</v>
      </c>
      <c r="G984" s="3" t="s">
        <v>892</v>
      </c>
      <c r="H984" s="3" t="s">
        <v>31</v>
      </c>
      <c r="I984" s="3" t="s">
        <v>32</v>
      </c>
      <c r="J984" s="3" t="s">
        <v>476</v>
      </c>
      <c r="K984" s="3" t="s">
        <v>366</v>
      </c>
      <c r="L984" s="3" t="s">
        <v>157</v>
      </c>
      <c r="M984" s="3" t="s">
        <v>97</v>
      </c>
      <c r="N984" s="3" t="s">
        <v>89</v>
      </c>
      <c r="O984" s="3" t="s">
        <v>90</v>
      </c>
      <c r="P984" s="3" t="s">
        <v>98</v>
      </c>
      <c r="Q984" s="5" t="n">
        <v>5307.93</v>
      </c>
      <c r="R984" s="3" t="n">
        <v>13</v>
      </c>
      <c r="S984" s="6" t="n">
        <v>0.1</v>
      </c>
      <c r="T984" s="5" t="n">
        <v>-1275.44</v>
      </c>
      <c r="U984" s="3" t="str">
        <f aca="false">IF(T984&lt;0,"Loss",IF(T984=0,"Break-even","Profit"))</f>
        <v>Loss</v>
      </c>
      <c r="V984" s="3" t="str">
        <f aca="false">IF(Q984&lt;100,"Low",IF(Q984&lt;=500,"Medium","High"))</f>
        <v>High</v>
      </c>
      <c r="W984" s="3" t="n">
        <f aca="false">D984-C984</f>
        <v>7</v>
      </c>
      <c r="X984" s="3" t="str">
        <f aca="false">TEXT(C984,"mmmm")</f>
        <v>November</v>
      </c>
      <c r="Y984" s="3" t="str">
        <f aca="false">LEFT(G984,1)&amp;MID(G984,FIND(" ",G984)+1,1)</f>
        <v>MB</v>
      </c>
    </row>
    <row r="985" customFormat="false" ht="15" hidden="false" customHeight="false" outlineLevel="0" collapsed="false">
      <c r="A985" s="3" t="n">
        <v>984</v>
      </c>
      <c r="B985" s="3" t="s">
        <v>2448</v>
      </c>
      <c r="C985" s="4" t="s">
        <v>2442</v>
      </c>
      <c r="D985" s="4" t="s">
        <v>2446</v>
      </c>
      <c r="E985" s="3" t="s">
        <v>84</v>
      </c>
      <c r="F985" s="3" t="s">
        <v>182</v>
      </c>
      <c r="G985" s="3" t="s">
        <v>183</v>
      </c>
      <c r="H985" s="3" t="s">
        <v>56</v>
      </c>
      <c r="I985" s="3" t="s">
        <v>32</v>
      </c>
      <c r="J985" s="3" t="s">
        <v>415</v>
      </c>
      <c r="K985" s="3" t="s">
        <v>202</v>
      </c>
      <c r="L985" s="3" t="s">
        <v>35</v>
      </c>
      <c r="M985" s="3" t="s">
        <v>322</v>
      </c>
      <c r="N985" s="3" t="s">
        <v>89</v>
      </c>
      <c r="O985" s="3" t="s">
        <v>323</v>
      </c>
      <c r="P985" s="3" t="s">
        <v>324</v>
      </c>
      <c r="Q985" s="5" t="n">
        <v>2495.57</v>
      </c>
      <c r="R985" s="3" t="n">
        <v>4</v>
      </c>
      <c r="S985" s="6" t="n">
        <v>0.2</v>
      </c>
      <c r="T985" s="5" t="n">
        <v>-638.54</v>
      </c>
      <c r="U985" s="3" t="str">
        <f aca="false">IF(T985&lt;0,"Loss",IF(T985=0,"Break-even","Profit"))</f>
        <v>Loss</v>
      </c>
      <c r="V985" s="3" t="str">
        <f aca="false">IF(Q985&lt;100,"Low",IF(Q985&lt;=500,"Medium","High"))</f>
        <v>High</v>
      </c>
      <c r="W985" s="3" t="n">
        <f aca="false">D985-C985</f>
        <v>3</v>
      </c>
      <c r="X985" s="3" t="str">
        <f aca="false">TEXT(C985,"mmmm")</f>
        <v>November</v>
      </c>
      <c r="Y985" s="3" t="str">
        <f aca="false">LEFT(G985,1)&amp;MID(G985,FIND(" ",G985)+1,1)</f>
        <v>CN</v>
      </c>
    </row>
    <row r="986" customFormat="false" ht="15" hidden="false" customHeight="false" outlineLevel="0" collapsed="false">
      <c r="A986" s="3" t="n">
        <v>985</v>
      </c>
      <c r="B986" s="3" t="s">
        <v>2449</v>
      </c>
      <c r="C986" s="4" t="s">
        <v>2442</v>
      </c>
      <c r="D986" s="4" t="s">
        <v>2447</v>
      </c>
      <c r="E986" s="3" t="s">
        <v>28</v>
      </c>
      <c r="F986" s="3" t="s">
        <v>1485</v>
      </c>
      <c r="G986" s="3" t="s">
        <v>1486</v>
      </c>
      <c r="H986" s="3" t="s">
        <v>56</v>
      </c>
      <c r="I986" s="3" t="s">
        <v>32</v>
      </c>
      <c r="J986" s="3" t="s">
        <v>148</v>
      </c>
      <c r="K986" s="3" t="s">
        <v>78</v>
      </c>
      <c r="L986" s="3" t="s">
        <v>59</v>
      </c>
      <c r="M986" s="3" t="s">
        <v>165</v>
      </c>
      <c r="N986" s="3" t="s">
        <v>89</v>
      </c>
      <c r="O986" s="3" t="s">
        <v>166</v>
      </c>
      <c r="P986" s="3" t="s">
        <v>167</v>
      </c>
      <c r="Q986" s="5" t="n">
        <v>3756.59</v>
      </c>
      <c r="R986" s="3" t="n">
        <v>10</v>
      </c>
      <c r="S986" s="6" t="n">
        <v>0</v>
      </c>
      <c r="T986" s="5" t="n">
        <v>582.52</v>
      </c>
      <c r="U986" s="3" t="str">
        <f aca="false">IF(T986&lt;0,"Loss",IF(T986=0,"Break-even","Profit"))</f>
        <v>Profit</v>
      </c>
      <c r="V986" s="3" t="str">
        <f aca="false">IF(Q986&lt;100,"Low",IF(Q986&lt;=500,"Medium","High"))</f>
        <v>High</v>
      </c>
      <c r="W986" s="3" t="n">
        <f aca="false">D986-C986</f>
        <v>6</v>
      </c>
      <c r="X986" s="3" t="str">
        <f aca="false">TEXT(C986,"mmmm")</f>
        <v>November</v>
      </c>
      <c r="Y986" s="3" t="str">
        <f aca="false">LEFT(G986,1)&amp;MID(G986,FIND(" ",G986)+1,1)</f>
        <v>SC</v>
      </c>
    </row>
    <row r="987" customFormat="false" ht="15" hidden="false" customHeight="false" outlineLevel="0" collapsed="false">
      <c r="A987" s="3" t="n">
        <v>986</v>
      </c>
      <c r="B987" s="3" t="s">
        <v>2450</v>
      </c>
      <c r="C987" s="4" t="s">
        <v>2442</v>
      </c>
      <c r="D987" s="4" t="s">
        <v>2447</v>
      </c>
      <c r="E987" s="3" t="s">
        <v>28</v>
      </c>
      <c r="F987" s="3" t="s">
        <v>865</v>
      </c>
      <c r="G987" s="3" t="s">
        <v>866</v>
      </c>
      <c r="H987" s="3" t="s">
        <v>31</v>
      </c>
      <c r="I987" s="3" t="s">
        <v>32</v>
      </c>
      <c r="J987" s="3" t="s">
        <v>415</v>
      </c>
      <c r="K987" s="3" t="s">
        <v>202</v>
      </c>
      <c r="L987" s="3" t="s">
        <v>35</v>
      </c>
      <c r="M987" s="3" t="s">
        <v>105</v>
      </c>
      <c r="N987" s="3" t="s">
        <v>49</v>
      </c>
      <c r="O987" s="3" t="s">
        <v>106</v>
      </c>
      <c r="P987" s="3" t="s">
        <v>107</v>
      </c>
      <c r="Q987" s="5" t="n">
        <v>377.62</v>
      </c>
      <c r="R987" s="3" t="n">
        <v>9</v>
      </c>
      <c r="S987" s="6" t="n">
        <v>0.2</v>
      </c>
      <c r="T987" s="5" t="n">
        <v>75.87</v>
      </c>
      <c r="U987" s="3" t="str">
        <f aca="false">IF(T987&lt;0,"Loss",IF(T987=0,"Break-even","Profit"))</f>
        <v>Profit</v>
      </c>
      <c r="V987" s="3" t="str">
        <f aca="false">IF(Q987&lt;100,"Low",IF(Q987&lt;=500,"Medium","High"))</f>
        <v>Medium</v>
      </c>
      <c r="W987" s="3" t="n">
        <f aca="false">D987-C987</f>
        <v>6</v>
      </c>
      <c r="X987" s="3" t="str">
        <f aca="false">TEXT(C987,"mmmm")</f>
        <v>November</v>
      </c>
      <c r="Y987" s="3" t="str">
        <f aca="false">LEFT(G987,1)&amp;MID(G987,FIND(" ",G987)+1,1)</f>
        <v>MJ</v>
      </c>
    </row>
    <row r="988" customFormat="false" ht="15" hidden="false" customHeight="false" outlineLevel="0" collapsed="false">
      <c r="A988" s="3" t="n">
        <v>987</v>
      </c>
      <c r="B988" s="3" t="s">
        <v>2451</v>
      </c>
      <c r="C988" s="4" t="s">
        <v>2438</v>
      </c>
      <c r="D988" s="4" t="s">
        <v>2444</v>
      </c>
      <c r="E988" s="3" t="s">
        <v>28</v>
      </c>
      <c r="F988" s="3" t="s">
        <v>2452</v>
      </c>
      <c r="G988" s="3" t="s">
        <v>2453</v>
      </c>
      <c r="H988" s="3" t="s">
        <v>56</v>
      </c>
      <c r="I988" s="3" t="s">
        <v>32</v>
      </c>
      <c r="J988" s="3" t="s">
        <v>188</v>
      </c>
      <c r="K988" s="3" t="s">
        <v>189</v>
      </c>
      <c r="L988" s="3" t="s">
        <v>59</v>
      </c>
      <c r="M988" s="3" t="s">
        <v>135</v>
      </c>
      <c r="N988" s="3" t="s">
        <v>37</v>
      </c>
      <c r="O988" s="3" t="s">
        <v>136</v>
      </c>
      <c r="P988" s="3" t="s">
        <v>137</v>
      </c>
      <c r="Q988" s="5" t="n">
        <v>10302</v>
      </c>
      <c r="R988" s="3" t="n">
        <v>7</v>
      </c>
      <c r="S988" s="6" t="n">
        <v>0.3</v>
      </c>
      <c r="T988" s="5" t="n">
        <v>-2640.96</v>
      </c>
      <c r="U988" s="3" t="str">
        <f aca="false">IF(T988&lt;0,"Loss",IF(T988=0,"Break-even","Profit"))</f>
        <v>Loss</v>
      </c>
      <c r="V988" s="3" t="str">
        <f aca="false">IF(Q988&lt;100,"Low",IF(Q988&lt;=500,"Medium","High"))</f>
        <v>High</v>
      </c>
      <c r="W988" s="3" t="n">
        <f aca="false">D988-C988</f>
        <v>3</v>
      </c>
      <c r="X988" s="3" t="str">
        <f aca="false">TEXT(C988,"mmmm")</f>
        <v>November</v>
      </c>
      <c r="Y988" s="3" t="str">
        <f aca="false">LEFT(G988,1)&amp;MID(G988,FIND(" ",G988)+1,1)</f>
        <v>AM</v>
      </c>
    </row>
    <row r="989" customFormat="false" ht="15" hidden="false" customHeight="false" outlineLevel="0" collapsed="false">
      <c r="A989" s="3" t="n">
        <v>988</v>
      </c>
      <c r="B989" s="3" t="s">
        <v>2454</v>
      </c>
      <c r="C989" s="4" t="s">
        <v>2438</v>
      </c>
      <c r="D989" s="4" t="s">
        <v>2444</v>
      </c>
      <c r="E989" s="3" t="s">
        <v>28</v>
      </c>
      <c r="F989" s="3" t="s">
        <v>776</v>
      </c>
      <c r="G989" s="3" t="s">
        <v>777</v>
      </c>
      <c r="H989" s="3" t="s">
        <v>56</v>
      </c>
      <c r="I989" s="3" t="s">
        <v>32</v>
      </c>
      <c r="J989" s="3" t="s">
        <v>315</v>
      </c>
      <c r="K989" s="3" t="s">
        <v>58</v>
      </c>
      <c r="L989" s="3" t="s">
        <v>59</v>
      </c>
      <c r="M989" s="3" t="s">
        <v>683</v>
      </c>
      <c r="N989" s="3" t="s">
        <v>37</v>
      </c>
      <c r="O989" s="3" t="s">
        <v>136</v>
      </c>
      <c r="P989" s="3" t="s">
        <v>684</v>
      </c>
      <c r="Q989" s="5" t="n">
        <v>7069.23</v>
      </c>
      <c r="R989" s="3" t="n">
        <v>7</v>
      </c>
      <c r="S989" s="6" t="n">
        <v>0</v>
      </c>
      <c r="T989" s="5" t="n">
        <v>1382.87</v>
      </c>
      <c r="U989" s="3" t="str">
        <f aca="false">IF(T989&lt;0,"Loss",IF(T989=0,"Break-even","Profit"))</f>
        <v>Profit</v>
      </c>
      <c r="V989" s="3" t="str">
        <f aca="false">IF(Q989&lt;100,"Low",IF(Q989&lt;=500,"Medium","High"))</f>
        <v>High</v>
      </c>
      <c r="W989" s="3" t="n">
        <f aca="false">D989-C989</f>
        <v>3</v>
      </c>
      <c r="X989" s="3" t="str">
        <f aca="false">TEXT(C989,"mmmm")</f>
        <v>November</v>
      </c>
      <c r="Y989" s="3" t="str">
        <f aca="false">LEFT(G989,1)&amp;MID(G989,FIND(" ",G989)+1,1)</f>
        <v>AM</v>
      </c>
    </row>
    <row r="990" customFormat="false" ht="15" hidden="false" customHeight="false" outlineLevel="0" collapsed="false">
      <c r="A990" s="3" t="n">
        <v>989</v>
      </c>
      <c r="B990" s="3" t="s">
        <v>2455</v>
      </c>
      <c r="C990" s="4" t="s">
        <v>2438</v>
      </c>
      <c r="D990" s="4" t="s">
        <v>2456</v>
      </c>
      <c r="E990" s="3" t="s">
        <v>28</v>
      </c>
      <c r="F990" s="3" t="s">
        <v>1099</v>
      </c>
      <c r="G990" s="3" t="s">
        <v>1100</v>
      </c>
      <c r="H990" s="3" t="s">
        <v>45</v>
      </c>
      <c r="I990" s="3" t="s">
        <v>32</v>
      </c>
      <c r="J990" s="3" t="s">
        <v>95</v>
      </c>
      <c r="K990" s="3" t="s">
        <v>96</v>
      </c>
      <c r="L990" s="3" t="s">
        <v>59</v>
      </c>
      <c r="M990" s="3" t="s">
        <v>447</v>
      </c>
      <c r="N990" s="3" t="s">
        <v>89</v>
      </c>
      <c r="O990" s="3" t="s">
        <v>323</v>
      </c>
      <c r="P990" s="3" t="s">
        <v>448</v>
      </c>
      <c r="Q990" s="5" t="n">
        <v>5651.32</v>
      </c>
      <c r="R990" s="3" t="n">
        <v>14</v>
      </c>
      <c r="S990" s="6" t="n">
        <v>0.3</v>
      </c>
      <c r="T990" s="5" t="n">
        <v>-664.71</v>
      </c>
      <c r="U990" s="3" t="str">
        <f aca="false">IF(T990&lt;0,"Loss",IF(T990=0,"Break-even","Profit"))</f>
        <v>Loss</v>
      </c>
      <c r="V990" s="3" t="str">
        <f aca="false">IF(Q990&lt;100,"Low",IF(Q990&lt;=500,"Medium","High"))</f>
        <v>High</v>
      </c>
      <c r="W990" s="3" t="n">
        <f aca="false">D990-C990</f>
        <v>4</v>
      </c>
      <c r="X990" s="3" t="str">
        <f aca="false">TEXT(C990,"mmmm")</f>
        <v>November</v>
      </c>
      <c r="Y990" s="3" t="str">
        <f aca="false">LEFT(G990,1)&amp;MID(G990,FIND(" ",G990)+1,1)</f>
        <v>JK</v>
      </c>
    </row>
    <row r="991" customFormat="false" ht="15" hidden="false" customHeight="false" outlineLevel="0" collapsed="false">
      <c r="A991" s="3" t="n">
        <v>990</v>
      </c>
      <c r="B991" s="3" t="s">
        <v>2457</v>
      </c>
      <c r="C991" s="4" t="s">
        <v>2458</v>
      </c>
      <c r="D991" s="4" t="s">
        <v>2456</v>
      </c>
      <c r="E991" s="3" t="s">
        <v>28</v>
      </c>
      <c r="F991" s="3" t="s">
        <v>1748</v>
      </c>
      <c r="G991" s="3" t="s">
        <v>1749</v>
      </c>
      <c r="H991" s="3" t="s">
        <v>56</v>
      </c>
      <c r="I991" s="3" t="s">
        <v>32</v>
      </c>
      <c r="J991" s="3" t="s">
        <v>148</v>
      </c>
      <c r="K991" s="3" t="s">
        <v>78</v>
      </c>
      <c r="L991" s="3" t="s">
        <v>59</v>
      </c>
      <c r="M991" s="3" t="s">
        <v>114</v>
      </c>
      <c r="N991" s="3" t="s">
        <v>49</v>
      </c>
      <c r="O991" s="3" t="s">
        <v>61</v>
      </c>
      <c r="P991" s="3" t="s">
        <v>115</v>
      </c>
      <c r="Q991" s="5" t="n">
        <v>1180.39</v>
      </c>
      <c r="R991" s="3" t="n">
        <v>10</v>
      </c>
      <c r="S991" s="6" t="n">
        <v>0</v>
      </c>
      <c r="T991" s="5" t="n">
        <v>330.23</v>
      </c>
      <c r="U991" s="3" t="str">
        <f aca="false">IF(T991&lt;0,"Loss",IF(T991=0,"Break-even","Profit"))</f>
        <v>Profit</v>
      </c>
      <c r="V991" s="3" t="str">
        <f aca="false">IF(Q991&lt;100,"Low",IF(Q991&lt;=500,"Medium","High"))</f>
        <v>High</v>
      </c>
      <c r="W991" s="3" t="n">
        <f aca="false">D991-C991</f>
        <v>3</v>
      </c>
      <c r="X991" s="3" t="str">
        <f aca="false">TEXT(C991,"mmmm")</f>
        <v>November</v>
      </c>
      <c r="Y991" s="3" t="str">
        <f aca="false">LEFT(G991,1)&amp;MID(G991,FIND(" ",G991)+1,1)</f>
        <v>MN</v>
      </c>
    </row>
    <row r="992" customFormat="false" ht="15" hidden="false" customHeight="false" outlineLevel="0" collapsed="false">
      <c r="A992" s="3" t="n">
        <v>991</v>
      </c>
      <c r="B992" s="3" t="s">
        <v>1615</v>
      </c>
      <c r="C992" s="4" t="s">
        <v>2447</v>
      </c>
      <c r="D992" s="4" t="s">
        <v>2459</v>
      </c>
      <c r="E992" s="3" t="s">
        <v>42</v>
      </c>
      <c r="F992" s="3" t="s">
        <v>1278</v>
      </c>
      <c r="G992" s="3" t="s">
        <v>1279</v>
      </c>
      <c r="H992" s="3" t="s">
        <v>31</v>
      </c>
      <c r="I992" s="3" t="s">
        <v>32</v>
      </c>
      <c r="J992" s="3" t="s">
        <v>215</v>
      </c>
      <c r="K992" s="3" t="s">
        <v>34</v>
      </c>
      <c r="L992" s="3" t="s">
        <v>35</v>
      </c>
      <c r="M992" s="3" t="s">
        <v>219</v>
      </c>
      <c r="N992" s="3" t="s">
        <v>49</v>
      </c>
      <c r="O992" s="3" t="s">
        <v>220</v>
      </c>
      <c r="P992" s="3" t="s">
        <v>221</v>
      </c>
      <c r="Q992" s="5" t="n">
        <v>502.9</v>
      </c>
      <c r="R992" s="3" t="n">
        <v>6</v>
      </c>
      <c r="S992" s="6" t="n">
        <v>0</v>
      </c>
      <c r="T992" s="5" t="n">
        <v>116.39</v>
      </c>
      <c r="U992" s="3" t="str">
        <f aca="false">IF(T992&lt;0,"Loss",IF(T992=0,"Break-even","Profit"))</f>
        <v>Profit</v>
      </c>
      <c r="V992" s="3" t="str">
        <f aca="false">IF(Q992&lt;100,"Low",IF(Q992&lt;=500,"Medium","High"))</f>
        <v>High</v>
      </c>
      <c r="W992" s="3" t="n">
        <f aca="false">D992-C992</f>
        <v>2</v>
      </c>
      <c r="X992" s="3" t="str">
        <f aca="false">TEXT(C992,"mmmm")</f>
        <v>November</v>
      </c>
      <c r="Y992" s="3" t="str">
        <f aca="false">LEFT(G992,1)&amp;MID(G992,FIND(" ",G992)+1,1)</f>
        <v>MC</v>
      </c>
    </row>
    <row r="993" customFormat="false" ht="15" hidden="false" customHeight="false" outlineLevel="0" collapsed="false">
      <c r="A993" s="3" t="n">
        <v>992</v>
      </c>
      <c r="B993" s="3" t="s">
        <v>2460</v>
      </c>
      <c r="C993" s="4" t="s">
        <v>2459</v>
      </c>
      <c r="D993" s="4" t="s">
        <v>2461</v>
      </c>
      <c r="E993" s="3" t="s">
        <v>28</v>
      </c>
      <c r="F993" s="3" t="s">
        <v>2462</v>
      </c>
      <c r="G993" s="3" t="s">
        <v>2463</v>
      </c>
      <c r="H993" s="3" t="s">
        <v>56</v>
      </c>
      <c r="I993" s="3" t="s">
        <v>32</v>
      </c>
      <c r="J993" s="3" t="s">
        <v>548</v>
      </c>
      <c r="K993" s="3" t="s">
        <v>244</v>
      </c>
      <c r="L993" s="3" t="s">
        <v>157</v>
      </c>
      <c r="M993" s="3" t="s">
        <v>420</v>
      </c>
      <c r="N993" s="3" t="s">
        <v>49</v>
      </c>
      <c r="O993" s="3" t="s">
        <v>80</v>
      </c>
      <c r="P993" s="3" t="s">
        <v>421</v>
      </c>
      <c r="Q993" s="5" t="n">
        <v>251.81</v>
      </c>
      <c r="R993" s="3" t="n">
        <v>8</v>
      </c>
      <c r="S993" s="6" t="n">
        <v>0.3</v>
      </c>
      <c r="T993" s="5" t="n">
        <v>10.85</v>
      </c>
      <c r="U993" s="3" t="str">
        <f aca="false">IF(T993&lt;0,"Loss",IF(T993=0,"Break-even","Profit"))</f>
        <v>Profit</v>
      </c>
      <c r="V993" s="3" t="str">
        <f aca="false">IF(Q993&lt;100,"Low",IF(Q993&lt;=500,"Medium","High"))</f>
        <v>Medium</v>
      </c>
      <c r="W993" s="3" t="n">
        <f aca="false">D993-C993</f>
        <v>4</v>
      </c>
      <c r="X993" s="3" t="str">
        <f aca="false">TEXT(C993,"mmmm")</f>
        <v>November</v>
      </c>
      <c r="Y993" s="3" t="str">
        <f aca="false">LEFT(G993,1)&amp;MID(G993,FIND(" ",G993)+1,1)</f>
        <v>LS</v>
      </c>
    </row>
    <row r="994" customFormat="false" ht="15" hidden="false" customHeight="false" outlineLevel="0" collapsed="false">
      <c r="A994" s="3" t="n">
        <v>993</v>
      </c>
      <c r="B994" s="3" t="s">
        <v>1799</v>
      </c>
      <c r="C994" s="4" t="s">
        <v>2459</v>
      </c>
      <c r="D994" s="4" t="s">
        <v>2464</v>
      </c>
      <c r="E994" s="3" t="s">
        <v>28</v>
      </c>
      <c r="F994" s="3" t="s">
        <v>1462</v>
      </c>
      <c r="G994" s="3" t="s">
        <v>1463</v>
      </c>
      <c r="H994" s="3" t="s">
        <v>56</v>
      </c>
      <c r="I994" s="3" t="s">
        <v>32</v>
      </c>
      <c r="J994" s="3" t="s">
        <v>77</v>
      </c>
      <c r="K994" s="3" t="s">
        <v>78</v>
      </c>
      <c r="L994" s="3" t="s">
        <v>59</v>
      </c>
      <c r="M994" s="3" t="s">
        <v>237</v>
      </c>
      <c r="N994" s="3" t="s">
        <v>49</v>
      </c>
      <c r="O994" s="3" t="s">
        <v>220</v>
      </c>
      <c r="P994" s="3" t="s">
        <v>238</v>
      </c>
      <c r="Q994" s="5" t="n">
        <v>74.66</v>
      </c>
      <c r="R994" s="3" t="n">
        <v>9</v>
      </c>
      <c r="S994" s="6" t="n">
        <v>0.4</v>
      </c>
      <c r="T994" s="5" t="n">
        <v>14.55</v>
      </c>
      <c r="U994" s="3" t="str">
        <f aca="false">IF(T994&lt;0,"Loss",IF(T994=0,"Break-even","Profit"))</f>
        <v>Profit</v>
      </c>
      <c r="V994" s="3" t="str">
        <f aca="false">IF(Q994&lt;100,"Low",IF(Q994&lt;=500,"Medium","High"))</f>
        <v>Low</v>
      </c>
      <c r="W994" s="3" t="n">
        <f aca="false">D994-C994</f>
        <v>6</v>
      </c>
      <c r="X994" s="3" t="str">
        <f aca="false">TEXT(C994,"mmmm")</f>
        <v>November</v>
      </c>
      <c r="Y994" s="3" t="str">
        <f aca="false">LEFT(G994,1)&amp;MID(G994,FIND(" ",G994)+1,1)</f>
        <v>SA</v>
      </c>
    </row>
    <row r="995" customFormat="false" ht="15" hidden="false" customHeight="false" outlineLevel="0" collapsed="false">
      <c r="A995" s="3" t="n">
        <v>994</v>
      </c>
      <c r="B995" s="3" t="s">
        <v>2465</v>
      </c>
      <c r="C995" s="4" t="s">
        <v>2459</v>
      </c>
      <c r="D995" s="4" t="s">
        <v>2466</v>
      </c>
      <c r="E995" s="3" t="s">
        <v>42</v>
      </c>
      <c r="F995" s="3" t="s">
        <v>618</v>
      </c>
      <c r="G995" s="3" t="s">
        <v>619</v>
      </c>
      <c r="H995" s="3" t="s">
        <v>45</v>
      </c>
      <c r="I995" s="3" t="s">
        <v>32</v>
      </c>
      <c r="J995" s="3" t="s">
        <v>120</v>
      </c>
      <c r="K995" s="3" t="s">
        <v>113</v>
      </c>
      <c r="L995" s="3" t="s">
        <v>69</v>
      </c>
      <c r="M995" s="3" t="s">
        <v>237</v>
      </c>
      <c r="N995" s="3" t="s">
        <v>49</v>
      </c>
      <c r="O995" s="3" t="s">
        <v>220</v>
      </c>
      <c r="P995" s="3" t="s">
        <v>238</v>
      </c>
      <c r="Q995" s="5" t="n">
        <v>1016.67</v>
      </c>
      <c r="R995" s="3" t="n">
        <v>11</v>
      </c>
      <c r="S995" s="6" t="n">
        <v>0</v>
      </c>
      <c r="T995" s="5" t="n">
        <v>-155.2</v>
      </c>
      <c r="U995" s="3" t="str">
        <f aca="false">IF(T995&lt;0,"Loss",IF(T995=0,"Break-even","Profit"))</f>
        <v>Loss</v>
      </c>
      <c r="V995" s="3" t="str">
        <f aca="false">IF(Q995&lt;100,"Low",IF(Q995&lt;=500,"Medium","High"))</f>
        <v>High</v>
      </c>
      <c r="W995" s="3" t="n">
        <f aca="false">D995-C995</f>
        <v>2</v>
      </c>
      <c r="X995" s="3" t="str">
        <f aca="false">TEXT(C995,"mmmm")</f>
        <v>November</v>
      </c>
      <c r="Y995" s="3" t="str">
        <f aca="false">LEFT(G995,1)&amp;MID(G995,FIND(" ",G995)+1,1)</f>
        <v>AJ</v>
      </c>
    </row>
    <row r="996" customFormat="false" ht="15" hidden="false" customHeight="false" outlineLevel="0" collapsed="false">
      <c r="A996" s="3" t="n">
        <v>995</v>
      </c>
      <c r="B996" s="3" t="s">
        <v>2467</v>
      </c>
      <c r="C996" s="4" t="s">
        <v>2468</v>
      </c>
      <c r="D996" s="4" t="s">
        <v>2461</v>
      </c>
      <c r="E996" s="3" t="s">
        <v>28</v>
      </c>
      <c r="F996" s="3" t="s">
        <v>957</v>
      </c>
      <c r="G996" s="3" t="s">
        <v>958</v>
      </c>
      <c r="H996" s="3" t="s">
        <v>31</v>
      </c>
      <c r="I996" s="3" t="s">
        <v>32</v>
      </c>
      <c r="J996" s="3" t="s">
        <v>315</v>
      </c>
      <c r="K996" s="3" t="s">
        <v>58</v>
      </c>
      <c r="L996" s="3" t="s">
        <v>59</v>
      </c>
      <c r="M996" s="3" t="s">
        <v>158</v>
      </c>
      <c r="N996" s="3" t="s">
        <v>49</v>
      </c>
      <c r="O996" s="3" t="s">
        <v>159</v>
      </c>
      <c r="P996" s="3" t="s">
        <v>160</v>
      </c>
      <c r="Q996" s="5" t="n">
        <v>94.48</v>
      </c>
      <c r="R996" s="3" t="n">
        <v>7</v>
      </c>
      <c r="S996" s="6" t="n">
        <v>0.3</v>
      </c>
      <c r="T996" s="5" t="n">
        <v>-7.81</v>
      </c>
      <c r="U996" s="3" t="str">
        <f aca="false">IF(T996&lt;0,"Loss",IF(T996=0,"Break-even","Profit"))</f>
        <v>Loss</v>
      </c>
      <c r="V996" s="3" t="str">
        <f aca="false">IF(Q996&lt;100,"Low",IF(Q996&lt;=500,"Medium","High"))</f>
        <v>Low</v>
      </c>
      <c r="W996" s="3" t="n">
        <f aca="false">D996-C996</f>
        <v>3</v>
      </c>
      <c r="X996" s="3" t="str">
        <f aca="false">TEXT(C996,"mmmm")</f>
        <v>December</v>
      </c>
      <c r="Y996" s="3" t="str">
        <f aca="false">LEFT(G996,1)&amp;MID(G996,FIND(" ",G996)+1,1)</f>
        <v>JM</v>
      </c>
    </row>
    <row r="997" customFormat="false" ht="15" hidden="false" customHeight="false" outlineLevel="0" collapsed="false">
      <c r="A997" s="3" t="n">
        <v>996</v>
      </c>
      <c r="B997" s="3" t="s">
        <v>1861</v>
      </c>
      <c r="C997" s="4" t="s">
        <v>2468</v>
      </c>
      <c r="D997" s="4" t="s">
        <v>2469</v>
      </c>
      <c r="E997" s="3" t="s">
        <v>84</v>
      </c>
      <c r="F997" s="3" t="s">
        <v>2470</v>
      </c>
      <c r="G997" s="3" t="s">
        <v>2471</v>
      </c>
      <c r="H997" s="3" t="s">
        <v>56</v>
      </c>
      <c r="I997" s="3" t="s">
        <v>32</v>
      </c>
      <c r="J997" s="3" t="s">
        <v>67</v>
      </c>
      <c r="K997" s="3" t="s">
        <v>68</v>
      </c>
      <c r="L997" s="3" t="s">
        <v>69</v>
      </c>
      <c r="M997" s="3" t="s">
        <v>173</v>
      </c>
      <c r="N997" s="3" t="s">
        <v>89</v>
      </c>
      <c r="O997" s="3" t="s">
        <v>174</v>
      </c>
      <c r="P997" s="3" t="s">
        <v>175</v>
      </c>
      <c r="Q997" s="5" t="n">
        <v>2555.92</v>
      </c>
      <c r="R997" s="3" t="n">
        <v>3</v>
      </c>
      <c r="S997" s="6" t="n">
        <v>0</v>
      </c>
      <c r="T997" s="5" t="n">
        <v>385.1</v>
      </c>
      <c r="U997" s="3" t="str">
        <f aca="false">IF(T997&lt;0,"Loss",IF(T997=0,"Break-even","Profit"))</f>
        <v>Profit</v>
      </c>
      <c r="V997" s="3" t="str">
        <f aca="false">IF(Q997&lt;100,"Low",IF(Q997&lt;=500,"Medium","High"))</f>
        <v>High</v>
      </c>
      <c r="W997" s="3" t="n">
        <f aca="false">D997-C997</f>
        <v>4</v>
      </c>
      <c r="X997" s="3" t="str">
        <f aca="false">TEXT(C997,"mmmm")</f>
        <v>December</v>
      </c>
      <c r="Y997" s="3" t="str">
        <f aca="false">LEFT(G997,1)&amp;MID(G997,FIND(" ",G997)+1,1)</f>
        <v>LC</v>
      </c>
    </row>
    <row r="998" customFormat="false" ht="15" hidden="false" customHeight="false" outlineLevel="0" collapsed="false">
      <c r="A998" s="3" t="n">
        <v>997</v>
      </c>
      <c r="B998" s="3" t="s">
        <v>2455</v>
      </c>
      <c r="C998" s="4" t="s">
        <v>2466</v>
      </c>
      <c r="D998" s="4" t="s">
        <v>2472</v>
      </c>
      <c r="E998" s="3" t="s">
        <v>28</v>
      </c>
      <c r="F998" s="3" t="s">
        <v>2473</v>
      </c>
      <c r="G998" s="3" t="s">
        <v>2474</v>
      </c>
      <c r="H998" s="3" t="s">
        <v>56</v>
      </c>
      <c r="I998" s="3" t="s">
        <v>32</v>
      </c>
      <c r="J998" s="3" t="s">
        <v>476</v>
      </c>
      <c r="K998" s="3" t="s">
        <v>366</v>
      </c>
      <c r="L998" s="3" t="s">
        <v>157</v>
      </c>
      <c r="M998" s="3" t="s">
        <v>135</v>
      </c>
      <c r="N998" s="3" t="s">
        <v>37</v>
      </c>
      <c r="O998" s="3" t="s">
        <v>136</v>
      </c>
      <c r="P998" s="3" t="s">
        <v>137</v>
      </c>
      <c r="Q998" s="5" t="n">
        <v>2726.02</v>
      </c>
      <c r="R998" s="3" t="n">
        <v>2</v>
      </c>
      <c r="S998" s="6" t="n">
        <v>0.2</v>
      </c>
      <c r="T998" s="5" t="n">
        <v>-494.07</v>
      </c>
      <c r="U998" s="3" t="str">
        <f aca="false">IF(T998&lt;0,"Loss",IF(T998=0,"Break-even","Profit"))</f>
        <v>Loss</v>
      </c>
      <c r="V998" s="3" t="str">
        <f aca="false">IF(Q998&lt;100,"Low",IF(Q998&lt;=500,"Medium","High"))</f>
        <v>High</v>
      </c>
      <c r="W998" s="3" t="n">
        <f aca="false">D998-C998</f>
        <v>6</v>
      </c>
      <c r="X998" s="3" t="str">
        <f aca="false">TEXT(C998,"mmmm")</f>
        <v>December</v>
      </c>
      <c r="Y998" s="3" t="str">
        <f aca="false">LEFT(G998,1)&amp;MID(G998,FIND(" ",G998)+1,1)</f>
        <v>MG</v>
      </c>
    </row>
    <row r="999" customFormat="false" ht="15" hidden="false" customHeight="false" outlineLevel="0" collapsed="false">
      <c r="A999" s="3" t="n">
        <v>998</v>
      </c>
      <c r="B999" s="3" t="s">
        <v>2475</v>
      </c>
      <c r="C999" s="4" t="s">
        <v>2466</v>
      </c>
      <c r="D999" s="4" t="s">
        <v>2476</v>
      </c>
      <c r="E999" s="3" t="s">
        <v>28</v>
      </c>
      <c r="F999" s="3" t="s">
        <v>1446</v>
      </c>
      <c r="G999" s="3" t="s">
        <v>1447</v>
      </c>
      <c r="H999" s="3" t="s">
        <v>56</v>
      </c>
      <c r="I999" s="3" t="s">
        <v>32</v>
      </c>
      <c r="J999" s="3" t="s">
        <v>215</v>
      </c>
      <c r="K999" s="3" t="s">
        <v>34</v>
      </c>
      <c r="L999" s="3" t="s">
        <v>35</v>
      </c>
      <c r="M999" s="3" t="s">
        <v>334</v>
      </c>
      <c r="N999" s="3" t="s">
        <v>37</v>
      </c>
      <c r="O999" s="3" t="s">
        <v>136</v>
      </c>
      <c r="P999" s="3" t="s">
        <v>335</v>
      </c>
      <c r="Q999" s="5" t="n">
        <v>5314.92</v>
      </c>
      <c r="R999" s="3" t="n">
        <v>5</v>
      </c>
      <c r="S999" s="6" t="n">
        <v>0</v>
      </c>
      <c r="T999" s="5" t="n">
        <v>-39.7</v>
      </c>
      <c r="U999" s="3" t="str">
        <f aca="false">IF(T999&lt;0,"Loss",IF(T999=0,"Break-even","Profit"))</f>
        <v>Loss</v>
      </c>
      <c r="V999" s="3" t="str">
        <f aca="false">IF(Q999&lt;100,"Low",IF(Q999&lt;=500,"Medium","High"))</f>
        <v>High</v>
      </c>
      <c r="W999" s="3" t="n">
        <f aca="false">D999-C999</f>
        <v>7</v>
      </c>
      <c r="X999" s="3" t="str">
        <f aca="false">TEXT(C999,"mmmm")</f>
        <v>December</v>
      </c>
      <c r="Y999" s="3" t="str">
        <f aca="false">LEFT(G999,1)&amp;MID(G999,FIND(" ",G999)+1,1)</f>
        <v>JJ</v>
      </c>
    </row>
    <row r="1000" customFormat="false" ht="15" hidden="false" customHeight="false" outlineLevel="0" collapsed="false">
      <c r="A1000" s="3" t="n">
        <v>999</v>
      </c>
      <c r="B1000" s="3" t="s">
        <v>2306</v>
      </c>
      <c r="C1000" s="4" t="s">
        <v>2461</v>
      </c>
      <c r="D1000" s="4" t="s">
        <v>2476</v>
      </c>
      <c r="E1000" s="3" t="s">
        <v>28</v>
      </c>
      <c r="F1000" s="3" t="s">
        <v>1140</v>
      </c>
      <c r="G1000" s="3" t="s">
        <v>1141</v>
      </c>
      <c r="H1000" s="3" t="s">
        <v>31</v>
      </c>
      <c r="I1000" s="3" t="s">
        <v>32</v>
      </c>
      <c r="J1000" s="3" t="s">
        <v>46</v>
      </c>
      <c r="K1000" s="3" t="s">
        <v>47</v>
      </c>
      <c r="L1000" s="3" t="s">
        <v>35</v>
      </c>
      <c r="M1000" s="3" t="s">
        <v>70</v>
      </c>
      <c r="N1000" s="3" t="s">
        <v>37</v>
      </c>
      <c r="O1000" s="3" t="s">
        <v>71</v>
      </c>
      <c r="P1000" s="3" t="s">
        <v>72</v>
      </c>
      <c r="Q1000" s="5" t="n">
        <v>3743.19</v>
      </c>
      <c r="R1000" s="3" t="n">
        <v>4</v>
      </c>
      <c r="S1000" s="6" t="n">
        <v>0.5</v>
      </c>
      <c r="T1000" s="5" t="n">
        <v>-673.67</v>
      </c>
      <c r="U1000" s="3" t="str">
        <f aca="false">IF(T1000&lt;0,"Loss",IF(T1000=0,"Break-even","Profit"))</f>
        <v>Loss</v>
      </c>
      <c r="V1000" s="3" t="str">
        <f aca="false">IF(Q1000&lt;100,"Low",IF(Q1000&lt;=500,"Medium","High"))</f>
        <v>High</v>
      </c>
      <c r="W1000" s="3" t="n">
        <f aca="false">D1000-C1000</f>
        <v>5</v>
      </c>
      <c r="X1000" s="3" t="str">
        <f aca="false">TEXT(C1000,"mmmm")</f>
        <v>December</v>
      </c>
      <c r="Y1000" s="3" t="str">
        <f aca="false">LEFT(G1000,1)&amp;MID(G1000,FIND(" ",G1000)+1,1)</f>
        <v>MS</v>
      </c>
    </row>
    <row r="1001" customFormat="false" ht="15" hidden="false" customHeight="false" outlineLevel="0" collapsed="false">
      <c r="A1001" s="3" t="n">
        <v>1000</v>
      </c>
      <c r="B1001" s="3" t="s">
        <v>2477</v>
      </c>
      <c r="C1001" s="4" t="s">
        <v>2461</v>
      </c>
      <c r="D1001" s="4" t="s">
        <v>2476</v>
      </c>
      <c r="E1001" s="3" t="s">
        <v>28</v>
      </c>
      <c r="F1001" s="3" t="s">
        <v>320</v>
      </c>
      <c r="G1001" s="3" t="s">
        <v>321</v>
      </c>
      <c r="H1001" s="3" t="s">
        <v>45</v>
      </c>
      <c r="I1001" s="3" t="s">
        <v>32</v>
      </c>
      <c r="J1001" s="3" t="s">
        <v>476</v>
      </c>
      <c r="K1001" s="3" t="s">
        <v>366</v>
      </c>
      <c r="L1001" s="3" t="s">
        <v>157</v>
      </c>
      <c r="M1001" s="3" t="s">
        <v>316</v>
      </c>
      <c r="N1001" s="3" t="s">
        <v>49</v>
      </c>
      <c r="O1001" s="3" t="s">
        <v>143</v>
      </c>
      <c r="P1001" s="3" t="s">
        <v>317</v>
      </c>
      <c r="Q1001" s="5" t="n">
        <v>770.97</v>
      </c>
      <c r="R1001" s="3" t="n">
        <v>12</v>
      </c>
      <c r="S1001" s="6" t="n">
        <v>0.1</v>
      </c>
      <c r="T1001" s="5" t="n">
        <v>216.5</v>
      </c>
      <c r="U1001" s="3" t="str">
        <f aca="false">IF(T1001&lt;0,"Loss",IF(T1001=0,"Break-even","Profit"))</f>
        <v>Profit</v>
      </c>
      <c r="V1001" s="3" t="str">
        <f aca="false">IF(Q1001&lt;100,"Low",IF(Q1001&lt;=500,"Medium","High"))</f>
        <v>High</v>
      </c>
      <c r="W1001" s="3" t="n">
        <f aca="false">D1001-C1001</f>
        <v>5</v>
      </c>
      <c r="X1001" s="3" t="str">
        <f aca="false">TEXT(C1001,"mmmm")</f>
        <v>December</v>
      </c>
      <c r="Y1001" s="3" t="str">
        <f aca="false">LEFT(G1001,1)&amp;MID(G1001,FIND(" ",G1001)+1,1)</f>
        <v>OW</v>
      </c>
    </row>
    <row r="1002" customFormat="false" ht="15" hidden="false" customHeight="false" outlineLevel="0" collapsed="false">
      <c r="A1002" s="3" t="n">
        <v>1001</v>
      </c>
      <c r="B1002" s="3" t="s">
        <v>2478</v>
      </c>
      <c r="C1002" s="4" t="s">
        <v>2461</v>
      </c>
      <c r="D1002" s="4" t="s">
        <v>2476</v>
      </c>
      <c r="E1002" s="3" t="s">
        <v>28</v>
      </c>
      <c r="F1002" s="3" t="s">
        <v>1544</v>
      </c>
      <c r="G1002" s="3" t="s">
        <v>1545</v>
      </c>
      <c r="H1002" s="3" t="s">
        <v>31</v>
      </c>
      <c r="I1002" s="3" t="s">
        <v>32</v>
      </c>
      <c r="J1002" s="3" t="s">
        <v>120</v>
      </c>
      <c r="K1002" s="3" t="s">
        <v>113</v>
      </c>
      <c r="L1002" s="3" t="s">
        <v>69</v>
      </c>
      <c r="M1002" s="3" t="s">
        <v>225</v>
      </c>
      <c r="N1002" s="3" t="s">
        <v>37</v>
      </c>
      <c r="O1002" s="3" t="s">
        <v>196</v>
      </c>
      <c r="P1002" s="3" t="s">
        <v>226</v>
      </c>
      <c r="Q1002" s="5" t="n">
        <v>294.24</v>
      </c>
      <c r="R1002" s="3" t="n">
        <v>9</v>
      </c>
      <c r="S1002" s="6" t="n">
        <v>0.4</v>
      </c>
      <c r="T1002" s="5" t="n">
        <v>20.24</v>
      </c>
      <c r="U1002" s="3" t="str">
        <f aca="false">IF(T1002&lt;0,"Loss",IF(T1002=0,"Break-even","Profit"))</f>
        <v>Profit</v>
      </c>
      <c r="V1002" s="3" t="str">
        <f aca="false">IF(Q1002&lt;100,"Low",IF(Q1002&lt;=500,"Medium","High"))</f>
        <v>Medium</v>
      </c>
      <c r="W1002" s="3" t="n">
        <f aca="false">D1002-C1002</f>
        <v>5</v>
      </c>
      <c r="X1002" s="3" t="str">
        <f aca="false">TEXT(C1002,"mmmm")</f>
        <v>December</v>
      </c>
      <c r="Y1002" s="3" t="str">
        <f aca="false">LEFT(G1002,1)&amp;MID(G1002,FIND(" ",G1002)+1,1)</f>
        <v>PK</v>
      </c>
    </row>
    <row r="1003" customFormat="false" ht="15" hidden="false" customHeight="false" outlineLevel="0" collapsed="false">
      <c r="A1003" s="3" t="n">
        <v>1002</v>
      </c>
      <c r="B1003" s="3" t="s">
        <v>2479</v>
      </c>
      <c r="C1003" s="4" t="s">
        <v>2469</v>
      </c>
      <c r="D1003" s="4" t="s">
        <v>2480</v>
      </c>
      <c r="E1003" s="3" t="s">
        <v>28</v>
      </c>
      <c r="F1003" s="3" t="s">
        <v>490</v>
      </c>
      <c r="G1003" s="3" t="s">
        <v>491</v>
      </c>
      <c r="H1003" s="3" t="s">
        <v>31</v>
      </c>
      <c r="I1003" s="3" t="s">
        <v>32</v>
      </c>
      <c r="J1003" s="3" t="s">
        <v>67</v>
      </c>
      <c r="K1003" s="3" t="s">
        <v>68</v>
      </c>
      <c r="L1003" s="3" t="s">
        <v>69</v>
      </c>
      <c r="M1003" s="3" t="s">
        <v>79</v>
      </c>
      <c r="N1003" s="3" t="s">
        <v>49</v>
      </c>
      <c r="O1003" s="3" t="s">
        <v>80</v>
      </c>
      <c r="P1003" s="3" t="s">
        <v>81</v>
      </c>
      <c r="Q1003" s="5" t="n">
        <v>307.46</v>
      </c>
      <c r="R1003" s="3" t="n">
        <v>5</v>
      </c>
      <c r="S1003" s="6" t="n">
        <v>0.2</v>
      </c>
      <c r="T1003" s="5" t="n">
        <v>73.15</v>
      </c>
      <c r="U1003" s="3" t="str">
        <f aca="false">IF(T1003&lt;0,"Loss",IF(T1003=0,"Break-even","Profit"))</f>
        <v>Profit</v>
      </c>
      <c r="V1003" s="3" t="str">
        <f aca="false">IF(Q1003&lt;100,"Low",IF(Q1003&lt;=500,"Medium","High"))</f>
        <v>Medium</v>
      </c>
      <c r="W1003" s="3" t="n">
        <f aca="false">D1003-C1003</f>
        <v>7</v>
      </c>
      <c r="X1003" s="3" t="str">
        <f aca="false">TEXT(C1003,"mmmm")</f>
        <v>December</v>
      </c>
      <c r="Y1003" s="3" t="str">
        <f aca="false">LEFT(G1003,1)&amp;MID(G1003,FIND(" ",G1003)+1,1)</f>
        <v>WM</v>
      </c>
    </row>
    <row r="1004" customFormat="false" ht="15" hidden="false" customHeight="false" outlineLevel="0" collapsed="false">
      <c r="A1004" s="3" t="n">
        <v>1003</v>
      </c>
      <c r="B1004" s="3" t="s">
        <v>2481</v>
      </c>
      <c r="C1004" s="4" t="s">
        <v>2464</v>
      </c>
      <c r="D1004" s="4" t="s">
        <v>2482</v>
      </c>
      <c r="E1004" s="3" t="s">
        <v>28</v>
      </c>
      <c r="F1004" s="3" t="s">
        <v>1086</v>
      </c>
      <c r="G1004" s="3" t="s">
        <v>1087</v>
      </c>
      <c r="H1004" s="3" t="s">
        <v>56</v>
      </c>
      <c r="I1004" s="3" t="s">
        <v>32</v>
      </c>
      <c r="J1004" s="3" t="s">
        <v>171</v>
      </c>
      <c r="K1004" s="3" t="s">
        <v>172</v>
      </c>
      <c r="L1004" s="3" t="s">
        <v>157</v>
      </c>
      <c r="M1004" s="3" t="s">
        <v>70</v>
      </c>
      <c r="N1004" s="3" t="s">
        <v>37</v>
      </c>
      <c r="O1004" s="3" t="s">
        <v>71</v>
      </c>
      <c r="P1004" s="3" t="s">
        <v>72</v>
      </c>
      <c r="Q1004" s="5" t="n">
        <v>16127.88</v>
      </c>
      <c r="R1004" s="3" t="n">
        <v>9</v>
      </c>
      <c r="S1004" s="6" t="n">
        <v>0</v>
      </c>
      <c r="T1004" s="5" t="n">
        <v>4690.48</v>
      </c>
      <c r="U1004" s="3" t="str">
        <f aca="false">IF(T1004&lt;0,"Loss",IF(T1004=0,"Break-even","Profit"))</f>
        <v>Profit</v>
      </c>
      <c r="V1004" s="3" t="str">
        <f aca="false">IF(Q1004&lt;100,"Low",IF(Q1004&lt;=500,"Medium","High"))</f>
        <v>High</v>
      </c>
      <c r="W1004" s="3" t="n">
        <f aca="false">D1004-C1004</f>
        <v>7</v>
      </c>
      <c r="X1004" s="3" t="str">
        <f aca="false">TEXT(C1004,"mmmm")</f>
        <v>December</v>
      </c>
      <c r="Y1004" s="3" t="str">
        <f aca="false">LEFT(G1004,1)&amp;MID(G1004,FIND(" ",G1004)+1,1)</f>
        <v>AB</v>
      </c>
    </row>
    <row r="1005" customFormat="false" ht="15" hidden="false" customHeight="false" outlineLevel="0" collapsed="false">
      <c r="A1005" s="3" t="n">
        <v>1004</v>
      </c>
      <c r="B1005" s="3" t="s">
        <v>2483</v>
      </c>
      <c r="C1005" s="4" t="s">
        <v>2464</v>
      </c>
      <c r="D1005" s="4" t="s">
        <v>2482</v>
      </c>
      <c r="E1005" s="3" t="s">
        <v>28</v>
      </c>
      <c r="F1005" s="3" t="s">
        <v>1233</v>
      </c>
      <c r="G1005" s="3" t="s">
        <v>1234</v>
      </c>
      <c r="H1005" s="3" t="s">
        <v>56</v>
      </c>
      <c r="I1005" s="3" t="s">
        <v>32</v>
      </c>
      <c r="J1005" s="3" t="s">
        <v>873</v>
      </c>
      <c r="K1005" s="3" t="s">
        <v>387</v>
      </c>
      <c r="L1005" s="3" t="s">
        <v>35</v>
      </c>
      <c r="M1005" s="3" t="s">
        <v>259</v>
      </c>
      <c r="N1005" s="3" t="s">
        <v>89</v>
      </c>
      <c r="O1005" s="3" t="s">
        <v>174</v>
      </c>
      <c r="P1005" s="3" t="s">
        <v>260</v>
      </c>
      <c r="Q1005" s="5" t="n">
        <v>5333.06</v>
      </c>
      <c r="R1005" s="3" t="n">
        <v>8</v>
      </c>
      <c r="S1005" s="6" t="n">
        <v>0</v>
      </c>
      <c r="T1005" s="5" t="n">
        <v>725.72</v>
      </c>
      <c r="U1005" s="3" t="str">
        <f aca="false">IF(T1005&lt;0,"Loss",IF(T1005=0,"Break-even","Profit"))</f>
        <v>Profit</v>
      </c>
      <c r="V1005" s="3" t="str">
        <f aca="false">IF(Q1005&lt;100,"Low",IF(Q1005&lt;=500,"Medium","High"))</f>
        <v>High</v>
      </c>
      <c r="W1005" s="3" t="n">
        <f aca="false">D1005-C1005</f>
        <v>7</v>
      </c>
      <c r="X1005" s="3" t="str">
        <f aca="false">TEXT(C1005,"mmmm")</f>
        <v>December</v>
      </c>
      <c r="Y1005" s="3" t="str">
        <f aca="false">LEFT(G1005,1)&amp;MID(G1005,FIND(" ",G1005)+1,1)</f>
        <v>WJ</v>
      </c>
    </row>
    <row r="1006" customFormat="false" ht="15" hidden="false" customHeight="false" outlineLevel="0" collapsed="false">
      <c r="A1006" s="3" t="n">
        <v>1005</v>
      </c>
      <c r="B1006" s="3" t="s">
        <v>2484</v>
      </c>
      <c r="C1006" s="4" t="s">
        <v>2464</v>
      </c>
      <c r="D1006" s="4" t="s">
        <v>2485</v>
      </c>
      <c r="E1006" s="3" t="s">
        <v>84</v>
      </c>
      <c r="F1006" s="3" t="s">
        <v>1468</v>
      </c>
      <c r="G1006" s="3" t="s">
        <v>1469</v>
      </c>
      <c r="H1006" s="3" t="s">
        <v>56</v>
      </c>
      <c r="I1006" s="3" t="s">
        <v>32</v>
      </c>
      <c r="J1006" s="3" t="s">
        <v>95</v>
      </c>
      <c r="K1006" s="3" t="s">
        <v>96</v>
      </c>
      <c r="L1006" s="3" t="s">
        <v>59</v>
      </c>
      <c r="M1006" s="3" t="s">
        <v>36</v>
      </c>
      <c r="N1006" s="3" t="s">
        <v>37</v>
      </c>
      <c r="O1006" s="3" t="s">
        <v>38</v>
      </c>
      <c r="P1006" s="3" t="s">
        <v>39</v>
      </c>
      <c r="Q1006" s="5" t="n">
        <v>2084.45</v>
      </c>
      <c r="R1006" s="3" t="n">
        <v>7</v>
      </c>
      <c r="S1006" s="6" t="n">
        <v>0.1</v>
      </c>
      <c r="T1006" s="5" t="n">
        <v>388.47</v>
      </c>
      <c r="U1006" s="3" t="str">
        <f aca="false">IF(T1006&lt;0,"Loss",IF(T1006=0,"Break-even","Profit"))</f>
        <v>Profit</v>
      </c>
      <c r="V1006" s="3" t="str">
        <f aca="false">IF(Q1006&lt;100,"Low",IF(Q1006&lt;=500,"Medium","High"))</f>
        <v>High</v>
      </c>
      <c r="W1006" s="3" t="n">
        <f aca="false">D1006-C1006</f>
        <v>4</v>
      </c>
      <c r="X1006" s="3" t="str">
        <f aca="false">TEXT(C1006,"mmmm")</f>
        <v>December</v>
      </c>
      <c r="Y1006" s="3" t="str">
        <f aca="false">LEFT(G1006,1)&amp;MID(G1006,FIND(" ",G1006)+1,1)</f>
        <v>EK</v>
      </c>
    </row>
    <row r="1007" customFormat="false" ht="15" hidden="false" customHeight="false" outlineLevel="0" collapsed="false">
      <c r="A1007" s="3" t="n">
        <v>1006</v>
      </c>
      <c r="B1007" s="3" t="s">
        <v>2403</v>
      </c>
      <c r="C1007" s="4" t="s">
        <v>2486</v>
      </c>
      <c r="D1007" s="4" t="s">
        <v>2486</v>
      </c>
      <c r="E1007" s="3" t="s">
        <v>53</v>
      </c>
      <c r="F1007" s="3" t="s">
        <v>1802</v>
      </c>
      <c r="G1007" s="3" t="s">
        <v>1803</v>
      </c>
      <c r="H1007" s="3" t="s">
        <v>45</v>
      </c>
      <c r="I1007" s="3" t="s">
        <v>32</v>
      </c>
      <c r="J1007" s="3" t="s">
        <v>46</v>
      </c>
      <c r="K1007" s="3" t="s">
        <v>47</v>
      </c>
      <c r="L1007" s="3" t="s">
        <v>35</v>
      </c>
      <c r="M1007" s="3" t="s">
        <v>316</v>
      </c>
      <c r="N1007" s="3" t="s">
        <v>49</v>
      </c>
      <c r="O1007" s="3" t="s">
        <v>143</v>
      </c>
      <c r="P1007" s="3" t="s">
        <v>317</v>
      </c>
      <c r="Q1007" s="5" t="n">
        <v>118.89</v>
      </c>
      <c r="R1007" s="3" t="n">
        <v>2</v>
      </c>
      <c r="S1007" s="6" t="n">
        <v>0.4</v>
      </c>
      <c r="T1007" s="5" t="n">
        <v>28.36</v>
      </c>
      <c r="U1007" s="3" t="str">
        <f aca="false">IF(T1007&lt;0,"Loss",IF(T1007=0,"Break-even","Profit"))</f>
        <v>Profit</v>
      </c>
      <c r="V1007" s="3" t="str">
        <f aca="false">IF(Q1007&lt;100,"Low",IF(Q1007&lt;=500,"Medium","High"))</f>
        <v>Medium</v>
      </c>
      <c r="W1007" s="3" t="n">
        <f aca="false">D1007-C1007</f>
        <v>0</v>
      </c>
      <c r="X1007" s="3" t="str">
        <f aca="false">TEXT(C1007,"mmmm")</f>
        <v>December</v>
      </c>
      <c r="Y1007" s="3" t="str">
        <f aca="false">LEFT(G1007,1)&amp;MID(G1007,FIND(" ",G1007)+1,1)</f>
        <v>AJ</v>
      </c>
    </row>
    <row r="1008" customFormat="false" ht="15" hidden="false" customHeight="false" outlineLevel="0" collapsed="false">
      <c r="A1008" s="3" t="n">
        <v>1007</v>
      </c>
      <c r="B1008" s="3" t="s">
        <v>2402</v>
      </c>
      <c r="C1008" s="4" t="s">
        <v>2472</v>
      </c>
      <c r="D1008" s="4" t="s">
        <v>2472</v>
      </c>
      <c r="E1008" s="3" t="s">
        <v>53</v>
      </c>
      <c r="F1008" s="3" t="s">
        <v>712</v>
      </c>
      <c r="G1008" s="3" t="s">
        <v>713</v>
      </c>
      <c r="H1008" s="3" t="s">
        <v>56</v>
      </c>
      <c r="I1008" s="3" t="s">
        <v>32</v>
      </c>
      <c r="J1008" s="3" t="s">
        <v>46</v>
      </c>
      <c r="K1008" s="3" t="s">
        <v>47</v>
      </c>
      <c r="L1008" s="3" t="s">
        <v>35</v>
      </c>
      <c r="M1008" s="3" t="s">
        <v>121</v>
      </c>
      <c r="N1008" s="3" t="s">
        <v>49</v>
      </c>
      <c r="O1008" s="3" t="s">
        <v>50</v>
      </c>
      <c r="P1008" s="3" t="s">
        <v>122</v>
      </c>
      <c r="Q1008" s="5" t="n">
        <v>441.88</v>
      </c>
      <c r="R1008" s="3" t="n">
        <v>5</v>
      </c>
      <c r="S1008" s="6" t="n">
        <v>0.5</v>
      </c>
      <c r="T1008" s="5" t="n">
        <v>84.57</v>
      </c>
      <c r="U1008" s="3" t="str">
        <f aca="false">IF(T1008&lt;0,"Loss",IF(T1008=0,"Break-even","Profit"))</f>
        <v>Profit</v>
      </c>
      <c r="V1008" s="3" t="str">
        <f aca="false">IF(Q1008&lt;100,"Low",IF(Q1008&lt;=500,"Medium","High"))</f>
        <v>Medium</v>
      </c>
      <c r="W1008" s="3" t="n">
        <f aca="false">D1008-C1008</f>
        <v>0</v>
      </c>
      <c r="X1008" s="3" t="str">
        <f aca="false">TEXT(C1008,"mmmm")</f>
        <v>December</v>
      </c>
      <c r="Y1008" s="3" t="str">
        <f aca="false">LEFT(G1008,1)&amp;MID(G1008,FIND(" ",G1008)+1,1)</f>
        <v>PJ</v>
      </c>
    </row>
    <row r="1009" customFormat="false" ht="15" hidden="false" customHeight="false" outlineLevel="0" collapsed="false">
      <c r="A1009" s="3" t="n">
        <v>1008</v>
      </c>
      <c r="B1009" s="3" t="s">
        <v>2487</v>
      </c>
      <c r="C1009" s="4" t="s">
        <v>2488</v>
      </c>
      <c r="D1009" s="4" t="s">
        <v>2489</v>
      </c>
      <c r="E1009" s="3" t="s">
        <v>28</v>
      </c>
      <c r="F1009" s="3" t="s">
        <v>1081</v>
      </c>
      <c r="G1009" s="3" t="s">
        <v>1082</v>
      </c>
      <c r="H1009" s="3" t="s">
        <v>56</v>
      </c>
      <c r="I1009" s="3" t="s">
        <v>32</v>
      </c>
      <c r="J1009" s="3" t="s">
        <v>252</v>
      </c>
      <c r="K1009" s="3" t="s">
        <v>172</v>
      </c>
      <c r="L1009" s="3" t="s">
        <v>157</v>
      </c>
      <c r="M1009" s="3" t="s">
        <v>300</v>
      </c>
      <c r="N1009" s="3" t="s">
        <v>49</v>
      </c>
      <c r="O1009" s="3" t="s">
        <v>143</v>
      </c>
      <c r="P1009" s="3" t="s">
        <v>301</v>
      </c>
      <c r="Q1009" s="5" t="n">
        <v>1113.29</v>
      </c>
      <c r="R1009" s="3" t="n">
        <v>14</v>
      </c>
      <c r="S1009" s="6" t="n">
        <v>0</v>
      </c>
      <c r="T1009" s="5" t="n">
        <v>196.86</v>
      </c>
      <c r="U1009" s="3" t="str">
        <f aca="false">IF(T1009&lt;0,"Loss",IF(T1009=0,"Break-even","Profit"))</f>
        <v>Profit</v>
      </c>
      <c r="V1009" s="3" t="str">
        <f aca="false">IF(Q1009&lt;100,"Low",IF(Q1009&lt;=500,"Medium","High"))</f>
        <v>High</v>
      </c>
      <c r="W1009" s="3" t="n">
        <f aca="false">D1009-C1009</f>
        <v>4</v>
      </c>
      <c r="X1009" s="3" t="str">
        <f aca="false">TEXT(C1009,"mmmm")</f>
        <v>December</v>
      </c>
      <c r="Y1009" s="3" t="str">
        <f aca="false">LEFT(G1009,1)&amp;MID(G1009,FIND(" ",G1009)+1,1)</f>
        <v>SB</v>
      </c>
    </row>
    <row r="1010" customFormat="false" ht="15" hidden="false" customHeight="false" outlineLevel="0" collapsed="false">
      <c r="A1010" s="3" t="n">
        <v>1009</v>
      </c>
      <c r="B1010" s="3" t="s">
        <v>2318</v>
      </c>
      <c r="C1010" s="4" t="s">
        <v>2488</v>
      </c>
      <c r="D1010" s="4" t="s">
        <v>2489</v>
      </c>
      <c r="E1010" s="3" t="s">
        <v>28</v>
      </c>
      <c r="F1010" s="3" t="s">
        <v>2490</v>
      </c>
      <c r="G1010" s="3" t="s">
        <v>2491</v>
      </c>
      <c r="H1010" s="3" t="s">
        <v>56</v>
      </c>
      <c r="I1010" s="3" t="s">
        <v>32</v>
      </c>
      <c r="J1010" s="3" t="s">
        <v>299</v>
      </c>
      <c r="K1010" s="3" t="s">
        <v>189</v>
      </c>
      <c r="L1010" s="3" t="s">
        <v>59</v>
      </c>
      <c r="M1010" s="3" t="s">
        <v>127</v>
      </c>
      <c r="N1010" s="3" t="s">
        <v>49</v>
      </c>
      <c r="O1010" s="3" t="s">
        <v>61</v>
      </c>
      <c r="P1010" s="3" t="s">
        <v>128</v>
      </c>
      <c r="Q1010" s="5" t="n">
        <v>27.64</v>
      </c>
      <c r="R1010" s="3" t="n">
        <v>1</v>
      </c>
      <c r="S1010" s="6" t="n">
        <v>0</v>
      </c>
      <c r="T1010" s="5" t="n">
        <v>1.19</v>
      </c>
      <c r="U1010" s="3" t="str">
        <f aca="false">IF(T1010&lt;0,"Loss",IF(T1010=0,"Break-even","Profit"))</f>
        <v>Profit</v>
      </c>
      <c r="V1010" s="3" t="str">
        <f aca="false">IF(Q1010&lt;100,"Low",IF(Q1010&lt;=500,"Medium","High"))</f>
        <v>Low</v>
      </c>
      <c r="W1010" s="3" t="n">
        <f aca="false">D1010-C1010</f>
        <v>4</v>
      </c>
      <c r="X1010" s="3" t="str">
        <f aca="false">TEXT(C1010,"mmmm")</f>
        <v>December</v>
      </c>
      <c r="Y1010" s="3" t="str">
        <f aca="false">LEFT(G1010,1)&amp;MID(G1010,FIND(" ",G1010)+1,1)</f>
        <v>RM</v>
      </c>
    </row>
    <row r="1011" customFormat="false" ht="15" hidden="false" customHeight="false" outlineLevel="0" collapsed="false">
      <c r="A1011" s="3" t="n">
        <v>1010</v>
      </c>
      <c r="B1011" s="3" t="s">
        <v>2492</v>
      </c>
      <c r="C1011" s="4" t="s">
        <v>2480</v>
      </c>
      <c r="D1011" s="4" t="s">
        <v>2493</v>
      </c>
      <c r="E1011" s="3" t="s">
        <v>28</v>
      </c>
      <c r="F1011" s="3" t="s">
        <v>1047</v>
      </c>
      <c r="G1011" s="3" t="s">
        <v>1048</v>
      </c>
      <c r="H1011" s="3" t="s">
        <v>45</v>
      </c>
      <c r="I1011" s="3" t="s">
        <v>32</v>
      </c>
      <c r="J1011" s="3" t="s">
        <v>179</v>
      </c>
      <c r="K1011" s="3" t="s">
        <v>47</v>
      </c>
      <c r="L1011" s="3" t="s">
        <v>35</v>
      </c>
      <c r="M1011" s="3" t="s">
        <v>36</v>
      </c>
      <c r="N1011" s="3" t="s">
        <v>37</v>
      </c>
      <c r="O1011" s="3" t="s">
        <v>38</v>
      </c>
      <c r="P1011" s="3" t="s">
        <v>39</v>
      </c>
      <c r="Q1011" s="5" t="n">
        <v>6467.88</v>
      </c>
      <c r="R1011" s="3" t="n">
        <v>7</v>
      </c>
      <c r="S1011" s="6" t="n">
        <v>0.2</v>
      </c>
      <c r="T1011" s="5" t="n">
        <v>-592.98</v>
      </c>
      <c r="U1011" s="3" t="str">
        <f aca="false">IF(T1011&lt;0,"Loss",IF(T1011=0,"Break-even","Profit"))</f>
        <v>Loss</v>
      </c>
      <c r="V1011" s="3" t="str">
        <f aca="false">IF(Q1011&lt;100,"Low",IF(Q1011&lt;=500,"Medium","High"))</f>
        <v>High</v>
      </c>
      <c r="W1011" s="3" t="n">
        <f aca="false">D1011-C1011</f>
        <v>5</v>
      </c>
      <c r="X1011" s="3" t="str">
        <f aca="false">TEXT(C1011,"mmmm")</f>
        <v>December</v>
      </c>
      <c r="Y1011" s="3" t="str">
        <f aca="false">LEFT(G1011,1)&amp;MID(G1011,FIND(" ",G1011)+1,1)</f>
        <v>AJ</v>
      </c>
    </row>
    <row r="1012" customFormat="false" ht="15" hidden="false" customHeight="false" outlineLevel="0" collapsed="false">
      <c r="A1012" s="3" t="n">
        <v>1011</v>
      </c>
      <c r="B1012" s="3" t="s">
        <v>2494</v>
      </c>
      <c r="C1012" s="4" t="s">
        <v>2480</v>
      </c>
      <c r="D1012" s="4" t="s">
        <v>2489</v>
      </c>
      <c r="E1012" s="3" t="s">
        <v>84</v>
      </c>
      <c r="F1012" s="3" t="s">
        <v>250</v>
      </c>
      <c r="G1012" s="3" t="s">
        <v>251</v>
      </c>
      <c r="H1012" s="3" t="s">
        <v>45</v>
      </c>
      <c r="I1012" s="3" t="s">
        <v>32</v>
      </c>
      <c r="J1012" s="3" t="s">
        <v>33</v>
      </c>
      <c r="K1012" s="3" t="s">
        <v>34</v>
      </c>
      <c r="L1012" s="3" t="s">
        <v>35</v>
      </c>
      <c r="M1012" s="3" t="s">
        <v>149</v>
      </c>
      <c r="N1012" s="3" t="s">
        <v>49</v>
      </c>
      <c r="O1012" s="3" t="s">
        <v>150</v>
      </c>
      <c r="P1012" s="3" t="s">
        <v>151</v>
      </c>
      <c r="Q1012" s="5" t="n">
        <v>98.23</v>
      </c>
      <c r="R1012" s="3" t="n">
        <v>2</v>
      </c>
      <c r="S1012" s="6" t="n">
        <v>0.1</v>
      </c>
      <c r="T1012" s="5" t="n">
        <v>25.99</v>
      </c>
      <c r="U1012" s="3" t="str">
        <f aca="false">IF(T1012&lt;0,"Loss",IF(T1012=0,"Break-even","Profit"))</f>
        <v>Profit</v>
      </c>
      <c r="V1012" s="3" t="str">
        <f aca="false">IF(Q1012&lt;100,"Low",IF(Q1012&lt;=500,"Medium","High"))</f>
        <v>Low</v>
      </c>
      <c r="W1012" s="3" t="n">
        <f aca="false">D1012-C1012</f>
        <v>3</v>
      </c>
      <c r="X1012" s="3" t="str">
        <f aca="false">TEXT(C1012,"mmmm")</f>
        <v>December</v>
      </c>
      <c r="Y1012" s="3" t="str">
        <f aca="false">LEFT(G1012,1)&amp;MID(G1012,FIND(" ",G1012)+1,1)</f>
        <v>JK</v>
      </c>
    </row>
    <row r="1013" customFormat="false" ht="15" hidden="false" customHeight="false" outlineLevel="0" collapsed="false">
      <c r="A1013" s="3" t="n">
        <v>1012</v>
      </c>
      <c r="B1013" s="3" t="s">
        <v>2495</v>
      </c>
      <c r="C1013" s="4" t="s">
        <v>2480</v>
      </c>
      <c r="D1013" s="4" t="s">
        <v>2493</v>
      </c>
      <c r="E1013" s="3" t="s">
        <v>28</v>
      </c>
      <c r="F1013" s="3" t="s">
        <v>359</v>
      </c>
      <c r="G1013" s="3" t="s">
        <v>360</v>
      </c>
      <c r="H1013" s="3" t="s">
        <v>56</v>
      </c>
      <c r="I1013" s="3" t="s">
        <v>32</v>
      </c>
      <c r="J1013" s="3" t="s">
        <v>285</v>
      </c>
      <c r="K1013" s="3" t="s">
        <v>202</v>
      </c>
      <c r="L1013" s="3" t="s">
        <v>35</v>
      </c>
      <c r="M1013" s="3" t="s">
        <v>158</v>
      </c>
      <c r="N1013" s="3" t="s">
        <v>49</v>
      </c>
      <c r="O1013" s="3" t="s">
        <v>159</v>
      </c>
      <c r="P1013" s="3" t="s">
        <v>160</v>
      </c>
      <c r="Q1013" s="5" t="n">
        <v>409.72</v>
      </c>
      <c r="R1013" s="3" t="n">
        <v>12</v>
      </c>
      <c r="S1013" s="6" t="n">
        <v>0</v>
      </c>
      <c r="T1013" s="5" t="n">
        <v>11.74</v>
      </c>
      <c r="U1013" s="3" t="str">
        <f aca="false">IF(T1013&lt;0,"Loss",IF(T1013=0,"Break-even","Profit"))</f>
        <v>Profit</v>
      </c>
      <c r="V1013" s="3" t="str">
        <f aca="false">IF(Q1013&lt;100,"Low",IF(Q1013&lt;=500,"Medium","High"))</f>
        <v>Medium</v>
      </c>
      <c r="W1013" s="3" t="n">
        <f aca="false">D1013-C1013</f>
        <v>5</v>
      </c>
      <c r="X1013" s="3" t="str">
        <f aca="false">TEXT(C1013,"mmmm")</f>
        <v>December</v>
      </c>
      <c r="Y1013" s="3" t="str">
        <f aca="false">LEFT(G1013,1)&amp;MID(G1013,FIND(" ",G1013)+1,1)</f>
        <v>MM</v>
      </c>
    </row>
    <row r="1014" customFormat="false" ht="15" hidden="false" customHeight="false" outlineLevel="0" collapsed="false">
      <c r="A1014" s="3" t="n">
        <v>1013</v>
      </c>
      <c r="B1014" s="3" t="s">
        <v>2496</v>
      </c>
      <c r="C1014" s="4" t="s">
        <v>2482</v>
      </c>
      <c r="D1014" s="4" t="s">
        <v>2493</v>
      </c>
      <c r="E1014" s="3" t="s">
        <v>28</v>
      </c>
      <c r="F1014" s="3" t="s">
        <v>712</v>
      </c>
      <c r="G1014" s="3" t="s">
        <v>713</v>
      </c>
      <c r="H1014" s="3" t="s">
        <v>56</v>
      </c>
      <c r="I1014" s="3" t="s">
        <v>32</v>
      </c>
      <c r="J1014" s="3" t="s">
        <v>365</v>
      </c>
      <c r="K1014" s="3" t="s">
        <v>366</v>
      </c>
      <c r="L1014" s="3" t="s">
        <v>157</v>
      </c>
      <c r="M1014" s="3" t="s">
        <v>88</v>
      </c>
      <c r="N1014" s="3" t="s">
        <v>89</v>
      </c>
      <c r="O1014" s="3" t="s">
        <v>90</v>
      </c>
      <c r="P1014" s="3" t="s">
        <v>91</v>
      </c>
      <c r="Q1014" s="5" t="n">
        <v>819.74</v>
      </c>
      <c r="R1014" s="3" t="n">
        <v>9</v>
      </c>
      <c r="S1014" s="6" t="n">
        <v>0</v>
      </c>
      <c r="T1014" s="5" t="n">
        <v>-103.02</v>
      </c>
      <c r="U1014" s="3" t="str">
        <f aca="false">IF(T1014&lt;0,"Loss",IF(T1014=0,"Break-even","Profit"))</f>
        <v>Loss</v>
      </c>
      <c r="V1014" s="3" t="str">
        <f aca="false">IF(Q1014&lt;100,"Low",IF(Q1014&lt;=500,"Medium","High"))</f>
        <v>High</v>
      </c>
      <c r="W1014" s="3" t="n">
        <f aca="false">D1014-C1014</f>
        <v>4</v>
      </c>
      <c r="X1014" s="3" t="str">
        <f aca="false">TEXT(C1014,"mmmm")</f>
        <v>December</v>
      </c>
      <c r="Y1014" s="3" t="str">
        <f aca="false">LEFT(G1014,1)&amp;MID(G1014,FIND(" ",G1014)+1,1)</f>
        <v>PJ</v>
      </c>
    </row>
    <row r="1015" customFormat="false" ht="15" hidden="false" customHeight="false" outlineLevel="0" collapsed="false">
      <c r="A1015" s="3" t="n">
        <v>1014</v>
      </c>
      <c r="B1015" s="3" t="s">
        <v>2238</v>
      </c>
      <c r="C1015" s="4" t="s">
        <v>2482</v>
      </c>
      <c r="D1015" s="4" t="s">
        <v>2497</v>
      </c>
      <c r="E1015" s="3" t="s">
        <v>28</v>
      </c>
      <c r="F1015" s="3" t="s">
        <v>808</v>
      </c>
      <c r="G1015" s="3" t="s">
        <v>809</v>
      </c>
      <c r="H1015" s="3" t="s">
        <v>31</v>
      </c>
      <c r="I1015" s="3" t="s">
        <v>32</v>
      </c>
      <c r="J1015" s="3" t="s">
        <v>77</v>
      </c>
      <c r="K1015" s="3" t="s">
        <v>78</v>
      </c>
      <c r="L1015" s="3" t="s">
        <v>59</v>
      </c>
      <c r="M1015" s="3" t="s">
        <v>404</v>
      </c>
      <c r="N1015" s="3" t="s">
        <v>89</v>
      </c>
      <c r="O1015" s="3" t="s">
        <v>166</v>
      </c>
      <c r="P1015" s="3" t="s">
        <v>405</v>
      </c>
      <c r="Q1015" s="5" t="n">
        <v>9308.41</v>
      </c>
      <c r="R1015" s="3" t="n">
        <v>12</v>
      </c>
      <c r="S1015" s="6" t="n">
        <v>0.2</v>
      </c>
      <c r="T1015" s="5" t="n">
        <v>2489.6</v>
      </c>
      <c r="U1015" s="3" t="str">
        <f aca="false">IF(T1015&lt;0,"Loss",IF(T1015=0,"Break-even","Profit"))</f>
        <v>Profit</v>
      </c>
      <c r="V1015" s="3" t="str">
        <f aca="false">IF(Q1015&lt;100,"Low",IF(Q1015&lt;=500,"Medium","High"))</f>
        <v>High</v>
      </c>
      <c r="W1015" s="3" t="n">
        <f aca="false">D1015-C1015</f>
        <v>3</v>
      </c>
      <c r="X1015" s="3" t="str">
        <f aca="false">TEXT(C1015,"mmmm")</f>
        <v>December</v>
      </c>
      <c r="Y1015" s="3" t="str">
        <f aca="false">LEFT(G1015,1)&amp;MID(G1015,FIND(" ",G1015)+1,1)</f>
        <v>ET</v>
      </c>
    </row>
    <row r="1016" customFormat="false" ht="15" hidden="false" customHeight="false" outlineLevel="0" collapsed="false">
      <c r="A1016" s="3" t="n">
        <v>1015</v>
      </c>
      <c r="B1016" s="3" t="s">
        <v>2498</v>
      </c>
      <c r="C1016" s="4" t="s">
        <v>2499</v>
      </c>
      <c r="D1016" s="4" t="s">
        <v>2500</v>
      </c>
      <c r="E1016" s="3" t="s">
        <v>28</v>
      </c>
      <c r="F1016" s="3" t="s">
        <v>1680</v>
      </c>
      <c r="G1016" s="3" t="s">
        <v>1681</v>
      </c>
      <c r="H1016" s="3" t="s">
        <v>45</v>
      </c>
      <c r="I1016" s="3" t="s">
        <v>32</v>
      </c>
      <c r="J1016" s="3" t="s">
        <v>77</v>
      </c>
      <c r="K1016" s="3" t="s">
        <v>78</v>
      </c>
      <c r="L1016" s="3" t="s">
        <v>59</v>
      </c>
      <c r="M1016" s="3" t="s">
        <v>195</v>
      </c>
      <c r="N1016" s="3" t="s">
        <v>37</v>
      </c>
      <c r="O1016" s="3" t="s">
        <v>196</v>
      </c>
      <c r="P1016" s="3" t="s">
        <v>197</v>
      </c>
      <c r="Q1016" s="5" t="n">
        <v>8792.93</v>
      </c>
      <c r="R1016" s="3" t="n">
        <v>14</v>
      </c>
      <c r="S1016" s="6" t="n">
        <v>0</v>
      </c>
      <c r="T1016" s="5" t="n">
        <v>1710.06</v>
      </c>
      <c r="U1016" s="3" t="str">
        <f aca="false">IF(T1016&lt;0,"Loss",IF(T1016=0,"Break-even","Profit"))</f>
        <v>Profit</v>
      </c>
      <c r="V1016" s="3" t="str">
        <f aca="false">IF(Q1016&lt;100,"Low",IF(Q1016&lt;=500,"Medium","High"))</f>
        <v>High</v>
      </c>
      <c r="W1016" s="3" t="n">
        <f aca="false">D1016-C1016</f>
        <v>7</v>
      </c>
      <c r="X1016" s="3" t="str">
        <f aca="false">TEXT(C1016,"mmmm")</f>
        <v>December</v>
      </c>
      <c r="Y1016" s="3" t="str">
        <f aca="false">LEFT(G1016,1)&amp;MID(G1016,FIND(" ",G1016)+1,1)</f>
        <v>DM</v>
      </c>
    </row>
    <row r="1017" customFormat="false" ht="15" hidden="false" customHeight="false" outlineLevel="0" collapsed="false">
      <c r="A1017" s="3" t="n">
        <v>1016</v>
      </c>
      <c r="B1017" s="3" t="s">
        <v>2501</v>
      </c>
      <c r="C1017" s="4" t="s">
        <v>2499</v>
      </c>
      <c r="D1017" s="4" t="s">
        <v>2502</v>
      </c>
      <c r="E1017" s="3" t="s">
        <v>28</v>
      </c>
      <c r="F1017" s="3" t="s">
        <v>401</v>
      </c>
      <c r="G1017" s="3" t="s">
        <v>402</v>
      </c>
      <c r="H1017" s="3" t="s">
        <v>45</v>
      </c>
      <c r="I1017" s="3" t="s">
        <v>32</v>
      </c>
      <c r="J1017" s="3" t="s">
        <v>46</v>
      </c>
      <c r="K1017" s="3" t="s">
        <v>47</v>
      </c>
      <c r="L1017" s="3" t="s">
        <v>35</v>
      </c>
      <c r="M1017" s="3" t="s">
        <v>253</v>
      </c>
      <c r="N1017" s="3" t="s">
        <v>89</v>
      </c>
      <c r="O1017" s="3" t="s">
        <v>90</v>
      </c>
      <c r="P1017" s="3" t="s">
        <v>254</v>
      </c>
      <c r="Q1017" s="5" t="n">
        <v>3082.3</v>
      </c>
      <c r="R1017" s="3" t="n">
        <v>11</v>
      </c>
      <c r="S1017" s="6" t="n">
        <v>0.5</v>
      </c>
      <c r="T1017" s="5" t="n">
        <v>-414.56</v>
      </c>
      <c r="U1017" s="3" t="str">
        <f aca="false">IF(T1017&lt;0,"Loss",IF(T1017=0,"Break-even","Profit"))</f>
        <v>Loss</v>
      </c>
      <c r="V1017" s="3" t="str">
        <f aca="false">IF(Q1017&lt;100,"Low",IF(Q1017&lt;=500,"Medium","High"))</f>
        <v>High</v>
      </c>
      <c r="W1017" s="3" t="n">
        <f aca="false">D1017-C1017</f>
        <v>6</v>
      </c>
      <c r="X1017" s="3" t="str">
        <f aca="false">TEXT(C1017,"mmmm")</f>
        <v>December</v>
      </c>
      <c r="Y1017" s="3" t="str">
        <f aca="false">LEFT(G1017,1)&amp;MID(G1017,FIND(" ",G1017)+1,1)</f>
        <v>PD</v>
      </c>
    </row>
    <row r="1018" customFormat="false" ht="15" hidden="false" customHeight="false" outlineLevel="0" collapsed="false">
      <c r="A1018" s="3" t="n">
        <v>1017</v>
      </c>
      <c r="B1018" s="3" t="s">
        <v>2503</v>
      </c>
      <c r="C1018" s="4" t="s">
        <v>2499</v>
      </c>
      <c r="D1018" s="4" t="s">
        <v>2499</v>
      </c>
      <c r="E1018" s="3" t="s">
        <v>53</v>
      </c>
      <c r="F1018" s="3" t="s">
        <v>1748</v>
      </c>
      <c r="G1018" s="3" t="s">
        <v>1749</v>
      </c>
      <c r="H1018" s="3" t="s">
        <v>31</v>
      </c>
      <c r="I1018" s="3" t="s">
        <v>32</v>
      </c>
      <c r="J1018" s="3" t="s">
        <v>112</v>
      </c>
      <c r="K1018" s="3" t="s">
        <v>113</v>
      </c>
      <c r="L1018" s="3" t="s">
        <v>69</v>
      </c>
      <c r="M1018" s="3" t="s">
        <v>97</v>
      </c>
      <c r="N1018" s="3" t="s">
        <v>89</v>
      </c>
      <c r="O1018" s="3" t="s">
        <v>90</v>
      </c>
      <c r="P1018" s="3" t="s">
        <v>98</v>
      </c>
      <c r="Q1018" s="5" t="n">
        <v>143.86</v>
      </c>
      <c r="R1018" s="3" t="n">
        <v>1</v>
      </c>
      <c r="S1018" s="6" t="n">
        <v>0.3</v>
      </c>
      <c r="T1018" s="5" t="n">
        <v>-12.22</v>
      </c>
      <c r="U1018" s="3" t="str">
        <f aca="false">IF(T1018&lt;0,"Loss",IF(T1018=0,"Break-even","Profit"))</f>
        <v>Loss</v>
      </c>
      <c r="V1018" s="3" t="str">
        <f aca="false">IF(Q1018&lt;100,"Low",IF(Q1018&lt;=500,"Medium","High"))</f>
        <v>Medium</v>
      </c>
      <c r="W1018" s="3" t="n">
        <f aca="false">D1018-C1018</f>
        <v>0</v>
      </c>
      <c r="X1018" s="3" t="str">
        <f aca="false">TEXT(C1018,"mmmm")</f>
        <v>December</v>
      </c>
      <c r="Y1018" s="3" t="str">
        <f aca="false">LEFT(G1018,1)&amp;MID(G1018,FIND(" ",G1018)+1,1)</f>
        <v>MN</v>
      </c>
    </row>
    <row r="1019" customFormat="false" ht="15" hidden="false" customHeight="false" outlineLevel="0" collapsed="false">
      <c r="A1019" s="3" t="n">
        <v>1018</v>
      </c>
      <c r="B1019" s="3" t="s">
        <v>2504</v>
      </c>
      <c r="C1019" s="4" t="s">
        <v>2499</v>
      </c>
      <c r="D1019" s="4" t="s">
        <v>2505</v>
      </c>
      <c r="E1019" s="3" t="s">
        <v>28</v>
      </c>
      <c r="F1019" s="3" t="s">
        <v>2506</v>
      </c>
      <c r="G1019" s="3" t="s">
        <v>2507</v>
      </c>
      <c r="H1019" s="3" t="s">
        <v>45</v>
      </c>
      <c r="I1019" s="3" t="s">
        <v>32</v>
      </c>
      <c r="J1019" s="3" t="s">
        <v>208</v>
      </c>
      <c r="K1019" s="3" t="s">
        <v>134</v>
      </c>
      <c r="L1019" s="3" t="s">
        <v>69</v>
      </c>
      <c r="M1019" s="3" t="s">
        <v>190</v>
      </c>
      <c r="N1019" s="3" t="s">
        <v>49</v>
      </c>
      <c r="O1019" s="3" t="s">
        <v>150</v>
      </c>
      <c r="P1019" s="3" t="s">
        <v>191</v>
      </c>
      <c r="Q1019" s="5" t="n">
        <v>671.56</v>
      </c>
      <c r="R1019" s="3" t="n">
        <v>7</v>
      </c>
      <c r="S1019" s="6" t="n">
        <v>0.2</v>
      </c>
      <c r="T1019" s="5" t="n">
        <v>-78.85</v>
      </c>
      <c r="U1019" s="3" t="str">
        <f aca="false">IF(T1019&lt;0,"Loss",IF(T1019=0,"Break-even","Profit"))</f>
        <v>Loss</v>
      </c>
      <c r="V1019" s="3" t="str">
        <f aca="false">IF(Q1019&lt;100,"Low",IF(Q1019&lt;=500,"Medium","High"))</f>
        <v>High</v>
      </c>
      <c r="W1019" s="3" t="n">
        <f aca="false">D1019-C1019</f>
        <v>5</v>
      </c>
      <c r="X1019" s="3" t="str">
        <f aca="false">TEXT(C1019,"mmmm")</f>
        <v>December</v>
      </c>
      <c r="Y1019" s="3" t="str">
        <f aca="false">LEFT(G1019,1)&amp;MID(G1019,FIND(" ",G1019)+1,1)</f>
        <v>CN</v>
      </c>
    </row>
    <row r="1020" customFormat="false" ht="15" hidden="false" customHeight="false" outlineLevel="0" collapsed="false">
      <c r="A1020" s="3" t="n">
        <v>1019</v>
      </c>
      <c r="B1020" s="3" t="s">
        <v>2003</v>
      </c>
      <c r="C1020" s="4" t="s">
        <v>2499</v>
      </c>
      <c r="D1020" s="4" t="s">
        <v>2505</v>
      </c>
      <c r="E1020" s="3" t="s">
        <v>28</v>
      </c>
      <c r="F1020" s="3" t="s">
        <v>2206</v>
      </c>
      <c r="G1020" s="3" t="s">
        <v>2207</v>
      </c>
      <c r="H1020" s="3" t="s">
        <v>56</v>
      </c>
      <c r="I1020" s="3" t="s">
        <v>32</v>
      </c>
      <c r="J1020" s="3" t="s">
        <v>33</v>
      </c>
      <c r="K1020" s="3" t="s">
        <v>34</v>
      </c>
      <c r="L1020" s="3" t="s">
        <v>35</v>
      </c>
      <c r="M1020" s="3" t="s">
        <v>142</v>
      </c>
      <c r="N1020" s="3" t="s">
        <v>49</v>
      </c>
      <c r="O1020" s="3" t="s">
        <v>143</v>
      </c>
      <c r="P1020" s="3" t="s">
        <v>144</v>
      </c>
      <c r="Q1020" s="5" t="n">
        <v>205.4</v>
      </c>
      <c r="R1020" s="3" t="n">
        <v>12</v>
      </c>
      <c r="S1020" s="6" t="n">
        <v>0.4</v>
      </c>
      <c r="T1020" s="5" t="n">
        <v>-49.62</v>
      </c>
      <c r="U1020" s="3" t="str">
        <f aca="false">IF(T1020&lt;0,"Loss",IF(T1020=0,"Break-even","Profit"))</f>
        <v>Loss</v>
      </c>
      <c r="V1020" s="3" t="str">
        <f aca="false">IF(Q1020&lt;100,"Low",IF(Q1020&lt;=500,"Medium","High"))</f>
        <v>Medium</v>
      </c>
      <c r="W1020" s="3" t="n">
        <f aca="false">D1020-C1020</f>
        <v>5</v>
      </c>
      <c r="X1020" s="3" t="str">
        <f aca="false">TEXT(C1020,"mmmm")</f>
        <v>December</v>
      </c>
      <c r="Y1020" s="3" t="str">
        <f aca="false">LEFT(G1020,1)&amp;MID(G1020,FIND(" ",G1020)+1,1)</f>
        <v>PS</v>
      </c>
    </row>
    <row r="1021" customFormat="false" ht="15" hidden="false" customHeight="false" outlineLevel="0" collapsed="false">
      <c r="A1021" s="3" t="n">
        <v>1020</v>
      </c>
      <c r="B1021" s="3" t="s">
        <v>1694</v>
      </c>
      <c r="C1021" s="4" t="s">
        <v>2493</v>
      </c>
      <c r="D1021" s="4" t="s">
        <v>2508</v>
      </c>
      <c r="E1021" s="3" t="s">
        <v>28</v>
      </c>
      <c r="F1021" s="3" t="s">
        <v>1863</v>
      </c>
      <c r="G1021" s="3" t="s">
        <v>1864</v>
      </c>
      <c r="H1021" s="3" t="s">
        <v>56</v>
      </c>
      <c r="I1021" s="3" t="s">
        <v>32</v>
      </c>
      <c r="J1021" s="3" t="s">
        <v>386</v>
      </c>
      <c r="K1021" s="3" t="s">
        <v>387</v>
      </c>
      <c r="L1021" s="3" t="s">
        <v>35</v>
      </c>
      <c r="M1021" s="3" t="s">
        <v>470</v>
      </c>
      <c r="N1021" s="3" t="s">
        <v>49</v>
      </c>
      <c r="O1021" s="3" t="s">
        <v>159</v>
      </c>
      <c r="P1021" s="3" t="s">
        <v>471</v>
      </c>
      <c r="Q1021" s="5" t="n">
        <v>187.74</v>
      </c>
      <c r="R1021" s="3" t="n">
        <v>3</v>
      </c>
      <c r="S1021" s="6" t="n">
        <v>0.5</v>
      </c>
      <c r="T1021" s="5" t="n">
        <v>35.38</v>
      </c>
      <c r="U1021" s="3" t="str">
        <f aca="false">IF(T1021&lt;0,"Loss",IF(T1021=0,"Break-even","Profit"))</f>
        <v>Profit</v>
      </c>
      <c r="V1021" s="3" t="str">
        <f aca="false">IF(Q1021&lt;100,"Low",IF(Q1021&lt;=500,"Medium","High"))</f>
        <v>Medium</v>
      </c>
      <c r="W1021" s="3" t="n">
        <f aca="false">D1021-C1021</f>
        <v>7</v>
      </c>
      <c r="X1021" s="3" t="str">
        <f aca="false">TEXT(C1021,"mmmm")</f>
        <v>December</v>
      </c>
      <c r="Y1021" s="3" t="str">
        <f aca="false">LEFT(G1021,1)&amp;MID(G1021,FIND(" ",G1021)+1,1)</f>
        <v>AM</v>
      </c>
    </row>
    <row r="1022" customFormat="false" ht="15" hidden="false" customHeight="false" outlineLevel="0" collapsed="false">
      <c r="A1022" s="3" t="n">
        <v>1021</v>
      </c>
      <c r="B1022" s="3" t="s">
        <v>2509</v>
      </c>
      <c r="C1022" s="4" t="s">
        <v>2493</v>
      </c>
      <c r="D1022" s="4" t="s">
        <v>2500</v>
      </c>
      <c r="E1022" s="3" t="s">
        <v>84</v>
      </c>
      <c r="F1022" s="3" t="s">
        <v>1502</v>
      </c>
      <c r="G1022" s="3" t="s">
        <v>1503</v>
      </c>
      <c r="H1022" s="3" t="s">
        <v>45</v>
      </c>
      <c r="I1022" s="3" t="s">
        <v>32</v>
      </c>
      <c r="J1022" s="3" t="s">
        <v>208</v>
      </c>
      <c r="K1022" s="3" t="s">
        <v>134</v>
      </c>
      <c r="L1022" s="3" t="s">
        <v>69</v>
      </c>
      <c r="M1022" s="3" t="s">
        <v>225</v>
      </c>
      <c r="N1022" s="3" t="s">
        <v>37</v>
      </c>
      <c r="O1022" s="3" t="s">
        <v>196</v>
      </c>
      <c r="P1022" s="3" t="s">
        <v>226</v>
      </c>
      <c r="Q1022" s="5" t="n">
        <v>3269.38</v>
      </c>
      <c r="R1022" s="3" t="n">
        <v>2</v>
      </c>
      <c r="S1022" s="6" t="n">
        <v>0.1</v>
      </c>
      <c r="T1022" s="5" t="n">
        <v>175.84</v>
      </c>
      <c r="U1022" s="3" t="str">
        <f aca="false">IF(T1022&lt;0,"Loss",IF(T1022=0,"Break-even","Profit"))</f>
        <v>Profit</v>
      </c>
      <c r="V1022" s="3" t="str">
        <f aca="false">IF(Q1022&lt;100,"Low",IF(Q1022&lt;=500,"Medium","High"))</f>
        <v>High</v>
      </c>
      <c r="W1022" s="3" t="n">
        <f aca="false">D1022-C1022</f>
        <v>4</v>
      </c>
      <c r="X1022" s="3" t="str">
        <f aca="false">TEXT(C1022,"mmmm")</f>
        <v>December</v>
      </c>
      <c r="Y1022" s="3" t="str">
        <f aca="false">LEFT(G1022,1)&amp;MID(G1022,FIND(" ",G1022)+1,1)</f>
        <v>LN</v>
      </c>
    </row>
    <row r="1023" customFormat="false" ht="15" hidden="false" customHeight="false" outlineLevel="0" collapsed="false">
      <c r="A1023" s="3" t="n">
        <v>1022</v>
      </c>
      <c r="B1023" s="3" t="s">
        <v>2280</v>
      </c>
      <c r="C1023" s="4" t="s">
        <v>2510</v>
      </c>
      <c r="D1023" s="4" t="s">
        <v>2500</v>
      </c>
      <c r="E1023" s="3" t="s">
        <v>28</v>
      </c>
      <c r="F1023" s="3" t="s">
        <v>1330</v>
      </c>
      <c r="G1023" s="3" t="s">
        <v>1331</v>
      </c>
      <c r="H1023" s="3" t="s">
        <v>56</v>
      </c>
      <c r="I1023" s="3" t="s">
        <v>32</v>
      </c>
      <c r="J1023" s="3" t="s">
        <v>208</v>
      </c>
      <c r="K1023" s="3" t="s">
        <v>134</v>
      </c>
      <c r="L1023" s="3" t="s">
        <v>69</v>
      </c>
      <c r="M1023" s="3" t="s">
        <v>60</v>
      </c>
      <c r="N1023" s="3" t="s">
        <v>49</v>
      </c>
      <c r="O1023" s="3" t="s">
        <v>61</v>
      </c>
      <c r="P1023" s="3" t="s">
        <v>62</v>
      </c>
      <c r="Q1023" s="5" t="n">
        <v>253.29</v>
      </c>
      <c r="R1023" s="3" t="n">
        <v>10</v>
      </c>
      <c r="S1023" s="6" t="n">
        <v>0</v>
      </c>
      <c r="T1023" s="5" t="n">
        <v>-38.77</v>
      </c>
      <c r="U1023" s="3" t="str">
        <f aca="false">IF(T1023&lt;0,"Loss",IF(T1023=0,"Break-even","Profit"))</f>
        <v>Loss</v>
      </c>
      <c r="V1023" s="3" t="str">
        <f aca="false">IF(Q1023&lt;100,"Low",IF(Q1023&lt;=500,"Medium","High"))</f>
        <v>Medium</v>
      </c>
      <c r="W1023" s="3" t="n">
        <f aca="false">D1023-C1023</f>
        <v>3</v>
      </c>
      <c r="X1023" s="3" t="str">
        <f aca="false">TEXT(C1023,"mmmm")</f>
        <v>December</v>
      </c>
      <c r="Y1023" s="3" t="str">
        <f aca="false">LEFT(G1023,1)&amp;MID(G1023,FIND(" ",G1023)+1,1)</f>
        <v>JR</v>
      </c>
    </row>
    <row r="1024" customFormat="false" ht="15" hidden="false" customHeight="false" outlineLevel="0" collapsed="false">
      <c r="A1024" s="3" t="n">
        <v>1023</v>
      </c>
      <c r="B1024" s="3" t="s">
        <v>2511</v>
      </c>
      <c r="C1024" s="4" t="s">
        <v>2510</v>
      </c>
      <c r="D1024" s="4" t="s">
        <v>2512</v>
      </c>
      <c r="E1024" s="3" t="s">
        <v>28</v>
      </c>
      <c r="F1024" s="3" t="s">
        <v>2452</v>
      </c>
      <c r="G1024" s="3" t="s">
        <v>2453</v>
      </c>
      <c r="H1024" s="3" t="s">
        <v>56</v>
      </c>
      <c r="I1024" s="3" t="s">
        <v>32</v>
      </c>
      <c r="J1024" s="3" t="s">
        <v>365</v>
      </c>
      <c r="K1024" s="3" t="s">
        <v>366</v>
      </c>
      <c r="L1024" s="3" t="s">
        <v>157</v>
      </c>
      <c r="M1024" s="3" t="s">
        <v>121</v>
      </c>
      <c r="N1024" s="3" t="s">
        <v>49</v>
      </c>
      <c r="O1024" s="3" t="s">
        <v>50</v>
      </c>
      <c r="P1024" s="3" t="s">
        <v>122</v>
      </c>
      <c r="Q1024" s="5" t="n">
        <v>1059.36</v>
      </c>
      <c r="R1024" s="3" t="n">
        <v>10</v>
      </c>
      <c r="S1024" s="6" t="n">
        <v>0</v>
      </c>
      <c r="T1024" s="5" t="n">
        <v>336.3</v>
      </c>
      <c r="U1024" s="3" t="str">
        <f aca="false">IF(T1024&lt;0,"Loss",IF(T1024=0,"Break-even","Profit"))</f>
        <v>Profit</v>
      </c>
      <c r="V1024" s="3" t="str">
        <f aca="false">IF(Q1024&lt;100,"Low",IF(Q1024&lt;=500,"Medium","High"))</f>
        <v>High</v>
      </c>
      <c r="W1024" s="3" t="n">
        <f aca="false">D1024-C1024</f>
        <v>4</v>
      </c>
      <c r="X1024" s="3" t="str">
        <f aca="false">TEXT(C1024,"mmmm")</f>
        <v>December</v>
      </c>
      <c r="Y1024" s="3" t="str">
        <f aca="false">LEFT(G1024,1)&amp;MID(G1024,FIND(" ",G1024)+1,1)</f>
        <v>AM</v>
      </c>
    </row>
    <row r="1025" customFormat="false" ht="15" hidden="false" customHeight="false" outlineLevel="0" collapsed="false">
      <c r="A1025" s="3" t="n">
        <v>1024</v>
      </c>
      <c r="B1025" s="3" t="s">
        <v>2513</v>
      </c>
      <c r="C1025" s="4" t="s">
        <v>2502</v>
      </c>
      <c r="D1025" s="4" t="s">
        <v>2500</v>
      </c>
      <c r="E1025" s="3" t="s">
        <v>42</v>
      </c>
      <c r="F1025" s="3" t="s">
        <v>2514</v>
      </c>
      <c r="G1025" s="3" t="s">
        <v>2515</v>
      </c>
      <c r="H1025" s="3" t="s">
        <v>31</v>
      </c>
      <c r="I1025" s="3" t="s">
        <v>32</v>
      </c>
      <c r="J1025" s="3" t="s">
        <v>133</v>
      </c>
      <c r="K1025" s="3" t="s">
        <v>134</v>
      </c>
      <c r="L1025" s="3" t="s">
        <v>69</v>
      </c>
      <c r="M1025" s="3" t="s">
        <v>79</v>
      </c>
      <c r="N1025" s="3" t="s">
        <v>49</v>
      </c>
      <c r="O1025" s="3" t="s">
        <v>80</v>
      </c>
      <c r="P1025" s="3" t="s">
        <v>81</v>
      </c>
      <c r="Q1025" s="5" t="n">
        <v>539.93</v>
      </c>
      <c r="R1025" s="3" t="n">
        <v>5</v>
      </c>
      <c r="S1025" s="6" t="n">
        <v>0.2</v>
      </c>
      <c r="T1025" s="5" t="n">
        <v>144.24</v>
      </c>
      <c r="U1025" s="3" t="str">
        <f aca="false">IF(T1025&lt;0,"Loss",IF(T1025=0,"Break-even","Profit"))</f>
        <v>Profit</v>
      </c>
      <c r="V1025" s="3" t="str">
        <f aca="false">IF(Q1025&lt;100,"Low",IF(Q1025&lt;=500,"Medium","High"))</f>
        <v>High</v>
      </c>
      <c r="W1025" s="3" t="n">
        <f aca="false">D1025-C1025</f>
        <v>1</v>
      </c>
      <c r="X1025" s="3" t="str">
        <f aca="false">TEXT(C1025,"mmmm")</f>
        <v>December</v>
      </c>
      <c r="Y1025" s="3" t="str">
        <f aca="false">LEFT(G1025,1)&amp;MID(G1025,FIND(" ",G1025)+1,1)</f>
        <v>WB</v>
      </c>
    </row>
    <row r="1026" customFormat="false" ht="15" hidden="false" customHeight="false" outlineLevel="0" collapsed="false">
      <c r="A1026" s="3" t="n">
        <v>1025</v>
      </c>
      <c r="B1026" s="3" t="s">
        <v>2516</v>
      </c>
      <c r="C1026" s="4" t="s">
        <v>2502</v>
      </c>
      <c r="D1026" s="4" t="s">
        <v>2517</v>
      </c>
      <c r="E1026" s="3" t="s">
        <v>28</v>
      </c>
      <c r="F1026" s="3" t="s">
        <v>283</v>
      </c>
      <c r="G1026" s="3" t="s">
        <v>284</v>
      </c>
      <c r="H1026" s="3" t="s">
        <v>45</v>
      </c>
      <c r="I1026" s="3" t="s">
        <v>32</v>
      </c>
      <c r="J1026" s="3" t="s">
        <v>179</v>
      </c>
      <c r="K1026" s="3" t="s">
        <v>47</v>
      </c>
      <c r="L1026" s="3" t="s">
        <v>35</v>
      </c>
      <c r="M1026" s="3" t="s">
        <v>420</v>
      </c>
      <c r="N1026" s="3" t="s">
        <v>49</v>
      </c>
      <c r="O1026" s="3" t="s">
        <v>80</v>
      </c>
      <c r="P1026" s="3" t="s">
        <v>421</v>
      </c>
      <c r="Q1026" s="5" t="n">
        <v>214.56</v>
      </c>
      <c r="R1026" s="3" t="n">
        <v>4</v>
      </c>
      <c r="S1026" s="6" t="n">
        <v>0.1</v>
      </c>
      <c r="T1026" s="5" t="n">
        <v>44.01</v>
      </c>
      <c r="U1026" s="3" t="str">
        <f aca="false">IF(T1026&lt;0,"Loss",IF(T1026=0,"Break-even","Profit"))</f>
        <v>Profit</v>
      </c>
      <c r="V1026" s="3" t="str">
        <f aca="false">IF(Q1026&lt;100,"Low",IF(Q1026&lt;=500,"Medium","High"))</f>
        <v>Medium</v>
      </c>
      <c r="W1026" s="3" t="n">
        <f aca="false">D1026-C1026</f>
        <v>5</v>
      </c>
      <c r="X1026" s="3" t="str">
        <f aca="false">TEXT(C1026,"mmmm")</f>
        <v>December</v>
      </c>
      <c r="Y1026" s="3" t="str">
        <f aca="false">LEFT(G1026,1)&amp;MID(G1026,FIND(" ",G1026)+1,1)</f>
        <v>OS</v>
      </c>
    </row>
    <row r="1027" customFormat="false" ht="15" hidden="false" customHeight="false" outlineLevel="0" collapsed="false">
      <c r="A1027" s="3" t="n">
        <v>1026</v>
      </c>
      <c r="B1027" s="3" t="s">
        <v>2518</v>
      </c>
      <c r="C1027" s="4" t="s">
        <v>2502</v>
      </c>
      <c r="D1027" s="4" t="s">
        <v>2508</v>
      </c>
      <c r="E1027" s="3" t="s">
        <v>84</v>
      </c>
      <c r="F1027" s="3" t="s">
        <v>384</v>
      </c>
      <c r="G1027" s="3" t="s">
        <v>385</v>
      </c>
      <c r="H1027" s="3" t="s">
        <v>45</v>
      </c>
      <c r="I1027" s="3" t="s">
        <v>32</v>
      </c>
      <c r="J1027" s="3" t="s">
        <v>329</v>
      </c>
      <c r="K1027" s="3" t="s">
        <v>156</v>
      </c>
      <c r="L1027" s="3" t="s">
        <v>157</v>
      </c>
      <c r="M1027" s="3" t="s">
        <v>461</v>
      </c>
      <c r="N1027" s="3" t="s">
        <v>37</v>
      </c>
      <c r="O1027" s="3" t="s">
        <v>71</v>
      </c>
      <c r="P1027" s="3" t="s">
        <v>462</v>
      </c>
      <c r="Q1027" s="5" t="n">
        <v>2758.64</v>
      </c>
      <c r="R1027" s="3" t="n">
        <v>2</v>
      </c>
      <c r="S1027" s="6" t="n">
        <v>0.1</v>
      </c>
      <c r="T1027" s="5" t="n">
        <v>884.26</v>
      </c>
      <c r="U1027" s="3" t="str">
        <f aca="false">IF(T1027&lt;0,"Loss",IF(T1027=0,"Break-even","Profit"))</f>
        <v>Profit</v>
      </c>
      <c r="V1027" s="3" t="str">
        <f aca="false">IF(Q1027&lt;100,"Low",IF(Q1027&lt;=500,"Medium","High"))</f>
        <v>High</v>
      </c>
      <c r="W1027" s="3" t="n">
        <f aca="false">D1027-C1027</f>
        <v>4</v>
      </c>
      <c r="X1027" s="3" t="str">
        <f aca="false">TEXT(C1027,"mmmm")</f>
        <v>December</v>
      </c>
      <c r="Y1027" s="3" t="str">
        <f aca="false">LEFT(G1027,1)&amp;MID(G1027,FIND(" ",G1027)+1,1)</f>
        <v>DJ</v>
      </c>
    </row>
    <row r="1028" customFormat="false" ht="15" hidden="false" customHeight="false" outlineLevel="0" collapsed="false">
      <c r="A1028" s="3" t="n">
        <v>1027</v>
      </c>
      <c r="B1028" s="3" t="s">
        <v>2519</v>
      </c>
      <c r="C1028" s="4" t="s">
        <v>2500</v>
      </c>
      <c r="D1028" s="4" t="s">
        <v>2520</v>
      </c>
      <c r="E1028" s="3" t="s">
        <v>28</v>
      </c>
      <c r="F1028" s="3" t="s">
        <v>602</v>
      </c>
      <c r="G1028" s="3" t="s">
        <v>603</v>
      </c>
      <c r="H1028" s="3" t="s">
        <v>31</v>
      </c>
      <c r="I1028" s="3" t="s">
        <v>32</v>
      </c>
      <c r="J1028" s="3" t="s">
        <v>476</v>
      </c>
      <c r="K1028" s="3" t="s">
        <v>366</v>
      </c>
      <c r="L1028" s="3" t="s">
        <v>157</v>
      </c>
      <c r="M1028" s="3" t="s">
        <v>209</v>
      </c>
      <c r="N1028" s="3" t="s">
        <v>49</v>
      </c>
      <c r="O1028" s="3" t="s">
        <v>106</v>
      </c>
      <c r="P1028" s="3" t="s">
        <v>210</v>
      </c>
      <c r="Q1028" s="5" t="n">
        <v>378.83</v>
      </c>
      <c r="R1028" s="3" t="n">
        <v>7</v>
      </c>
      <c r="S1028" s="6" t="n">
        <v>0</v>
      </c>
      <c r="T1028" s="5" t="n">
        <v>110.2</v>
      </c>
      <c r="U1028" s="3" t="str">
        <f aca="false">IF(T1028&lt;0,"Loss",IF(T1028=0,"Break-even","Profit"))</f>
        <v>Profit</v>
      </c>
      <c r="V1028" s="3" t="str">
        <f aca="false">IF(Q1028&lt;100,"Low",IF(Q1028&lt;=500,"Medium","High"))</f>
        <v>Medium</v>
      </c>
      <c r="W1028" s="3" t="n">
        <f aca="false">D1028-C1028</f>
        <v>7</v>
      </c>
      <c r="X1028" s="3" t="str">
        <f aca="false">TEXT(C1028,"mmmm")</f>
        <v>December</v>
      </c>
      <c r="Y1028" s="3" t="str">
        <f aca="false">LEFT(G1028,1)&amp;MID(G1028,FIND(" ",G1028)+1,1)</f>
        <v>SR</v>
      </c>
    </row>
    <row r="1029" customFormat="false" ht="15" hidden="false" customHeight="false" outlineLevel="0" collapsed="false">
      <c r="A1029" s="3" t="n">
        <v>1028</v>
      </c>
      <c r="B1029" s="3" t="s">
        <v>1866</v>
      </c>
      <c r="C1029" s="4" t="s">
        <v>2512</v>
      </c>
      <c r="D1029" s="4" t="s">
        <v>2521</v>
      </c>
      <c r="E1029" s="3" t="s">
        <v>28</v>
      </c>
      <c r="F1029" s="3" t="s">
        <v>29</v>
      </c>
      <c r="G1029" s="3" t="s">
        <v>30</v>
      </c>
      <c r="H1029" s="3" t="s">
        <v>56</v>
      </c>
      <c r="I1029" s="3" t="s">
        <v>32</v>
      </c>
      <c r="J1029" s="3" t="s">
        <v>201</v>
      </c>
      <c r="K1029" s="3" t="s">
        <v>202</v>
      </c>
      <c r="L1029" s="3" t="s">
        <v>35</v>
      </c>
      <c r="M1029" s="3" t="s">
        <v>48</v>
      </c>
      <c r="N1029" s="3" t="s">
        <v>49</v>
      </c>
      <c r="O1029" s="3" t="s">
        <v>50</v>
      </c>
      <c r="P1029" s="3" t="s">
        <v>51</v>
      </c>
      <c r="Q1029" s="5" t="n">
        <v>288.69</v>
      </c>
      <c r="R1029" s="3" t="n">
        <v>6</v>
      </c>
      <c r="S1029" s="6" t="n">
        <v>0.1</v>
      </c>
      <c r="T1029" s="5" t="n">
        <v>29.75</v>
      </c>
      <c r="U1029" s="3" t="str">
        <f aca="false">IF(T1029&lt;0,"Loss",IF(T1029=0,"Break-even","Profit"))</f>
        <v>Profit</v>
      </c>
      <c r="V1029" s="3" t="str">
        <f aca="false">IF(Q1029&lt;100,"Low",IF(Q1029&lt;=500,"Medium","High"))</f>
        <v>Medium</v>
      </c>
      <c r="W1029" s="3" t="n">
        <f aca="false">D1029-C1029</f>
        <v>4</v>
      </c>
      <c r="X1029" s="3" t="str">
        <f aca="false">TEXT(C1029,"mmmm")</f>
        <v>December</v>
      </c>
      <c r="Y1029" s="3" t="str">
        <f aca="false">LEFT(G1029,1)&amp;MID(G1029,FIND(" ",G1029)+1,1)</f>
        <v>MK</v>
      </c>
    </row>
    <row r="1030" customFormat="false" ht="15" hidden="false" customHeight="false" outlineLevel="0" collapsed="false">
      <c r="A1030" s="3" t="n">
        <v>1029</v>
      </c>
      <c r="B1030" s="3" t="s">
        <v>2522</v>
      </c>
      <c r="C1030" s="4" t="s">
        <v>2512</v>
      </c>
      <c r="D1030" s="4" t="s">
        <v>2508</v>
      </c>
      <c r="E1030" s="3" t="s">
        <v>42</v>
      </c>
      <c r="F1030" s="3" t="s">
        <v>1216</v>
      </c>
      <c r="G1030" s="3" t="s">
        <v>1217</v>
      </c>
      <c r="H1030" s="3" t="s">
        <v>45</v>
      </c>
      <c r="I1030" s="3" t="s">
        <v>32</v>
      </c>
      <c r="J1030" s="3" t="s">
        <v>873</v>
      </c>
      <c r="K1030" s="3" t="s">
        <v>387</v>
      </c>
      <c r="L1030" s="3" t="s">
        <v>35</v>
      </c>
      <c r="M1030" s="3" t="s">
        <v>60</v>
      </c>
      <c r="N1030" s="3" t="s">
        <v>49</v>
      </c>
      <c r="O1030" s="3" t="s">
        <v>61</v>
      </c>
      <c r="P1030" s="3" t="s">
        <v>62</v>
      </c>
      <c r="Q1030" s="5" t="n">
        <v>525.3</v>
      </c>
      <c r="R1030" s="3" t="n">
        <v>7</v>
      </c>
      <c r="S1030" s="6" t="n">
        <v>0.2</v>
      </c>
      <c r="T1030" s="5" t="n">
        <v>68.95</v>
      </c>
      <c r="U1030" s="3" t="str">
        <f aca="false">IF(T1030&lt;0,"Loss",IF(T1030=0,"Break-even","Profit"))</f>
        <v>Profit</v>
      </c>
      <c r="V1030" s="3" t="str">
        <f aca="false">IF(Q1030&lt;100,"Low",IF(Q1030&lt;=500,"Medium","High"))</f>
        <v>High</v>
      </c>
      <c r="W1030" s="3" t="n">
        <f aca="false">D1030-C1030</f>
        <v>2</v>
      </c>
      <c r="X1030" s="3" t="str">
        <f aca="false">TEXT(C1030,"mmmm")</f>
        <v>December</v>
      </c>
      <c r="Y1030" s="3" t="str">
        <f aca="false">LEFT(G1030,1)&amp;MID(G1030,FIND(" ",G1030)+1,1)</f>
        <v>FT</v>
      </c>
    </row>
    <row r="1031" customFormat="false" ht="15" hidden="false" customHeight="false" outlineLevel="0" collapsed="false">
      <c r="A1031" s="3" t="n">
        <v>1030</v>
      </c>
      <c r="B1031" s="3" t="s">
        <v>1959</v>
      </c>
      <c r="C1031" s="4" t="s">
        <v>2512</v>
      </c>
      <c r="D1031" s="4" t="s">
        <v>2520</v>
      </c>
      <c r="E1031" s="3" t="s">
        <v>28</v>
      </c>
      <c r="F1031" s="3" t="s">
        <v>1898</v>
      </c>
      <c r="G1031" s="3" t="s">
        <v>1899</v>
      </c>
      <c r="H1031" s="3" t="s">
        <v>56</v>
      </c>
      <c r="I1031" s="3" t="s">
        <v>32</v>
      </c>
      <c r="J1031" s="3" t="s">
        <v>188</v>
      </c>
      <c r="K1031" s="3" t="s">
        <v>189</v>
      </c>
      <c r="L1031" s="3" t="s">
        <v>59</v>
      </c>
      <c r="M1031" s="3" t="s">
        <v>404</v>
      </c>
      <c r="N1031" s="3" t="s">
        <v>89</v>
      </c>
      <c r="O1031" s="3" t="s">
        <v>166</v>
      </c>
      <c r="P1031" s="3" t="s">
        <v>405</v>
      </c>
      <c r="Q1031" s="5" t="n">
        <v>283.39</v>
      </c>
      <c r="R1031" s="3" t="n">
        <v>1</v>
      </c>
      <c r="S1031" s="6" t="n">
        <v>0.3</v>
      </c>
      <c r="T1031" s="5" t="n">
        <v>-7.36</v>
      </c>
      <c r="U1031" s="3" t="str">
        <f aca="false">IF(T1031&lt;0,"Loss",IF(T1031=0,"Break-even","Profit"))</f>
        <v>Loss</v>
      </c>
      <c r="V1031" s="3" t="str">
        <f aca="false">IF(Q1031&lt;100,"Low",IF(Q1031&lt;=500,"Medium","High"))</f>
        <v>Medium</v>
      </c>
      <c r="W1031" s="3" t="n">
        <f aca="false">D1031-C1031</f>
        <v>6</v>
      </c>
      <c r="X1031" s="3" t="str">
        <f aca="false">TEXT(C1031,"mmmm")</f>
        <v>December</v>
      </c>
      <c r="Y1031" s="3" t="str">
        <f aca="false">LEFT(G1031,1)&amp;MID(G1031,FIND(" ",G1031)+1,1)</f>
        <v>MM</v>
      </c>
    </row>
    <row r="1032" customFormat="false" ht="15" hidden="false" customHeight="false" outlineLevel="0" collapsed="false">
      <c r="A1032" s="3" t="n">
        <v>1031</v>
      </c>
      <c r="B1032" s="3" t="s">
        <v>2523</v>
      </c>
      <c r="C1032" s="4" t="s">
        <v>2524</v>
      </c>
      <c r="D1032" s="4" t="s">
        <v>2525</v>
      </c>
      <c r="E1032" s="3" t="s">
        <v>28</v>
      </c>
      <c r="F1032" s="3" t="s">
        <v>1898</v>
      </c>
      <c r="G1032" s="3" t="s">
        <v>1899</v>
      </c>
      <c r="H1032" s="3" t="s">
        <v>56</v>
      </c>
      <c r="I1032" s="3" t="s">
        <v>32</v>
      </c>
      <c r="J1032" s="3" t="s">
        <v>299</v>
      </c>
      <c r="K1032" s="3" t="s">
        <v>189</v>
      </c>
      <c r="L1032" s="3" t="s">
        <v>59</v>
      </c>
      <c r="M1032" s="3" t="s">
        <v>142</v>
      </c>
      <c r="N1032" s="3" t="s">
        <v>49</v>
      </c>
      <c r="O1032" s="3" t="s">
        <v>143</v>
      </c>
      <c r="P1032" s="3" t="s">
        <v>144</v>
      </c>
      <c r="Q1032" s="5" t="n">
        <v>9.88</v>
      </c>
      <c r="R1032" s="3" t="n">
        <v>3</v>
      </c>
      <c r="S1032" s="6" t="n">
        <v>0.5</v>
      </c>
      <c r="T1032" s="5" t="n">
        <v>-3.13</v>
      </c>
      <c r="U1032" s="3" t="str">
        <f aca="false">IF(T1032&lt;0,"Loss",IF(T1032=0,"Break-even","Profit"))</f>
        <v>Loss</v>
      </c>
      <c r="V1032" s="3" t="str">
        <f aca="false">IF(Q1032&lt;100,"Low",IF(Q1032&lt;=500,"Medium","High"))</f>
        <v>Low</v>
      </c>
      <c r="W1032" s="3" t="n">
        <f aca="false">D1032-C1032</f>
        <v>4</v>
      </c>
      <c r="X1032" s="3" t="str">
        <f aca="false">TEXT(C1032,"mmmm")</f>
        <v>December</v>
      </c>
      <c r="Y1032" s="3" t="str">
        <f aca="false">LEFT(G1032,1)&amp;MID(G1032,FIND(" ",G1032)+1,1)</f>
        <v>MM</v>
      </c>
    </row>
    <row r="1033" customFormat="false" ht="15" hidden="false" customHeight="false" outlineLevel="0" collapsed="false">
      <c r="A1033" s="3" t="n">
        <v>1032</v>
      </c>
      <c r="B1033" s="3" t="s">
        <v>2526</v>
      </c>
      <c r="C1033" s="4" t="s">
        <v>2524</v>
      </c>
      <c r="D1033" s="4" t="s">
        <v>2525</v>
      </c>
      <c r="E1033" s="3" t="s">
        <v>28</v>
      </c>
      <c r="F1033" s="3" t="s">
        <v>313</v>
      </c>
      <c r="G1033" s="3" t="s">
        <v>314</v>
      </c>
      <c r="H1033" s="3" t="s">
        <v>56</v>
      </c>
      <c r="I1033" s="3" t="s">
        <v>32</v>
      </c>
      <c r="J1033" s="3" t="s">
        <v>179</v>
      </c>
      <c r="K1033" s="3" t="s">
        <v>47</v>
      </c>
      <c r="L1033" s="3" t="s">
        <v>35</v>
      </c>
      <c r="M1033" s="3" t="s">
        <v>470</v>
      </c>
      <c r="N1033" s="3" t="s">
        <v>49</v>
      </c>
      <c r="O1033" s="3" t="s">
        <v>159</v>
      </c>
      <c r="P1033" s="3" t="s">
        <v>471</v>
      </c>
      <c r="Q1033" s="5" t="n">
        <v>290.93</v>
      </c>
      <c r="R1033" s="3" t="n">
        <v>7</v>
      </c>
      <c r="S1033" s="6" t="n">
        <v>0.2</v>
      </c>
      <c r="T1033" s="5" t="n">
        <v>-19.44</v>
      </c>
      <c r="U1033" s="3" t="str">
        <f aca="false">IF(T1033&lt;0,"Loss",IF(T1033=0,"Break-even","Profit"))</f>
        <v>Loss</v>
      </c>
      <c r="V1033" s="3" t="str">
        <f aca="false">IF(Q1033&lt;100,"Low",IF(Q1033&lt;=500,"Medium","High"))</f>
        <v>Medium</v>
      </c>
      <c r="W1033" s="3" t="n">
        <f aca="false">D1033-C1033</f>
        <v>4</v>
      </c>
      <c r="X1033" s="3" t="str">
        <f aca="false">TEXT(C1033,"mmmm")</f>
        <v>December</v>
      </c>
      <c r="Y1033" s="3" t="str">
        <f aca="false">LEFT(G1033,1)&amp;MID(G1033,FIND(" ",G1033)+1,1)</f>
        <v>JK</v>
      </c>
    </row>
    <row r="1034" customFormat="false" ht="15" hidden="false" customHeight="false" outlineLevel="0" collapsed="false">
      <c r="A1034" s="3" t="n">
        <v>1033</v>
      </c>
      <c r="B1034" s="3" t="s">
        <v>2527</v>
      </c>
      <c r="C1034" s="4" t="s">
        <v>2524</v>
      </c>
      <c r="D1034" s="4" t="s">
        <v>2521</v>
      </c>
      <c r="E1034" s="3" t="s">
        <v>84</v>
      </c>
      <c r="F1034" s="3" t="s">
        <v>2528</v>
      </c>
      <c r="G1034" s="3" t="s">
        <v>2529</v>
      </c>
      <c r="H1034" s="3" t="s">
        <v>56</v>
      </c>
      <c r="I1034" s="3" t="s">
        <v>32</v>
      </c>
      <c r="J1034" s="3" t="s">
        <v>33</v>
      </c>
      <c r="K1034" s="3" t="s">
        <v>34</v>
      </c>
      <c r="L1034" s="3" t="s">
        <v>35</v>
      </c>
      <c r="M1034" s="3" t="s">
        <v>114</v>
      </c>
      <c r="N1034" s="3" t="s">
        <v>49</v>
      </c>
      <c r="O1034" s="3" t="s">
        <v>61</v>
      </c>
      <c r="P1034" s="3" t="s">
        <v>115</v>
      </c>
      <c r="Q1034" s="5" t="n">
        <v>29.85</v>
      </c>
      <c r="R1034" s="3" t="n">
        <v>1</v>
      </c>
      <c r="S1034" s="6" t="n">
        <v>0</v>
      </c>
      <c r="T1034" s="5" t="n">
        <v>9.54</v>
      </c>
      <c r="U1034" s="3" t="str">
        <f aca="false">IF(T1034&lt;0,"Loss",IF(T1034=0,"Break-even","Profit"))</f>
        <v>Profit</v>
      </c>
      <c r="V1034" s="3" t="str">
        <f aca="false">IF(Q1034&lt;100,"Low",IF(Q1034&lt;=500,"Medium","High"))</f>
        <v>Low</v>
      </c>
      <c r="W1034" s="3" t="n">
        <f aca="false">D1034-C1034</f>
        <v>3</v>
      </c>
      <c r="X1034" s="3" t="str">
        <f aca="false">TEXT(C1034,"mmmm")</f>
        <v>December</v>
      </c>
      <c r="Y1034" s="3" t="str">
        <f aca="false">LEFT(G1034,1)&amp;MID(G1034,FIND(" ",G1034)+1,1)</f>
        <v>ON</v>
      </c>
    </row>
    <row r="1035" customFormat="false" ht="15" hidden="false" customHeight="false" outlineLevel="0" collapsed="false">
      <c r="A1035" s="3" t="n">
        <v>1034</v>
      </c>
      <c r="B1035" s="3" t="s">
        <v>2530</v>
      </c>
      <c r="C1035" s="4" t="s">
        <v>2524</v>
      </c>
      <c r="D1035" s="4" t="s">
        <v>2525</v>
      </c>
      <c r="E1035" s="3" t="s">
        <v>28</v>
      </c>
      <c r="F1035" s="3" t="s">
        <v>490</v>
      </c>
      <c r="G1035" s="3" t="s">
        <v>491</v>
      </c>
      <c r="H1035" s="3" t="s">
        <v>56</v>
      </c>
      <c r="I1035" s="3" t="s">
        <v>32</v>
      </c>
      <c r="J1035" s="3" t="s">
        <v>285</v>
      </c>
      <c r="K1035" s="3" t="s">
        <v>202</v>
      </c>
      <c r="L1035" s="3" t="s">
        <v>35</v>
      </c>
      <c r="M1035" s="3" t="s">
        <v>322</v>
      </c>
      <c r="N1035" s="3" t="s">
        <v>89</v>
      </c>
      <c r="O1035" s="3" t="s">
        <v>323</v>
      </c>
      <c r="P1035" s="3" t="s">
        <v>324</v>
      </c>
      <c r="Q1035" s="5" t="n">
        <v>1008.02</v>
      </c>
      <c r="R1035" s="3" t="n">
        <v>8</v>
      </c>
      <c r="S1035" s="6" t="n">
        <v>0.1</v>
      </c>
      <c r="T1035" s="5" t="n">
        <v>247.04</v>
      </c>
      <c r="U1035" s="3" t="str">
        <f aca="false">IF(T1035&lt;0,"Loss",IF(T1035=0,"Break-even","Profit"))</f>
        <v>Profit</v>
      </c>
      <c r="V1035" s="3" t="str">
        <f aca="false">IF(Q1035&lt;100,"Low",IF(Q1035&lt;=500,"Medium","High"))</f>
        <v>High</v>
      </c>
      <c r="W1035" s="3" t="n">
        <f aca="false">D1035-C1035</f>
        <v>4</v>
      </c>
      <c r="X1035" s="3" t="str">
        <f aca="false">TEXT(C1035,"mmmm")</f>
        <v>December</v>
      </c>
      <c r="Y1035" s="3" t="str">
        <f aca="false">LEFT(G1035,1)&amp;MID(G1035,FIND(" ",G1035)+1,1)</f>
        <v>WM</v>
      </c>
    </row>
    <row r="1036" customFormat="false" ht="15" hidden="false" customHeight="false" outlineLevel="0" collapsed="false">
      <c r="A1036" s="3" t="n">
        <v>1035</v>
      </c>
      <c r="B1036" s="3" t="s">
        <v>1750</v>
      </c>
      <c r="C1036" s="4" t="s">
        <v>2508</v>
      </c>
      <c r="D1036" s="4" t="s">
        <v>2531</v>
      </c>
      <c r="E1036" s="3" t="s">
        <v>28</v>
      </c>
      <c r="F1036" s="3" t="s">
        <v>1401</v>
      </c>
      <c r="G1036" s="3" t="s">
        <v>1402</v>
      </c>
      <c r="H1036" s="3" t="s">
        <v>56</v>
      </c>
      <c r="I1036" s="3" t="s">
        <v>32</v>
      </c>
      <c r="J1036" s="3" t="s">
        <v>120</v>
      </c>
      <c r="K1036" s="3" t="s">
        <v>113</v>
      </c>
      <c r="L1036" s="3" t="s">
        <v>69</v>
      </c>
      <c r="M1036" s="3" t="s">
        <v>97</v>
      </c>
      <c r="N1036" s="3" t="s">
        <v>89</v>
      </c>
      <c r="O1036" s="3" t="s">
        <v>90</v>
      </c>
      <c r="P1036" s="3" t="s">
        <v>98</v>
      </c>
      <c r="Q1036" s="5" t="n">
        <v>282.56</v>
      </c>
      <c r="R1036" s="3" t="n">
        <v>1</v>
      </c>
      <c r="S1036" s="6" t="n">
        <v>0.1</v>
      </c>
      <c r="T1036" s="5" t="n">
        <v>42.35</v>
      </c>
      <c r="U1036" s="3" t="str">
        <f aca="false">IF(T1036&lt;0,"Loss",IF(T1036=0,"Break-even","Profit"))</f>
        <v>Profit</v>
      </c>
      <c r="V1036" s="3" t="str">
        <f aca="false">IF(Q1036&lt;100,"Low",IF(Q1036&lt;=500,"Medium","High"))</f>
        <v>Medium</v>
      </c>
      <c r="W1036" s="3" t="n">
        <f aca="false">D1036-C1036</f>
        <v>6</v>
      </c>
      <c r="X1036" s="3" t="str">
        <f aca="false">TEXT(C1036,"mmmm")</f>
        <v>December</v>
      </c>
      <c r="Y1036" s="3" t="str">
        <f aca="false">LEFT(G1036,1)&amp;MID(G1036,FIND(" ",G1036)+1,1)</f>
        <v>SS</v>
      </c>
    </row>
    <row r="1037" customFormat="false" ht="15" hidden="false" customHeight="false" outlineLevel="0" collapsed="false">
      <c r="A1037" s="3" t="n">
        <v>1036</v>
      </c>
      <c r="B1037" s="3" t="s">
        <v>2057</v>
      </c>
      <c r="C1037" s="4" t="s">
        <v>2517</v>
      </c>
      <c r="D1037" s="4" t="s">
        <v>2520</v>
      </c>
      <c r="E1037" s="3" t="s">
        <v>84</v>
      </c>
      <c r="F1037" s="3" t="s">
        <v>572</v>
      </c>
      <c r="G1037" s="3" t="s">
        <v>573</v>
      </c>
      <c r="H1037" s="3" t="s">
        <v>56</v>
      </c>
      <c r="I1037" s="3" t="s">
        <v>32</v>
      </c>
      <c r="J1037" s="3" t="s">
        <v>299</v>
      </c>
      <c r="K1037" s="3" t="s">
        <v>189</v>
      </c>
      <c r="L1037" s="3" t="s">
        <v>59</v>
      </c>
      <c r="M1037" s="3" t="s">
        <v>447</v>
      </c>
      <c r="N1037" s="3" t="s">
        <v>89</v>
      </c>
      <c r="O1037" s="3" t="s">
        <v>323</v>
      </c>
      <c r="P1037" s="3" t="s">
        <v>448</v>
      </c>
      <c r="Q1037" s="5" t="n">
        <v>1119.56</v>
      </c>
      <c r="R1037" s="3" t="n">
        <v>2</v>
      </c>
      <c r="S1037" s="6" t="n">
        <v>0</v>
      </c>
      <c r="T1037" s="5" t="n">
        <v>-68.6</v>
      </c>
      <c r="U1037" s="3" t="str">
        <f aca="false">IF(T1037&lt;0,"Loss",IF(T1037=0,"Break-even","Profit"))</f>
        <v>Loss</v>
      </c>
      <c r="V1037" s="3" t="str">
        <f aca="false">IF(Q1037&lt;100,"Low",IF(Q1037&lt;=500,"Medium","High"))</f>
        <v>High</v>
      </c>
      <c r="W1037" s="3" t="n">
        <f aca="false">D1037-C1037</f>
        <v>3</v>
      </c>
      <c r="X1037" s="3" t="str">
        <f aca="false">TEXT(C1037,"mmmm")</f>
        <v>December</v>
      </c>
      <c r="Y1037" s="3" t="str">
        <f aca="false">LEFT(G1037,1)&amp;MID(G1037,FIND(" ",G1037)+1,1)</f>
        <v>PM</v>
      </c>
    </row>
    <row r="1038" customFormat="false" ht="15" hidden="false" customHeight="false" outlineLevel="0" collapsed="false">
      <c r="A1038" s="3" t="n">
        <v>1037</v>
      </c>
      <c r="B1038" s="3" t="s">
        <v>1740</v>
      </c>
      <c r="C1038" s="4" t="s">
        <v>2517</v>
      </c>
      <c r="D1038" s="4" t="s">
        <v>2521</v>
      </c>
      <c r="E1038" s="3" t="s">
        <v>42</v>
      </c>
      <c r="F1038" s="3" t="s">
        <v>1652</v>
      </c>
      <c r="G1038" s="3" t="s">
        <v>1653</v>
      </c>
      <c r="H1038" s="3" t="s">
        <v>31</v>
      </c>
      <c r="I1038" s="3" t="s">
        <v>32</v>
      </c>
      <c r="J1038" s="3" t="s">
        <v>306</v>
      </c>
      <c r="K1038" s="3" t="s">
        <v>307</v>
      </c>
      <c r="L1038" s="3" t="s">
        <v>69</v>
      </c>
      <c r="M1038" s="3" t="s">
        <v>322</v>
      </c>
      <c r="N1038" s="3" t="s">
        <v>89</v>
      </c>
      <c r="O1038" s="3" t="s">
        <v>323</v>
      </c>
      <c r="P1038" s="3" t="s">
        <v>324</v>
      </c>
      <c r="Q1038" s="5" t="n">
        <v>1985.73</v>
      </c>
      <c r="R1038" s="3" t="n">
        <v>5</v>
      </c>
      <c r="S1038" s="6" t="n">
        <v>0.3</v>
      </c>
      <c r="T1038" s="5" t="n">
        <v>81.51</v>
      </c>
      <c r="U1038" s="3" t="str">
        <f aca="false">IF(T1038&lt;0,"Loss",IF(T1038=0,"Break-even","Profit"))</f>
        <v>Profit</v>
      </c>
      <c r="V1038" s="3" t="str">
        <f aca="false">IF(Q1038&lt;100,"Low",IF(Q1038&lt;=500,"Medium","High"))</f>
        <v>High</v>
      </c>
      <c r="W1038" s="3" t="n">
        <f aca="false">D1038-C1038</f>
        <v>1</v>
      </c>
      <c r="X1038" s="3" t="str">
        <f aca="false">TEXT(C1038,"mmmm")</f>
        <v>December</v>
      </c>
      <c r="Y1038" s="3" t="str">
        <f aca="false">LEFT(G1038,1)&amp;MID(G1038,FIND(" ",G1038)+1,1)</f>
        <v>MR</v>
      </c>
    </row>
    <row r="1039" customFormat="false" ht="15" hidden="false" customHeight="false" outlineLevel="0" collapsed="false">
      <c r="A1039" s="3" t="n">
        <v>1038</v>
      </c>
      <c r="B1039" s="3" t="s">
        <v>2532</v>
      </c>
      <c r="C1039" s="4" t="s">
        <v>2517</v>
      </c>
      <c r="D1039" s="4" t="s">
        <v>2533</v>
      </c>
      <c r="E1039" s="3" t="s">
        <v>84</v>
      </c>
      <c r="F1039" s="3" t="s">
        <v>998</v>
      </c>
      <c r="G1039" s="3" t="s">
        <v>999</v>
      </c>
      <c r="H1039" s="3" t="s">
        <v>31</v>
      </c>
      <c r="I1039" s="3" t="s">
        <v>32</v>
      </c>
      <c r="J1039" s="3" t="s">
        <v>306</v>
      </c>
      <c r="K1039" s="3" t="s">
        <v>307</v>
      </c>
      <c r="L1039" s="3" t="s">
        <v>69</v>
      </c>
      <c r="M1039" s="3" t="s">
        <v>280</v>
      </c>
      <c r="N1039" s="3" t="s">
        <v>89</v>
      </c>
      <c r="O1039" s="3" t="s">
        <v>166</v>
      </c>
      <c r="P1039" s="3" t="s">
        <v>281</v>
      </c>
      <c r="Q1039" s="5" t="n">
        <v>3417.6</v>
      </c>
      <c r="R1039" s="3" t="n">
        <v>5</v>
      </c>
      <c r="S1039" s="6" t="n">
        <v>0.1</v>
      </c>
      <c r="T1039" s="5" t="n">
        <v>-916.59</v>
      </c>
      <c r="U1039" s="3" t="str">
        <f aca="false">IF(T1039&lt;0,"Loss",IF(T1039=0,"Break-even","Profit"))</f>
        <v>Loss</v>
      </c>
      <c r="V1039" s="3" t="str">
        <f aca="false">IF(Q1039&lt;100,"Low",IF(Q1039&lt;=500,"Medium","High"))</f>
        <v>High</v>
      </c>
      <c r="W1039" s="3" t="n">
        <f aca="false">D1039-C1039</f>
        <v>4</v>
      </c>
      <c r="X1039" s="3" t="str">
        <f aca="false">TEXT(C1039,"mmmm")</f>
        <v>December</v>
      </c>
      <c r="Y1039" s="3" t="str">
        <f aca="false">LEFT(G1039,1)&amp;MID(G1039,FIND(" ",G1039)+1,1)</f>
        <v>OM</v>
      </c>
    </row>
    <row r="1040" customFormat="false" ht="15" hidden="false" customHeight="false" outlineLevel="0" collapsed="false">
      <c r="A1040" s="3" t="n">
        <v>1039</v>
      </c>
      <c r="B1040" s="3" t="s">
        <v>2534</v>
      </c>
      <c r="C1040" s="4" t="s">
        <v>2517</v>
      </c>
      <c r="D1040" s="4" t="s">
        <v>2535</v>
      </c>
      <c r="E1040" s="3" t="s">
        <v>28</v>
      </c>
      <c r="F1040" s="3" t="s">
        <v>2536</v>
      </c>
      <c r="G1040" s="3" t="s">
        <v>2537</v>
      </c>
      <c r="H1040" s="3" t="s">
        <v>31</v>
      </c>
      <c r="I1040" s="3" t="s">
        <v>32</v>
      </c>
      <c r="J1040" s="3" t="s">
        <v>252</v>
      </c>
      <c r="K1040" s="3" t="s">
        <v>172</v>
      </c>
      <c r="L1040" s="3" t="s">
        <v>157</v>
      </c>
      <c r="M1040" s="3" t="s">
        <v>105</v>
      </c>
      <c r="N1040" s="3" t="s">
        <v>49</v>
      </c>
      <c r="O1040" s="3" t="s">
        <v>106</v>
      </c>
      <c r="P1040" s="3" t="s">
        <v>107</v>
      </c>
      <c r="Q1040" s="5" t="n">
        <v>31.08</v>
      </c>
      <c r="R1040" s="3" t="n">
        <v>2</v>
      </c>
      <c r="S1040" s="6" t="n">
        <v>0</v>
      </c>
      <c r="T1040" s="5" t="n">
        <v>7.02</v>
      </c>
      <c r="U1040" s="3" t="str">
        <f aca="false">IF(T1040&lt;0,"Loss",IF(T1040=0,"Break-even","Profit"))</f>
        <v>Profit</v>
      </c>
      <c r="V1040" s="3" t="str">
        <f aca="false">IF(Q1040&lt;100,"Low",IF(Q1040&lt;=500,"Medium","High"))</f>
        <v>Low</v>
      </c>
      <c r="W1040" s="3" t="n">
        <f aca="false">D1040-C1040</f>
        <v>7</v>
      </c>
      <c r="X1040" s="3" t="str">
        <f aca="false">TEXT(C1040,"mmmm")</f>
        <v>December</v>
      </c>
      <c r="Y1040" s="3" t="str">
        <f aca="false">LEFT(G1040,1)&amp;MID(G1040,FIND(" ",G1040)+1,1)</f>
        <v>MD</v>
      </c>
    </row>
    <row r="1041" customFormat="false" ht="15" hidden="false" customHeight="false" outlineLevel="0" collapsed="false">
      <c r="A1041" s="3" t="n">
        <v>1040</v>
      </c>
      <c r="B1041" s="3" t="s">
        <v>2538</v>
      </c>
      <c r="C1041" s="4" t="s">
        <v>2517</v>
      </c>
      <c r="D1041" s="4" t="s">
        <v>2521</v>
      </c>
      <c r="E1041" s="3" t="s">
        <v>42</v>
      </c>
      <c r="F1041" s="3" t="s">
        <v>1696</v>
      </c>
      <c r="G1041" s="3" t="s">
        <v>1697</v>
      </c>
      <c r="H1041" s="3" t="s">
        <v>45</v>
      </c>
      <c r="I1041" s="3" t="s">
        <v>32</v>
      </c>
      <c r="J1041" s="3" t="s">
        <v>252</v>
      </c>
      <c r="K1041" s="3" t="s">
        <v>172</v>
      </c>
      <c r="L1041" s="3" t="s">
        <v>157</v>
      </c>
      <c r="M1041" s="3" t="s">
        <v>237</v>
      </c>
      <c r="N1041" s="3" t="s">
        <v>49</v>
      </c>
      <c r="O1041" s="3" t="s">
        <v>220</v>
      </c>
      <c r="P1041" s="3" t="s">
        <v>238</v>
      </c>
      <c r="Q1041" s="5" t="n">
        <v>174.2</v>
      </c>
      <c r="R1041" s="3" t="n">
        <v>2</v>
      </c>
      <c r="S1041" s="6" t="n">
        <v>0.3</v>
      </c>
      <c r="T1041" s="5" t="n">
        <v>15.1</v>
      </c>
      <c r="U1041" s="3" t="str">
        <f aca="false">IF(T1041&lt;0,"Loss",IF(T1041=0,"Break-even","Profit"))</f>
        <v>Profit</v>
      </c>
      <c r="V1041" s="3" t="str">
        <f aca="false">IF(Q1041&lt;100,"Low",IF(Q1041&lt;=500,"Medium","High"))</f>
        <v>Medium</v>
      </c>
      <c r="W1041" s="3" t="n">
        <f aca="false">D1041-C1041</f>
        <v>1</v>
      </c>
      <c r="X1041" s="3" t="str">
        <f aca="false">TEXT(C1041,"mmmm")</f>
        <v>December</v>
      </c>
      <c r="Y1041" s="3" t="str">
        <f aca="false">LEFT(G1041,1)&amp;MID(G1041,FIND(" ",G1041)+1,1)</f>
        <v>MT</v>
      </c>
    </row>
    <row r="1042" customFormat="false" ht="15" hidden="false" customHeight="false" outlineLevel="0" collapsed="false">
      <c r="A1042" s="3" t="n">
        <v>1041</v>
      </c>
      <c r="B1042" s="3" t="s">
        <v>2539</v>
      </c>
      <c r="C1042" s="4" t="s">
        <v>2525</v>
      </c>
      <c r="D1042" s="4" t="s">
        <v>2540</v>
      </c>
      <c r="E1042" s="3" t="s">
        <v>28</v>
      </c>
      <c r="F1042" s="3" t="s">
        <v>430</v>
      </c>
      <c r="G1042" s="3" t="s">
        <v>431</v>
      </c>
      <c r="H1042" s="3" t="s">
        <v>56</v>
      </c>
      <c r="I1042" s="3" t="s">
        <v>32</v>
      </c>
      <c r="J1042" s="3" t="s">
        <v>243</v>
      </c>
      <c r="K1042" s="3" t="s">
        <v>244</v>
      </c>
      <c r="L1042" s="3" t="s">
        <v>157</v>
      </c>
      <c r="M1042" s="3" t="s">
        <v>149</v>
      </c>
      <c r="N1042" s="3" t="s">
        <v>49</v>
      </c>
      <c r="O1042" s="3" t="s">
        <v>150</v>
      </c>
      <c r="P1042" s="3" t="s">
        <v>151</v>
      </c>
      <c r="Q1042" s="5" t="n">
        <v>1208.05</v>
      </c>
      <c r="R1042" s="3" t="n">
        <v>11</v>
      </c>
      <c r="S1042" s="6" t="n">
        <v>0</v>
      </c>
      <c r="T1042" s="5" t="n">
        <v>-25.62</v>
      </c>
      <c r="U1042" s="3" t="str">
        <f aca="false">IF(T1042&lt;0,"Loss",IF(T1042=0,"Break-even","Profit"))</f>
        <v>Loss</v>
      </c>
      <c r="V1042" s="3" t="str">
        <f aca="false">IF(Q1042&lt;100,"Low",IF(Q1042&lt;=500,"Medium","High"))</f>
        <v>High</v>
      </c>
      <c r="W1042" s="3" t="n">
        <f aca="false">D1042-C1042</f>
        <v>6</v>
      </c>
      <c r="X1042" s="3" t="str">
        <f aca="false">TEXT(C1042,"mmmm")</f>
        <v>December</v>
      </c>
      <c r="Y1042" s="3" t="str">
        <f aca="false">LEFT(G1042,1)&amp;MID(G1042,FIND(" ",G1042)+1,1)</f>
        <v>SM</v>
      </c>
    </row>
    <row r="1043" customFormat="false" ht="15" hidden="false" customHeight="false" outlineLevel="0" collapsed="false">
      <c r="A1043" s="3" t="n">
        <v>1042</v>
      </c>
      <c r="B1043" s="3" t="s">
        <v>2541</v>
      </c>
      <c r="C1043" s="4" t="s">
        <v>2525</v>
      </c>
      <c r="D1043" s="4" t="s">
        <v>2533</v>
      </c>
      <c r="E1043" s="3" t="s">
        <v>42</v>
      </c>
      <c r="F1043" s="3" t="s">
        <v>957</v>
      </c>
      <c r="G1043" s="3" t="s">
        <v>958</v>
      </c>
      <c r="H1043" s="3" t="s">
        <v>45</v>
      </c>
      <c r="I1043" s="3" t="s">
        <v>32</v>
      </c>
      <c r="J1043" s="3" t="s">
        <v>87</v>
      </c>
      <c r="K1043" s="3" t="s">
        <v>68</v>
      </c>
      <c r="L1043" s="3" t="s">
        <v>69</v>
      </c>
      <c r="M1043" s="3" t="s">
        <v>470</v>
      </c>
      <c r="N1043" s="3" t="s">
        <v>49</v>
      </c>
      <c r="O1043" s="3" t="s">
        <v>159</v>
      </c>
      <c r="P1043" s="3" t="s">
        <v>471</v>
      </c>
      <c r="Q1043" s="5" t="n">
        <v>438.2</v>
      </c>
      <c r="R1043" s="3" t="n">
        <v>4</v>
      </c>
      <c r="S1043" s="6" t="n">
        <v>0</v>
      </c>
      <c r="T1043" s="5" t="n">
        <v>-10.36</v>
      </c>
      <c r="U1043" s="3" t="str">
        <f aca="false">IF(T1043&lt;0,"Loss",IF(T1043=0,"Break-even","Profit"))</f>
        <v>Loss</v>
      </c>
      <c r="V1043" s="3" t="str">
        <f aca="false">IF(Q1043&lt;100,"Low",IF(Q1043&lt;=500,"Medium","High"))</f>
        <v>Medium</v>
      </c>
      <c r="W1043" s="3" t="n">
        <f aca="false">D1043-C1043</f>
        <v>2</v>
      </c>
      <c r="X1043" s="3" t="str">
        <f aca="false">TEXT(C1043,"mmmm")</f>
        <v>December</v>
      </c>
      <c r="Y1043" s="3" t="str">
        <f aca="false">LEFT(G1043,1)&amp;MID(G1043,FIND(" ",G1043)+1,1)</f>
        <v>JM</v>
      </c>
    </row>
    <row r="1044" customFormat="false" ht="15" hidden="false" customHeight="false" outlineLevel="0" collapsed="false">
      <c r="A1044" s="3" t="n">
        <v>1043</v>
      </c>
      <c r="B1044" s="3" t="s">
        <v>2542</v>
      </c>
      <c r="C1044" s="4" t="s">
        <v>2520</v>
      </c>
      <c r="D1044" s="4" t="s">
        <v>2535</v>
      </c>
      <c r="E1044" s="3" t="s">
        <v>84</v>
      </c>
      <c r="F1044" s="3" t="s">
        <v>609</v>
      </c>
      <c r="G1044" s="3" t="s">
        <v>610</v>
      </c>
      <c r="H1044" s="3" t="s">
        <v>31</v>
      </c>
      <c r="I1044" s="3" t="s">
        <v>32</v>
      </c>
      <c r="J1044" s="3" t="s">
        <v>120</v>
      </c>
      <c r="K1044" s="3" t="s">
        <v>113</v>
      </c>
      <c r="L1044" s="3" t="s">
        <v>69</v>
      </c>
      <c r="M1044" s="3" t="s">
        <v>447</v>
      </c>
      <c r="N1044" s="3" t="s">
        <v>89</v>
      </c>
      <c r="O1044" s="3" t="s">
        <v>323</v>
      </c>
      <c r="P1044" s="3" t="s">
        <v>448</v>
      </c>
      <c r="Q1044" s="5" t="n">
        <v>1611.15</v>
      </c>
      <c r="R1044" s="3" t="n">
        <v>2</v>
      </c>
      <c r="S1044" s="6" t="n">
        <v>0</v>
      </c>
      <c r="T1044" s="5" t="n">
        <v>306.07</v>
      </c>
      <c r="U1044" s="3" t="str">
        <f aca="false">IF(T1044&lt;0,"Loss",IF(T1044=0,"Break-even","Profit"))</f>
        <v>Profit</v>
      </c>
      <c r="V1044" s="3" t="str">
        <f aca="false">IF(Q1044&lt;100,"Low",IF(Q1044&lt;=500,"Medium","High"))</f>
        <v>High</v>
      </c>
      <c r="W1044" s="3" t="n">
        <f aca="false">D1044-C1044</f>
        <v>4</v>
      </c>
      <c r="X1044" s="3" t="str">
        <f aca="false">TEXT(C1044,"mmmm")</f>
        <v>December</v>
      </c>
      <c r="Y1044" s="3" t="str">
        <f aca="false">LEFT(G1044,1)&amp;MID(G1044,FIND(" ",G1044)+1,1)</f>
        <v>DK</v>
      </c>
    </row>
    <row r="1045" customFormat="false" ht="15" hidden="false" customHeight="false" outlineLevel="0" collapsed="false">
      <c r="A1045" s="3" t="n">
        <v>1044</v>
      </c>
      <c r="B1045" s="3" t="s">
        <v>2543</v>
      </c>
      <c r="C1045" s="4" t="s">
        <v>2531</v>
      </c>
      <c r="D1045" s="4" t="s">
        <v>2540</v>
      </c>
      <c r="E1045" s="3" t="s">
        <v>28</v>
      </c>
      <c r="F1045" s="3" t="s">
        <v>217</v>
      </c>
      <c r="G1045" s="3" t="s">
        <v>218</v>
      </c>
      <c r="H1045" s="3" t="s">
        <v>56</v>
      </c>
      <c r="I1045" s="3" t="s">
        <v>32</v>
      </c>
      <c r="J1045" s="3" t="s">
        <v>120</v>
      </c>
      <c r="K1045" s="3" t="s">
        <v>113</v>
      </c>
      <c r="L1045" s="3" t="s">
        <v>69</v>
      </c>
      <c r="M1045" s="3" t="s">
        <v>60</v>
      </c>
      <c r="N1045" s="3" t="s">
        <v>49</v>
      </c>
      <c r="O1045" s="3" t="s">
        <v>61</v>
      </c>
      <c r="P1045" s="3" t="s">
        <v>62</v>
      </c>
      <c r="Q1045" s="5" t="n">
        <v>403.64</v>
      </c>
      <c r="R1045" s="3" t="n">
        <v>5</v>
      </c>
      <c r="S1045" s="6" t="n">
        <v>0.1</v>
      </c>
      <c r="T1045" s="5" t="n">
        <v>90.41</v>
      </c>
      <c r="U1045" s="3" t="str">
        <f aca="false">IF(T1045&lt;0,"Loss",IF(T1045=0,"Break-even","Profit"))</f>
        <v>Profit</v>
      </c>
      <c r="V1045" s="3" t="str">
        <f aca="false">IF(Q1045&lt;100,"Low",IF(Q1045&lt;=500,"Medium","High"))</f>
        <v>Medium</v>
      </c>
      <c r="W1045" s="3" t="n">
        <f aca="false">D1045-C1045</f>
        <v>3</v>
      </c>
      <c r="X1045" s="3" t="str">
        <f aca="false">TEXT(C1045,"mmmm")</f>
        <v>December</v>
      </c>
      <c r="Y1045" s="3" t="str">
        <f aca="false">LEFT(G1045,1)&amp;MID(G1045,FIND(" ",G1045)+1,1)</f>
        <v>SM</v>
      </c>
    </row>
    <row r="1046" customFormat="false" ht="15" hidden="false" customHeight="false" outlineLevel="0" collapsed="false">
      <c r="A1046" s="3" t="n">
        <v>1045</v>
      </c>
      <c r="B1046" s="3" t="s">
        <v>2544</v>
      </c>
      <c r="C1046" s="4" t="s">
        <v>2531</v>
      </c>
      <c r="D1046" s="4" t="s">
        <v>2545</v>
      </c>
      <c r="E1046" s="3" t="s">
        <v>28</v>
      </c>
      <c r="F1046" s="3" t="s">
        <v>1696</v>
      </c>
      <c r="G1046" s="3" t="s">
        <v>1697</v>
      </c>
      <c r="H1046" s="3" t="s">
        <v>56</v>
      </c>
      <c r="I1046" s="3" t="s">
        <v>32</v>
      </c>
      <c r="J1046" s="3" t="s">
        <v>365</v>
      </c>
      <c r="K1046" s="3" t="s">
        <v>366</v>
      </c>
      <c r="L1046" s="3" t="s">
        <v>157</v>
      </c>
      <c r="M1046" s="3" t="s">
        <v>149</v>
      </c>
      <c r="N1046" s="3" t="s">
        <v>49</v>
      </c>
      <c r="O1046" s="3" t="s">
        <v>150</v>
      </c>
      <c r="P1046" s="3" t="s">
        <v>151</v>
      </c>
      <c r="Q1046" s="5" t="n">
        <v>645.26</v>
      </c>
      <c r="R1046" s="3" t="n">
        <v>8</v>
      </c>
      <c r="S1046" s="6" t="n">
        <v>0</v>
      </c>
      <c r="T1046" s="5" t="n">
        <v>-88.18</v>
      </c>
      <c r="U1046" s="3" t="str">
        <f aca="false">IF(T1046&lt;0,"Loss",IF(T1046=0,"Break-even","Profit"))</f>
        <v>Loss</v>
      </c>
      <c r="V1046" s="3" t="str">
        <f aca="false">IF(Q1046&lt;100,"Low",IF(Q1046&lt;=500,"Medium","High"))</f>
        <v>High</v>
      </c>
      <c r="W1046" s="3" t="n">
        <f aca="false">D1046-C1046</f>
        <v>6</v>
      </c>
      <c r="X1046" s="3" t="str">
        <f aca="false">TEXT(C1046,"mmmm")</f>
        <v>December</v>
      </c>
      <c r="Y1046" s="3" t="str">
        <f aca="false">LEFT(G1046,1)&amp;MID(G1046,FIND(" ",G1046)+1,1)</f>
        <v>MT</v>
      </c>
    </row>
    <row r="1047" customFormat="false" ht="15" hidden="false" customHeight="false" outlineLevel="0" collapsed="false">
      <c r="A1047" s="3" t="n">
        <v>1046</v>
      </c>
      <c r="B1047" s="3" t="s">
        <v>2394</v>
      </c>
      <c r="C1047" s="4" t="s">
        <v>2531</v>
      </c>
      <c r="D1047" s="4" t="s">
        <v>2540</v>
      </c>
      <c r="E1047" s="3" t="s">
        <v>84</v>
      </c>
      <c r="F1047" s="3" t="s">
        <v>1239</v>
      </c>
      <c r="G1047" s="3" t="s">
        <v>1240</v>
      </c>
      <c r="H1047" s="3" t="s">
        <v>31</v>
      </c>
      <c r="I1047" s="3" t="s">
        <v>32</v>
      </c>
      <c r="J1047" s="3" t="s">
        <v>77</v>
      </c>
      <c r="K1047" s="3" t="s">
        <v>78</v>
      </c>
      <c r="L1047" s="3" t="s">
        <v>59</v>
      </c>
      <c r="M1047" s="3" t="s">
        <v>79</v>
      </c>
      <c r="N1047" s="3" t="s">
        <v>49</v>
      </c>
      <c r="O1047" s="3" t="s">
        <v>80</v>
      </c>
      <c r="P1047" s="3" t="s">
        <v>81</v>
      </c>
      <c r="Q1047" s="5" t="n">
        <v>240.74</v>
      </c>
      <c r="R1047" s="3" t="n">
        <v>9</v>
      </c>
      <c r="S1047" s="6" t="n">
        <v>0.1</v>
      </c>
      <c r="T1047" s="5" t="n">
        <v>10.97</v>
      </c>
      <c r="U1047" s="3" t="str">
        <f aca="false">IF(T1047&lt;0,"Loss",IF(T1047=0,"Break-even","Profit"))</f>
        <v>Profit</v>
      </c>
      <c r="V1047" s="3" t="str">
        <f aca="false">IF(Q1047&lt;100,"Low",IF(Q1047&lt;=500,"Medium","High"))</f>
        <v>Medium</v>
      </c>
      <c r="W1047" s="3" t="n">
        <f aca="false">D1047-C1047</f>
        <v>3</v>
      </c>
      <c r="X1047" s="3" t="str">
        <f aca="false">TEXT(C1047,"mmmm")</f>
        <v>December</v>
      </c>
      <c r="Y1047" s="3" t="str">
        <f aca="false">LEFT(G1047,1)&amp;MID(G1047,FIND(" ",G1047)+1,1)</f>
        <v>JK</v>
      </c>
    </row>
    <row r="1048" customFormat="false" ht="15" hidden="false" customHeight="false" outlineLevel="0" collapsed="false">
      <c r="A1048" s="3" t="n">
        <v>1047</v>
      </c>
      <c r="B1048" s="3" t="s">
        <v>2546</v>
      </c>
      <c r="C1048" s="4" t="s">
        <v>2531</v>
      </c>
      <c r="D1048" s="4" t="s">
        <v>2547</v>
      </c>
      <c r="E1048" s="3" t="s">
        <v>28</v>
      </c>
      <c r="F1048" s="3" t="s">
        <v>998</v>
      </c>
      <c r="G1048" s="3" t="s">
        <v>999</v>
      </c>
      <c r="H1048" s="3" t="s">
        <v>31</v>
      </c>
      <c r="I1048" s="3" t="s">
        <v>32</v>
      </c>
      <c r="J1048" s="3" t="s">
        <v>365</v>
      </c>
      <c r="K1048" s="3" t="s">
        <v>366</v>
      </c>
      <c r="L1048" s="3" t="s">
        <v>157</v>
      </c>
      <c r="M1048" s="3" t="s">
        <v>105</v>
      </c>
      <c r="N1048" s="3" t="s">
        <v>49</v>
      </c>
      <c r="O1048" s="3" t="s">
        <v>106</v>
      </c>
      <c r="P1048" s="3" t="s">
        <v>107</v>
      </c>
      <c r="Q1048" s="5" t="n">
        <v>89.08</v>
      </c>
      <c r="R1048" s="3" t="n">
        <v>2</v>
      </c>
      <c r="S1048" s="6" t="n">
        <v>0</v>
      </c>
      <c r="T1048" s="5" t="n">
        <v>-4.78</v>
      </c>
      <c r="U1048" s="3" t="str">
        <f aca="false">IF(T1048&lt;0,"Loss",IF(T1048=0,"Break-even","Profit"))</f>
        <v>Loss</v>
      </c>
      <c r="V1048" s="3" t="str">
        <f aca="false">IF(Q1048&lt;100,"Low",IF(Q1048&lt;=500,"Medium","High"))</f>
        <v>Low</v>
      </c>
      <c r="W1048" s="3" t="n">
        <f aca="false">D1048-C1048</f>
        <v>5</v>
      </c>
      <c r="X1048" s="3" t="str">
        <f aca="false">TEXT(C1048,"mmmm")</f>
        <v>December</v>
      </c>
      <c r="Y1048" s="3" t="str">
        <f aca="false">LEFT(G1048,1)&amp;MID(G1048,FIND(" ",G1048)+1,1)</f>
        <v>OM</v>
      </c>
    </row>
    <row r="1049" customFormat="false" ht="15" hidden="false" customHeight="false" outlineLevel="0" collapsed="false">
      <c r="A1049" s="3" t="n">
        <v>1048</v>
      </c>
      <c r="B1049" s="3" t="s">
        <v>2548</v>
      </c>
      <c r="C1049" s="4" t="s">
        <v>2535</v>
      </c>
      <c r="D1049" s="4" t="s">
        <v>2545</v>
      </c>
      <c r="E1049" s="3" t="s">
        <v>28</v>
      </c>
      <c r="F1049" s="3" t="s">
        <v>928</v>
      </c>
      <c r="G1049" s="3" t="s">
        <v>929</v>
      </c>
      <c r="H1049" s="3" t="s">
        <v>56</v>
      </c>
      <c r="I1049" s="3" t="s">
        <v>32</v>
      </c>
      <c r="J1049" s="3" t="s">
        <v>155</v>
      </c>
      <c r="K1049" s="3" t="s">
        <v>156</v>
      </c>
      <c r="L1049" s="3" t="s">
        <v>157</v>
      </c>
      <c r="M1049" s="3" t="s">
        <v>142</v>
      </c>
      <c r="N1049" s="3" t="s">
        <v>49</v>
      </c>
      <c r="O1049" s="3" t="s">
        <v>143</v>
      </c>
      <c r="P1049" s="3" t="s">
        <v>144</v>
      </c>
      <c r="Q1049" s="5" t="n">
        <v>26.54</v>
      </c>
      <c r="R1049" s="3" t="n">
        <v>13</v>
      </c>
      <c r="S1049" s="6" t="n">
        <v>0.2</v>
      </c>
      <c r="T1049" s="5" t="n">
        <v>3.91</v>
      </c>
      <c r="U1049" s="3" t="str">
        <f aca="false">IF(T1049&lt;0,"Loss",IF(T1049=0,"Break-even","Profit"))</f>
        <v>Profit</v>
      </c>
      <c r="V1049" s="3" t="str">
        <f aca="false">IF(Q1049&lt;100,"Low",IF(Q1049&lt;=500,"Medium","High"))</f>
        <v>Low</v>
      </c>
      <c r="W1049" s="3" t="n">
        <f aca="false">D1049-C1049</f>
        <v>4</v>
      </c>
      <c r="X1049" s="3" t="str">
        <f aca="false">TEXT(C1049,"mmmm")</f>
        <v>January</v>
      </c>
      <c r="Y1049" s="3" t="str">
        <f aca="false">LEFT(G1049,1)&amp;MID(G1049,FIND(" ",G1049)+1,1)</f>
        <v>RA</v>
      </c>
    </row>
    <row r="1050" customFormat="false" ht="15" hidden="false" customHeight="false" outlineLevel="0" collapsed="false">
      <c r="A1050" s="3" t="n">
        <v>1049</v>
      </c>
      <c r="B1050" s="3" t="s">
        <v>2549</v>
      </c>
      <c r="C1050" s="4" t="s">
        <v>2535</v>
      </c>
      <c r="D1050" s="4" t="s">
        <v>2550</v>
      </c>
      <c r="E1050" s="3" t="s">
        <v>28</v>
      </c>
      <c r="F1050" s="3" t="s">
        <v>1134</v>
      </c>
      <c r="G1050" s="3" t="s">
        <v>1135</v>
      </c>
      <c r="H1050" s="3" t="s">
        <v>45</v>
      </c>
      <c r="I1050" s="3" t="s">
        <v>32</v>
      </c>
      <c r="J1050" s="3" t="s">
        <v>873</v>
      </c>
      <c r="K1050" s="3" t="s">
        <v>387</v>
      </c>
      <c r="L1050" s="3" t="s">
        <v>35</v>
      </c>
      <c r="M1050" s="3" t="s">
        <v>470</v>
      </c>
      <c r="N1050" s="3" t="s">
        <v>49</v>
      </c>
      <c r="O1050" s="3" t="s">
        <v>159</v>
      </c>
      <c r="P1050" s="3" t="s">
        <v>471</v>
      </c>
      <c r="Q1050" s="5" t="n">
        <v>393.27</v>
      </c>
      <c r="R1050" s="3" t="n">
        <v>10</v>
      </c>
      <c r="S1050" s="6" t="n">
        <v>0</v>
      </c>
      <c r="T1050" s="5" t="n">
        <v>-40.23</v>
      </c>
      <c r="U1050" s="3" t="str">
        <f aca="false">IF(T1050&lt;0,"Loss",IF(T1050=0,"Break-even","Profit"))</f>
        <v>Loss</v>
      </c>
      <c r="V1050" s="3" t="str">
        <f aca="false">IF(Q1050&lt;100,"Low",IF(Q1050&lt;=500,"Medium","High"))</f>
        <v>Medium</v>
      </c>
      <c r="W1050" s="3" t="n">
        <f aca="false">D1050-C1050</f>
        <v>5</v>
      </c>
      <c r="X1050" s="3" t="str">
        <f aca="false">TEXT(C1050,"mmmm")</f>
        <v>January</v>
      </c>
      <c r="Y1050" s="3" t="str">
        <f aca="false">LEFT(G1050,1)&amp;MID(G1050,FIND(" ",G1050)+1,1)</f>
        <v>JM</v>
      </c>
    </row>
    <row r="1051" customFormat="false" ht="15" hidden="false" customHeight="false" outlineLevel="0" collapsed="false">
      <c r="A1051" s="3" t="n">
        <v>1050</v>
      </c>
      <c r="B1051" s="3" t="s">
        <v>2551</v>
      </c>
      <c r="C1051" s="4" t="s">
        <v>2540</v>
      </c>
      <c r="D1051" s="4" t="s">
        <v>2552</v>
      </c>
      <c r="E1051" s="3" t="s">
        <v>42</v>
      </c>
      <c r="F1051" s="3" t="s">
        <v>1554</v>
      </c>
      <c r="G1051" s="3" t="s">
        <v>1555</v>
      </c>
      <c r="H1051" s="3" t="s">
        <v>56</v>
      </c>
      <c r="I1051" s="3" t="s">
        <v>32</v>
      </c>
      <c r="J1051" s="3" t="s">
        <v>179</v>
      </c>
      <c r="K1051" s="3" t="s">
        <v>47</v>
      </c>
      <c r="L1051" s="3" t="s">
        <v>35</v>
      </c>
      <c r="M1051" s="3" t="s">
        <v>190</v>
      </c>
      <c r="N1051" s="3" t="s">
        <v>49</v>
      </c>
      <c r="O1051" s="3" t="s">
        <v>150</v>
      </c>
      <c r="P1051" s="3" t="s">
        <v>191</v>
      </c>
      <c r="Q1051" s="5" t="n">
        <v>980.25</v>
      </c>
      <c r="R1051" s="3" t="n">
        <v>12</v>
      </c>
      <c r="S1051" s="6" t="n">
        <v>0.5</v>
      </c>
      <c r="T1051" s="5" t="n">
        <v>-258.35</v>
      </c>
      <c r="U1051" s="3" t="str">
        <f aca="false">IF(T1051&lt;0,"Loss",IF(T1051=0,"Break-even","Profit"))</f>
        <v>Loss</v>
      </c>
      <c r="V1051" s="3" t="str">
        <f aca="false">IF(Q1051&lt;100,"Low",IF(Q1051&lt;=500,"Medium","High"))</f>
        <v>High</v>
      </c>
      <c r="W1051" s="3" t="n">
        <f aca="false">D1051-C1051</f>
        <v>1</v>
      </c>
      <c r="X1051" s="3" t="str">
        <f aca="false">TEXT(C1051,"mmmm")</f>
        <v>January</v>
      </c>
      <c r="Y1051" s="3" t="str">
        <f aca="false">LEFT(G1051,1)&amp;MID(G1051,FIND(" ",G1051)+1,1)</f>
        <v>LJ</v>
      </c>
    </row>
    <row r="1052" customFormat="false" ht="15" hidden="false" customHeight="false" outlineLevel="0" collapsed="false">
      <c r="A1052" s="3" t="n">
        <v>1051</v>
      </c>
      <c r="B1052" s="3" t="s">
        <v>2553</v>
      </c>
      <c r="C1052" s="4" t="s">
        <v>2540</v>
      </c>
      <c r="D1052" s="4" t="s">
        <v>2545</v>
      </c>
      <c r="E1052" s="3" t="s">
        <v>28</v>
      </c>
      <c r="F1052" s="3" t="s">
        <v>1639</v>
      </c>
      <c r="G1052" s="3" t="s">
        <v>1640</v>
      </c>
      <c r="H1052" s="3" t="s">
        <v>45</v>
      </c>
      <c r="I1052" s="3" t="s">
        <v>32</v>
      </c>
      <c r="J1052" s="3" t="s">
        <v>386</v>
      </c>
      <c r="K1052" s="3" t="s">
        <v>387</v>
      </c>
      <c r="L1052" s="3" t="s">
        <v>35</v>
      </c>
      <c r="M1052" s="3" t="s">
        <v>142</v>
      </c>
      <c r="N1052" s="3" t="s">
        <v>49</v>
      </c>
      <c r="O1052" s="3" t="s">
        <v>143</v>
      </c>
      <c r="P1052" s="3" t="s">
        <v>144</v>
      </c>
      <c r="Q1052" s="5" t="n">
        <v>88.96</v>
      </c>
      <c r="R1052" s="3" t="n">
        <v>9</v>
      </c>
      <c r="S1052" s="6" t="n">
        <v>0</v>
      </c>
      <c r="T1052" s="5" t="n">
        <v>-0.18</v>
      </c>
      <c r="U1052" s="3" t="str">
        <f aca="false">IF(T1052&lt;0,"Loss",IF(T1052=0,"Break-even","Profit"))</f>
        <v>Loss</v>
      </c>
      <c r="V1052" s="3" t="str">
        <f aca="false">IF(Q1052&lt;100,"Low",IF(Q1052&lt;=500,"Medium","High"))</f>
        <v>Low</v>
      </c>
      <c r="W1052" s="3" t="n">
        <f aca="false">D1052-C1052</f>
        <v>3</v>
      </c>
      <c r="X1052" s="3" t="str">
        <f aca="false">TEXT(C1052,"mmmm")</f>
        <v>January</v>
      </c>
      <c r="Y1052" s="3" t="str">
        <f aca="false">LEFT(G1052,1)&amp;MID(G1052,FIND(" ",G1052)+1,1)</f>
        <v>FN</v>
      </c>
    </row>
    <row r="1053" customFormat="false" ht="15" hidden="false" customHeight="false" outlineLevel="0" collapsed="false">
      <c r="A1053" s="3" t="n">
        <v>1052</v>
      </c>
      <c r="B1053" s="3" t="s">
        <v>2554</v>
      </c>
      <c r="C1053" s="4" t="s">
        <v>2540</v>
      </c>
      <c r="D1053" s="4" t="s">
        <v>2550</v>
      </c>
      <c r="E1053" s="3" t="s">
        <v>28</v>
      </c>
      <c r="F1053" s="3" t="s">
        <v>1689</v>
      </c>
      <c r="G1053" s="3" t="s">
        <v>1690</v>
      </c>
      <c r="H1053" s="3" t="s">
        <v>56</v>
      </c>
      <c r="I1053" s="3" t="s">
        <v>32</v>
      </c>
      <c r="J1053" s="3" t="s">
        <v>77</v>
      </c>
      <c r="K1053" s="3" t="s">
        <v>78</v>
      </c>
      <c r="L1053" s="3" t="s">
        <v>59</v>
      </c>
      <c r="M1053" s="3" t="s">
        <v>127</v>
      </c>
      <c r="N1053" s="3" t="s">
        <v>49</v>
      </c>
      <c r="O1053" s="3" t="s">
        <v>61</v>
      </c>
      <c r="P1053" s="3" t="s">
        <v>128</v>
      </c>
      <c r="Q1053" s="5" t="n">
        <v>46.49</v>
      </c>
      <c r="R1053" s="3" t="n">
        <v>14</v>
      </c>
      <c r="S1053" s="6" t="n">
        <v>0</v>
      </c>
      <c r="T1053" s="5" t="n">
        <v>6.33</v>
      </c>
      <c r="U1053" s="3" t="str">
        <f aca="false">IF(T1053&lt;0,"Loss",IF(T1053=0,"Break-even","Profit"))</f>
        <v>Profit</v>
      </c>
      <c r="V1053" s="3" t="str">
        <f aca="false">IF(Q1053&lt;100,"Low",IF(Q1053&lt;=500,"Medium","High"))</f>
        <v>Low</v>
      </c>
      <c r="W1053" s="3" t="n">
        <f aca="false">D1053-C1053</f>
        <v>4</v>
      </c>
      <c r="X1053" s="3" t="str">
        <f aca="false">TEXT(C1053,"mmmm")</f>
        <v>January</v>
      </c>
      <c r="Y1053" s="3" t="str">
        <f aca="false">LEFT(G1053,1)&amp;MID(G1053,FIND(" ",G1053)+1,1)</f>
        <v>CK</v>
      </c>
    </row>
    <row r="1054" customFormat="false" ht="15" hidden="false" customHeight="false" outlineLevel="0" collapsed="false">
      <c r="A1054" s="3" t="n">
        <v>1053</v>
      </c>
      <c r="B1054" s="3" t="s">
        <v>2555</v>
      </c>
      <c r="C1054" s="4" t="s">
        <v>2552</v>
      </c>
      <c r="D1054" s="4" t="s">
        <v>2556</v>
      </c>
      <c r="E1054" s="3" t="s">
        <v>28</v>
      </c>
      <c r="F1054" s="3" t="s">
        <v>1833</v>
      </c>
      <c r="G1054" s="3" t="s">
        <v>1834</v>
      </c>
      <c r="H1054" s="3" t="s">
        <v>56</v>
      </c>
      <c r="I1054" s="3" t="s">
        <v>32</v>
      </c>
      <c r="J1054" s="3" t="s">
        <v>415</v>
      </c>
      <c r="K1054" s="3" t="s">
        <v>202</v>
      </c>
      <c r="L1054" s="3" t="s">
        <v>35</v>
      </c>
      <c r="M1054" s="3" t="s">
        <v>316</v>
      </c>
      <c r="N1054" s="3" t="s">
        <v>49</v>
      </c>
      <c r="O1054" s="3" t="s">
        <v>143</v>
      </c>
      <c r="P1054" s="3" t="s">
        <v>317</v>
      </c>
      <c r="Q1054" s="5" t="n">
        <v>688.43</v>
      </c>
      <c r="R1054" s="3" t="n">
        <v>10</v>
      </c>
      <c r="S1054" s="6" t="n">
        <v>0.2</v>
      </c>
      <c r="T1054" s="5" t="n">
        <v>-123.72</v>
      </c>
      <c r="U1054" s="3" t="str">
        <f aca="false">IF(T1054&lt;0,"Loss",IF(T1054=0,"Break-even","Profit"))</f>
        <v>Loss</v>
      </c>
      <c r="V1054" s="3" t="str">
        <f aca="false">IF(Q1054&lt;100,"Low",IF(Q1054&lt;=500,"Medium","High"))</f>
        <v>High</v>
      </c>
      <c r="W1054" s="3" t="n">
        <f aca="false">D1054-C1054</f>
        <v>6</v>
      </c>
      <c r="X1054" s="3" t="str">
        <f aca="false">TEXT(C1054,"mmmm")</f>
        <v>January</v>
      </c>
      <c r="Y1054" s="3" t="str">
        <f aca="false">LEFT(G1054,1)&amp;MID(G1054,FIND(" ",G1054)+1,1)</f>
        <v>LS</v>
      </c>
    </row>
    <row r="1055" customFormat="false" ht="15" hidden="false" customHeight="false" outlineLevel="0" collapsed="false">
      <c r="A1055" s="3" t="n">
        <v>1054</v>
      </c>
      <c r="B1055" s="3" t="s">
        <v>2557</v>
      </c>
      <c r="C1055" s="4" t="s">
        <v>2552</v>
      </c>
      <c r="D1055" s="4" t="s">
        <v>2558</v>
      </c>
      <c r="E1055" s="3" t="s">
        <v>28</v>
      </c>
      <c r="F1055" s="3" t="s">
        <v>532</v>
      </c>
      <c r="G1055" s="3" t="s">
        <v>533</v>
      </c>
      <c r="H1055" s="3" t="s">
        <v>45</v>
      </c>
      <c r="I1055" s="3" t="s">
        <v>32</v>
      </c>
      <c r="J1055" s="3" t="s">
        <v>77</v>
      </c>
      <c r="K1055" s="3" t="s">
        <v>78</v>
      </c>
      <c r="L1055" s="3" t="s">
        <v>59</v>
      </c>
      <c r="M1055" s="3" t="s">
        <v>461</v>
      </c>
      <c r="N1055" s="3" t="s">
        <v>37</v>
      </c>
      <c r="O1055" s="3" t="s">
        <v>71</v>
      </c>
      <c r="P1055" s="3" t="s">
        <v>462</v>
      </c>
      <c r="Q1055" s="5" t="n">
        <v>10363.16</v>
      </c>
      <c r="R1055" s="3" t="n">
        <v>8</v>
      </c>
      <c r="S1055" s="6" t="n">
        <v>0</v>
      </c>
      <c r="T1055" s="5" t="n">
        <v>-771.71</v>
      </c>
      <c r="U1055" s="3" t="str">
        <f aca="false">IF(T1055&lt;0,"Loss",IF(T1055=0,"Break-even","Profit"))</f>
        <v>Loss</v>
      </c>
      <c r="V1055" s="3" t="str">
        <f aca="false">IF(Q1055&lt;100,"Low",IF(Q1055&lt;=500,"Medium","High"))</f>
        <v>High</v>
      </c>
      <c r="W1055" s="3" t="n">
        <f aca="false">D1055-C1055</f>
        <v>4</v>
      </c>
      <c r="X1055" s="3" t="str">
        <f aca="false">TEXT(C1055,"mmmm")</f>
        <v>January</v>
      </c>
      <c r="Y1055" s="3" t="str">
        <f aca="false">LEFT(G1055,1)&amp;MID(G1055,FIND(" ",G1055)+1,1)</f>
        <v>AN</v>
      </c>
    </row>
    <row r="1056" customFormat="false" ht="15" hidden="false" customHeight="false" outlineLevel="0" collapsed="false">
      <c r="A1056" s="3" t="n">
        <v>1055</v>
      </c>
      <c r="B1056" s="3" t="s">
        <v>2559</v>
      </c>
      <c r="C1056" s="4" t="s">
        <v>2547</v>
      </c>
      <c r="D1056" s="4" t="s">
        <v>2545</v>
      </c>
      <c r="E1056" s="3" t="s">
        <v>42</v>
      </c>
      <c r="F1056" s="3" t="s">
        <v>1112</v>
      </c>
      <c r="G1056" s="3" t="s">
        <v>1113</v>
      </c>
      <c r="H1056" s="3" t="s">
        <v>56</v>
      </c>
      <c r="I1056" s="3" t="s">
        <v>32</v>
      </c>
      <c r="J1056" s="3" t="s">
        <v>112</v>
      </c>
      <c r="K1056" s="3" t="s">
        <v>113</v>
      </c>
      <c r="L1056" s="3" t="s">
        <v>69</v>
      </c>
      <c r="M1056" s="3" t="s">
        <v>127</v>
      </c>
      <c r="N1056" s="3" t="s">
        <v>49</v>
      </c>
      <c r="O1056" s="3" t="s">
        <v>61</v>
      </c>
      <c r="P1056" s="3" t="s">
        <v>128</v>
      </c>
      <c r="Q1056" s="5" t="n">
        <v>564.26</v>
      </c>
      <c r="R1056" s="3" t="n">
        <v>10</v>
      </c>
      <c r="S1056" s="6" t="n">
        <v>0.4</v>
      </c>
      <c r="T1056" s="5" t="n">
        <v>-118</v>
      </c>
      <c r="U1056" s="3" t="str">
        <f aca="false">IF(T1056&lt;0,"Loss",IF(T1056=0,"Break-even","Profit"))</f>
        <v>Loss</v>
      </c>
      <c r="V1056" s="3" t="str">
        <f aca="false">IF(Q1056&lt;100,"Low",IF(Q1056&lt;=500,"Medium","High"))</f>
        <v>High</v>
      </c>
      <c r="W1056" s="3" t="n">
        <f aca="false">D1056-C1056</f>
        <v>1</v>
      </c>
      <c r="X1056" s="3" t="str">
        <f aca="false">TEXT(C1056,"mmmm")</f>
        <v>January</v>
      </c>
      <c r="Y1056" s="3" t="str">
        <f aca="false">LEFT(G1056,1)&amp;MID(G1056,FIND(" ",G1056)+1,1)</f>
        <v>MD</v>
      </c>
    </row>
    <row r="1057" customFormat="false" ht="15" hidden="false" customHeight="false" outlineLevel="0" collapsed="false">
      <c r="A1057" s="3" t="n">
        <v>1056</v>
      </c>
      <c r="B1057" s="3" t="s">
        <v>2560</v>
      </c>
      <c r="C1057" s="4" t="s">
        <v>2547</v>
      </c>
      <c r="D1057" s="4" t="s">
        <v>2558</v>
      </c>
      <c r="E1057" s="3" t="s">
        <v>84</v>
      </c>
      <c r="F1057" s="3" t="s">
        <v>486</v>
      </c>
      <c r="G1057" s="3" t="s">
        <v>487</v>
      </c>
      <c r="H1057" s="3" t="s">
        <v>56</v>
      </c>
      <c r="I1057" s="3" t="s">
        <v>32</v>
      </c>
      <c r="J1057" s="3" t="s">
        <v>112</v>
      </c>
      <c r="K1057" s="3" t="s">
        <v>113</v>
      </c>
      <c r="L1057" s="3" t="s">
        <v>69</v>
      </c>
      <c r="M1057" s="3" t="s">
        <v>559</v>
      </c>
      <c r="N1057" s="3" t="s">
        <v>37</v>
      </c>
      <c r="O1057" s="3" t="s">
        <v>38</v>
      </c>
      <c r="P1057" s="3" t="s">
        <v>560</v>
      </c>
      <c r="Q1057" s="5" t="n">
        <v>520.56</v>
      </c>
      <c r="R1057" s="3" t="n">
        <v>2</v>
      </c>
      <c r="S1057" s="6" t="n">
        <v>0.2</v>
      </c>
      <c r="T1057" s="5" t="n">
        <v>-117.49</v>
      </c>
      <c r="U1057" s="3" t="str">
        <f aca="false">IF(T1057&lt;0,"Loss",IF(T1057=0,"Break-even","Profit"))</f>
        <v>Loss</v>
      </c>
      <c r="V1057" s="3" t="str">
        <f aca="false">IF(Q1057&lt;100,"Low",IF(Q1057&lt;=500,"Medium","High"))</f>
        <v>High</v>
      </c>
      <c r="W1057" s="3" t="n">
        <f aca="false">D1057-C1057</f>
        <v>3</v>
      </c>
      <c r="X1057" s="3" t="str">
        <f aca="false">TEXT(C1057,"mmmm")</f>
        <v>January</v>
      </c>
      <c r="Y1057" s="3" t="str">
        <f aca="false">LEFT(G1057,1)&amp;MID(G1057,FIND(" ",G1057)+1,1)</f>
        <v>JB</v>
      </c>
    </row>
    <row r="1058" customFormat="false" ht="15" hidden="false" customHeight="false" outlineLevel="0" collapsed="false">
      <c r="A1058" s="3" t="n">
        <v>1057</v>
      </c>
      <c r="B1058" s="3" t="s">
        <v>2561</v>
      </c>
      <c r="C1058" s="4" t="s">
        <v>2547</v>
      </c>
      <c r="D1058" s="4" t="s">
        <v>2550</v>
      </c>
      <c r="E1058" s="3" t="s">
        <v>42</v>
      </c>
      <c r="F1058" s="3" t="s">
        <v>949</v>
      </c>
      <c r="G1058" s="3" t="s">
        <v>950</v>
      </c>
      <c r="H1058" s="3" t="s">
        <v>56</v>
      </c>
      <c r="I1058" s="3" t="s">
        <v>32</v>
      </c>
      <c r="J1058" s="3" t="s">
        <v>365</v>
      </c>
      <c r="K1058" s="3" t="s">
        <v>366</v>
      </c>
      <c r="L1058" s="3" t="s">
        <v>157</v>
      </c>
      <c r="M1058" s="3" t="s">
        <v>48</v>
      </c>
      <c r="N1058" s="3" t="s">
        <v>49</v>
      </c>
      <c r="O1058" s="3" t="s">
        <v>50</v>
      </c>
      <c r="P1058" s="3" t="s">
        <v>51</v>
      </c>
      <c r="Q1058" s="5" t="n">
        <v>470.95</v>
      </c>
      <c r="R1058" s="3" t="n">
        <v>12</v>
      </c>
      <c r="S1058" s="6" t="n">
        <v>0.3</v>
      </c>
      <c r="T1058" s="5" t="n">
        <v>96.07</v>
      </c>
      <c r="U1058" s="3" t="str">
        <f aca="false">IF(T1058&lt;0,"Loss",IF(T1058=0,"Break-even","Profit"))</f>
        <v>Profit</v>
      </c>
      <c r="V1058" s="3" t="str">
        <f aca="false">IF(Q1058&lt;100,"Low",IF(Q1058&lt;=500,"Medium","High"))</f>
        <v>Medium</v>
      </c>
      <c r="W1058" s="3" t="n">
        <f aca="false">D1058-C1058</f>
        <v>2</v>
      </c>
      <c r="X1058" s="3" t="str">
        <f aca="false">TEXT(C1058,"mmmm")</f>
        <v>January</v>
      </c>
      <c r="Y1058" s="3" t="str">
        <f aca="false">LEFT(G1058,1)&amp;MID(G1058,FIND(" ",G1058)+1,1)</f>
        <v>FK</v>
      </c>
    </row>
    <row r="1059" customFormat="false" ht="15" hidden="false" customHeight="false" outlineLevel="0" collapsed="false">
      <c r="A1059" s="3" t="n">
        <v>1058</v>
      </c>
      <c r="B1059" s="3" t="s">
        <v>2562</v>
      </c>
      <c r="C1059" s="4" t="s">
        <v>2545</v>
      </c>
      <c r="D1059" s="4" t="s">
        <v>2563</v>
      </c>
      <c r="E1059" s="3" t="s">
        <v>84</v>
      </c>
      <c r="F1059" s="3" t="s">
        <v>934</v>
      </c>
      <c r="G1059" s="3" t="s">
        <v>935</v>
      </c>
      <c r="H1059" s="3" t="s">
        <v>45</v>
      </c>
      <c r="I1059" s="3" t="s">
        <v>32</v>
      </c>
      <c r="J1059" s="3" t="s">
        <v>120</v>
      </c>
      <c r="K1059" s="3" t="s">
        <v>113</v>
      </c>
      <c r="L1059" s="3" t="s">
        <v>69</v>
      </c>
      <c r="M1059" s="3" t="s">
        <v>322</v>
      </c>
      <c r="N1059" s="3" t="s">
        <v>89</v>
      </c>
      <c r="O1059" s="3" t="s">
        <v>323</v>
      </c>
      <c r="P1059" s="3" t="s">
        <v>324</v>
      </c>
      <c r="Q1059" s="5" t="n">
        <v>7193.58</v>
      </c>
      <c r="R1059" s="3" t="n">
        <v>12</v>
      </c>
      <c r="S1059" s="6" t="n">
        <v>0</v>
      </c>
      <c r="T1059" s="5" t="n">
        <v>509.59</v>
      </c>
      <c r="U1059" s="3" t="str">
        <f aca="false">IF(T1059&lt;0,"Loss",IF(T1059=0,"Break-even","Profit"))</f>
        <v>Profit</v>
      </c>
      <c r="V1059" s="3" t="str">
        <f aca="false">IF(Q1059&lt;100,"Low",IF(Q1059&lt;=500,"Medium","High"))</f>
        <v>High</v>
      </c>
      <c r="W1059" s="3" t="n">
        <f aca="false">D1059-C1059</f>
        <v>3</v>
      </c>
      <c r="X1059" s="3" t="str">
        <f aca="false">TEXT(C1059,"mmmm")</f>
        <v>January</v>
      </c>
      <c r="Y1059" s="3" t="str">
        <f aca="false">LEFT(G1059,1)&amp;MID(G1059,FIND(" ",G1059)+1,1)</f>
        <v>PN</v>
      </c>
    </row>
    <row r="1060" customFormat="false" ht="15" hidden="false" customHeight="false" outlineLevel="0" collapsed="false">
      <c r="A1060" s="3" t="n">
        <v>1059</v>
      </c>
      <c r="B1060" s="3" t="s">
        <v>2564</v>
      </c>
      <c r="C1060" s="4" t="s">
        <v>2545</v>
      </c>
      <c r="D1060" s="4" t="s">
        <v>2565</v>
      </c>
      <c r="E1060" s="3" t="s">
        <v>28</v>
      </c>
      <c r="F1060" s="3" t="s">
        <v>1221</v>
      </c>
      <c r="G1060" s="3" t="s">
        <v>1222</v>
      </c>
      <c r="H1060" s="3" t="s">
        <v>56</v>
      </c>
      <c r="I1060" s="3" t="s">
        <v>32</v>
      </c>
      <c r="J1060" s="3" t="s">
        <v>104</v>
      </c>
      <c r="K1060" s="3" t="s">
        <v>96</v>
      </c>
      <c r="L1060" s="3" t="s">
        <v>59</v>
      </c>
      <c r="M1060" s="3" t="s">
        <v>195</v>
      </c>
      <c r="N1060" s="3" t="s">
        <v>37</v>
      </c>
      <c r="O1060" s="3" t="s">
        <v>196</v>
      </c>
      <c r="P1060" s="3" t="s">
        <v>197</v>
      </c>
      <c r="Q1060" s="5" t="n">
        <v>1417.82</v>
      </c>
      <c r="R1060" s="3" t="n">
        <v>1</v>
      </c>
      <c r="S1060" s="6" t="n">
        <v>0.5</v>
      </c>
      <c r="T1060" s="5" t="n">
        <v>-306.91</v>
      </c>
      <c r="U1060" s="3" t="str">
        <f aca="false">IF(T1060&lt;0,"Loss",IF(T1060=0,"Break-even","Profit"))</f>
        <v>Loss</v>
      </c>
      <c r="V1060" s="3" t="str">
        <f aca="false">IF(Q1060&lt;100,"Low",IF(Q1060&lt;=500,"Medium","High"))</f>
        <v>High</v>
      </c>
      <c r="W1060" s="3" t="n">
        <f aca="false">D1060-C1060</f>
        <v>7</v>
      </c>
      <c r="X1060" s="3" t="str">
        <f aca="false">TEXT(C1060,"mmmm")</f>
        <v>January</v>
      </c>
      <c r="Y1060" s="3" t="str">
        <f aca="false">LEFT(G1060,1)&amp;MID(G1060,FIND(" ",G1060)+1,1)</f>
        <v>MD</v>
      </c>
    </row>
    <row r="1061" customFormat="false" ht="15" hidden="false" customHeight="false" outlineLevel="0" collapsed="false">
      <c r="A1061" s="3" t="n">
        <v>1060</v>
      </c>
      <c r="B1061" s="3" t="s">
        <v>2566</v>
      </c>
      <c r="C1061" s="4" t="s">
        <v>2550</v>
      </c>
      <c r="D1061" s="4" t="s">
        <v>2567</v>
      </c>
      <c r="E1061" s="3" t="s">
        <v>84</v>
      </c>
      <c r="F1061" s="3" t="s">
        <v>1481</v>
      </c>
      <c r="G1061" s="3" t="s">
        <v>1482</v>
      </c>
      <c r="H1061" s="3" t="s">
        <v>56</v>
      </c>
      <c r="I1061" s="3" t="s">
        <v>32</v>
      </c>
      <c r="J1061" s="3" t="s">
        <v>87</v>
      </c>
      <c r="K1061" s="3" t="s">
        <v>68</v>
      </c>
      <c r="L1061" s="3" t="s">
        <v>69</v>
      </c>
      <c r="M1061" s="3" t="s">
        <v>219</v>
      </c>
      <c r="N1061" s="3" t="s">
        <v>49</v>
      </c>
      <c r="O1061" s="3" t="s">
        <v>220</v>
      </c>
      <c r="P1061" s="3" t="s">
        <v>221</v>
      </c>
      <c r="Q1061" s="5" t="n">
        <v>1225.5</v>
      </c>
      <c r="R1061" s="3" t="n">
        <v>13</v>
      </c>
      <c r="S1061" s="6" t="n">
        <v>0</v>
      </c>
      <c r="T1061" s="5" t="n">
        <v>86.11</v>
      </c>
      <c r="U1061" s="3" t="str">
        <f aca="false">IF(T1061&lt;0,"Loss",IF(T1061=0,"Break-even","Profit"))</f>
        <v>Profit</v>
      </c>
      <c r="V1061" s="3" t="str">
        <f aca="false">IF(Q1061&lt;100,"Low",IF(Q1061&lt;=500,"Medium","High"))</f>
        <v>High</v>
      </c>
      <c r="W1061" s="3" t="n">
        <f aca="false">D1061-C1061</f>
        <v>4</v>
      </c>
      <c r="X1061" s="3" t="str">
        <f aca="false">TEXT(C1061,"mmmm")</f>
        <v>January</v>
      </c>
      <c r="Y1061" s="3" t="str">
        <f aca="false">LEFT(G1061,1)&amp;MID(G1061,FIND(" ",G1061)+1,1)</f>
        <v>OJ</v>
      </c>
    </row>
    <row r="1062" customFormat="false" ht="15" hidden="false" customHeight="false" outlineLevel="0" collapsed="false">
      <c r="A1062" s="3" t="n">
        <v>1061</v>
      </c>
      <c r="B1062" s="3" t="s">
        <v>2568</v>
      </c>
      <c r="C1062" s="4" t="s">
        <v>2558</v>
      </c>
      <c r="D1062" s="4" t="s">
        <v>2569</v>
      </c>
      <c r="E1062" s="3" t="s">
        <v>28</v>
      </c>
      <c r="F1062" s="3" t="s">
        <v>1645</v>
      </c>
      <c r="G1062" s="3" t="s">
        <v>1646</v>
      </c>
      <c r="H1062" s="3" t="s">
        <v>45</v>
      </c>
      <c r="I1062" s="3" t="s">
        <v>32</v>
      </c>
      <c r="J1062" s="3" t="s">
        <v>381</v>
      </c>
      <c r="K1062" s="3" t="s">
        <v>58</v>
      </c>
      <c r="L1062" s="3" t="s">
        <v>59</v>
      </c>
      <c r="M1062" s="3" t="s">
        <v>225</v>
      </c>
      <c r="N1062" s="3" t="s">
        <v>37</v>
      </c>
      <c r="O1062" s="3" t="s">
        <v>196</v>
      </c>
      <c r="P1062" s="3" t="s">
        <v>226</v>
      </c>
      <c r="Q1062" s="5" t="n">
        <v>15784.8</v>
      </c>
      <c r="R1062" s="3" t="n">
        <v>10</v>
      </c>
      <c r="S1062" s="6" t="n">
        <v>0.4</v>
      </c>
      <c r="T1062" s="5" t="n">
        <v>3607.92</v>
      </c>
      <c r="U1062" s="3" t="str">
        <f aca="false">IF(T1062&lt;0,"Loss",IF(T1062=0,"Break-even","Profit"))</f>
        <v>Profit</v>
      </c>
      <c r="V1062" s="3" t="str">
        <f aca="false">IF(Q1062&lt;100,"Low",IF(Q1062&lt;=500,"Medium","High"))</f>
        <v>High</v>
      </c>
      <c r="W1062" s="3" t="n">
        <f aca="false">D1062-C1062</f>
        <v>4</v>
      </c>
      <c r="X1062" s="3" t="str">
        <f aca="false">TEXT(C1062,"mmmm")</f>
        <v>January</v>
      </c>
      <c r="Y1062" s="3" t="str">
        <f aca="false">LEFT(G1062,1)&amp;MID(G1062,FIND(" ",G1062)+1,1)</f>
        <v>CM</v>
      </c>
    </row>
    <row r="1063" customFormat="false" ht="15" hidden="false" customHeight="false" outlineLevel="0" collapsed="false">
      <c r="A1063" s="3" t="n">
        <v>1062</v>
      </c>
      <c r="B1063" s="3" t="s">
        <v>2570</v>
      </c>
      <c r="C1063" s="4" t="s">
        <v>2563</v>
      </c>
      <c r="D1063" s="4" t="s">
        <v>2571</v>
      </c>
      <c r="E1063" s="3" t="s">
        <v>28</v>
      </c>
      <c r="F1063" s="3" t="s">
        <v>1306</v>
      </c>
      <c r="G1063" s="3" t="s">
        <v>1307</v>
      </c>
      <c r="H1063" s="3" t="s">
        <v>45</v>
      </c>
      <c r="I1063" s="3" t="s">
        <v>32</v>
      </c>
      <c r="J1063" s="3" t="s">
        <v>33</v>
      </c>
      <c r="K1063" s="3" t="s">
        <v>34</v>
      </c>
      <c r="L1063" s="3" t="s">
        <v>35</v>
      </c>
      <c r="M1063" s="3" t="s">
        <v>190</v>
      </c>
      <c r="N1063" s="3" t="s">
        <v>49</v>
      </c>
      <c r="O1063" s="3" t="s">
        <v>150</v>
      </c>
      <c r="P1063" s="3" t="s">
        <v>191</v>
      </c>
      <c r="Q1063" s="5" t="n">
        <v>155.42</v>
      </c>
      <c r="R1063" s="3" t="n">
        <v>12</v>
      </c>
      <c r="S1063" s="6" t="n">
        <v>0.3</v>
      </c>
      <c r="T1063" s="5" t="n">
        <v>-35.74</v>
      </c>
      <c r="U1063" s="3" t="str">
        <f aca="false">IF(T1063&lt;0,"Loss",IF(T1063=0,"Break-even","Profit"))</f>
        <v>Loss</v>
      </c>
      <c r="V1063" s="3" t="str">
        <f aca="false">IF(Q1063&lt;100,"Low",IF(Q1063&lt;=500,"Medium","High"))</f>
        <v>Medium</v>
      </c>
      <c r="W1063" s="3" t="n">
        <f aca="false">D1063-C1063</f>
        <v>6</v>
      </c>
      <c r="X1063" s="3" t="str">
        <f aca="false">TEXT(C1063,"mmmm")</f>
        <v>January</v>
      </c>
      <c r="Y1063" s="3" t="str">
        <f aca="false">LEFT(G1063,1)&amp;MID(G1063,FIND(" ",G1063)+1,1)</f>
        <v>PD</v>
      </c>
    </row>
    <row r="1064" customFormat="false" ht="15" hidden="false" customHeight="false" outlineLevel="0" collapsed="false">
      <c r="A1064" s="3" t="n">
        <v>1063</v>
      </c>
      <c r="B1064" s="3" t="s">
        <v>2572</v>
      </c>
      <c r="C1064" s="4" t="s">
        <v>2556</v>
      </c>
      <c r="D1064" s="4" t="s">
        <v>2569</v>
      </c>
      <c r="E1064" s="3" t="s">
        <v>84</v>
      </c>
      <c r="F1064" s="3" t="s">
        <v>1863</v>
      </c>
      <c r="G1064" s="3" t="s">
        <v>1864</v>
      </c>
      <c r="H1064" s="3" t="s">
        <v>56</v>
      </c>
      <c r="I1064" s="3" t="s">
        <v>32</v>
      </c>
      <c r="J1064" s="3" t="s">
        <v>381</v>
      </c>
      <c r="K1064" s="3" t="s">
        <v>58</v>
      </c>
      <c r="L1064" s="3" t="s">
        <v>59</v>
      </c>
      <c r="M1064" s="3" t="s">
        <v>121</v>
      </c>
      <c r="N1064" s="3" t="s">
        <v>49</v>
      </c>
      <c r="O1064" s="3" t="s">
        <v>50</v>
      </c>
      <c r="P1064" s="3" t="s">
        <v>122</v>
      </c>
      <c r="Q1064" s="5" t="n">
        <v>1313.49</v>
      </c>
      <c r="R1064" s="3" t="n">
        <v>14</v>
      </c>
      <c r="S1064" s="6" t="n">
        <v>0.3</v>
      </c>
      <c r="T1064" s="5" t="n">
        <v>332.9</v>
      </c>
      <c r="U1064" s="3" t="str">
        <f aca="false">IF(T1064&lt;0,"Loss",IF(T1064=0,"Break-even","Profit"))</f>
        <v>Profit</v>
      </c>
      <c r="V1064" s="3" t="str">
        <f aca="false">IF(Q1064&lt;100,"Low",IF(Q1064&lt;=500,"Medium","High"))</f>
        <v>High</v>
      </c>
      <c r="W1064" s="3" t="n">
        <f aca="false">D1064-C1064</f>
        <v>2</v>
      </c>
      <c r="X1064" s="3" t="str">
        <f aca="false">TEXT(C1064,"mmmm")</f>
        <v>January</v>
      </c>
      <c r="Y1064" s="3" t="str">
        <f aca="false">LEFT(G1064,1)&amp;MID(G1064,FIND(" ",G1064)+1,1)</f>
        <v>AM</v>
      </c>
    </row>
    <row r="1065" customFormat="false" ht="15" hidden="false" customHeight="false" outlineLevel="0" collapsed="false">
      <c r="A1065" s="3" t="n">
        <v>1064</v>
      </c>
      <c r="B1065" s="3" t="s">
        <v>2573</v>
      </c>
      <c r="C1065" s="4" t="s">
        <v>2556</v>
      </c>
      <c r="D1065" s="4" t="s">
        <v>2574</v>
      </c>
      <c r="E1065" s="3" t="s">
        <v>28</v>
      </c>
      <c r="F1065" s="3" t="s">
        <v>372</v>
      </c>
      <c r="G1065" s="3" t="s">
        <v>373</v>
      </c>
      <c r="H1065" s="3" t="s">
        <v>56</v>
      </c>
      <c r="I1065" s="3" t="s">
        <v>32</v>
      </c>
      <c r="J1065" s="3" t="s">
        <v>57</v>
      </c>
      <c r="K1065" s="3" t="s">
        <v>58</v>
      </c>
      <c r="L1065" s="3" t="s">
        <v>59</v>
      </c>
      <c r="M1065" s="3" t="s">
        <v>259</v>
      </c>
      <c r="N1065" s="3" t="s">
        <v>89</v>
      </c>
      <c r="O1065" s="3" t="s">
        <v>174</v>
      </c>
      <c r="P1065" s="3" t="s">
        <v>260</v>
      </c>
      <c r="Q1065" s="5" t="n">
        <v>5418.38</v>
      </c>
      <c r="R1065" s="3" t="n">
        <v>11</v>
      </c>
      <c r="S1065" s="6" t="n">
        <v>0</v>
      </c>
      <c r="T1065" s="5" t="n">
        <v>-497.32</v>
      </c>
      <c r="U1065" s="3" t="str">
        <f aca="false">IF(T1065&lt;0,"Loss",IF(T1065=0,"Break-even","Profit"))</f>
        <v>Loss</v>
      </c>
      <c r="V1065" s="3" t="str">
        <f aca="false">IF(Q1065&lt;100,"Low",IF(Q1065&lt;=500,"Medium","High"))</f>
        <v>High</v>
      </c>
      <c r="W1065" s="3" t="n">
        <f aca="false">D1065-C1065</f>
        <v>6</v>
      </c>
      <c r="X1065" s="3" t="str">
        <f aca="false">TEXT(C1065,"mmmm")</f>
        <v>January</v>
      </c>
      <c r="Y1065" s="3" t="str">
        <f aca="false">LEFT(G1065,1)&amp;MID(G1065,FIND(" ",G1065)+1,1)</f>
        <v>RN</v>
      </c>
    </row>
    <row r="1066" customFormat="false" ht="15" hidden="false" customHeight="false" outlineLevel="0" collapsed="false">
      <c r="A1066" s="3" t="n">
        <v>1065</v>
      </c>
      <c r="B1066" s="3" t="s">
        <v>2575</v>
      </c>
      <c r="C1066" s="4" t="s">
        <v>2567</v>
      </c>
      <c r="D1066" s="4" t="s">
        <v>2565</v>
      </c>
      <c r="E1066" s="3" t="s">
        <v>84</v>
      </c>
      <c r="F1066" s="3" t="s">
        <v>2452</v>
      </c>
      <c r="G1066" s="3" t="s">
        <v>2453</v>
      </c>
      <c r="H1066" s="3" t="s">
        <v>56</v>
      </c>
      <c r="I1066" s="3" t="s">
        <v>32</v>
      </c>
      <c r="J1066" s="3" t="s">
        <v>252</v>
      </c>
      <c r="K1066" s="3" t="s">
        <v>172</v>
      </c>
      <c r="L1066" s="3" t="s">
        <v>157</v>
      </c>
      <c r="M1066" s="3" t="s">
        <v>470</v>
      </c>
      <c r="N1066" s="3" t="s">
        <v>49</v>
      </c>
      <c r="O1066" s="3" t="s">
        <v>159</v>
      </c>
      <c r="P1066" s="3" t="s">
        <v>471</v>
      </c>
      <c r="Q1066" s="5" t="n">
        <v>321.53</v>
      </c>
      <c r="R1066" s="3" t="n">
        <v>7</v>
      </c>
      <c r="S1066" s="6" t="n">
        <v>0</v>
      </c>
      <c r="T1066" s="5" t="n">
        <v>-45.68</v>
      </c>
      <c r="U1066" s="3" t="str">
        <f aca="false">IF(T1066&lt;0,"Loss",IF(T1066=0,"Break-even","Profit"))</f>
        <v>Loss</v>
      </c>
      <c r="V1066" s="3" t="str">
        <f aca="false">IF(Q1066&lt;100,"Low",IF(Q1066&lt;=500,"Medium","High"))</f>
        <v>Medium</v>
      </c>
      <c r="W1066" s="3" t="n">
        <f aca="false">D1066-C1066</f>
        <v>2</v>
      </c>
      <c r="X1066" s="3" t="str">
        <f aca="false">TEXT(C1066,"mmmm")</f>
        <v>January</v>
      </c>
      <c r="Y1066" s="3" t="str">
        <f aca="false">LEFT(G1066,1)&amp;MID(G1066,FIND(" ",G1066)+1,1)</f>
        <v>AM</v>
      </c>
    </row>
    <row r="1067" customFormat="false" ht="15" hidden="false" customHeight="false" outlineLevel="0" collapsed="false">
      <c r="A1067" s="3" t="n">
        <v>1066</v>
      </c>
      <c r="B1067" s="3" t="s">
        <v>2576</v>
      </c>
      <c r="C1067" s="4" t="s">
        <v>2569</v>
      </c>
      <c r="D1067" s="4" t="s">
        <v>2571</v>
      </c>
      <c r="E1067" s="3" t="s">
        <v>84</v>
      </c>
      <c r="F1067" s="3" t="s">
        <v>989</v>
      </c>
      <c r="G1067" s="3" t="s">
        <v>990</v>
      </c>
      <c r="H1067" s="3" t="s">
        <v>45</v>
      </c>
      <c r="I1067" s="3" t="s">
        <v>32</v>
      </c>
      <c r="J1067" s="3" t="s">
        <v>120</v>
      </c>
      <c r="K1067" s="3" t="s">
        <v>113</v>
      </c>
      <c r="L1067" s="3" t="s">
        <v>69</v>
      </c>
      <c r="M1067" s="3" t="s">
        <v>225</v>
      </c>
      <c r="N1067" s="3" t="s">
        <v>37</v>
      </c>
      <c r="O1067" s="3" t="s">
        <v>196</v>
      </c>
      <c r="P1067" s="3" t="s">
        <v>226</v>
      </c>
      <c r="Q1067" s="5" t="n">
        <v>5543.38</v>
      </c>
      <c r="R1067" s="3" t="n">
        <v>6</v>
      </c>
      <c r="S1067" s="6" t="n">
        <v>0</v>
      </c>
      <c r="T1067" s="5" t="n">
        <v>257.88</v>
      </c>
      <c r="U1067" s="3" t="str">
        <f aca="false">IF(T1067&lt;0,"Loss",IF(T1067=0,"Break-even","Profit"))</f>
        <v>Profit</v>
      </c>
      <c r="V1067" s="3" t="str">
        <f aca="false">IF(Q1067&lt;100,"Low",IF(Q1067&lt;=500,"Medium","High"))</f>
        <v>High</v>
      </c>
      <c r="W1067" s="3" t="n">
        <f aca="false">D1067-C1067</f>
        <v>3</v>
      </c>
      <c r="X1067" s="3" t="str">
        <f aca="false">TEXT(C1067,"mmmm")</f>
        <v>January</v>
      </c>
      <c r="Y1067" s="3" t="str">
        <f aca="false">LEFT(G1067,1)&amp;MID(G1067,FIND(" ",G1067)+1,1)</f>
        <v>EK</v>
      </c>
    </row>
    <row r="1068" customFormat="false" ht="15" hidden="false" customHeight="false" outlineLevel="0" collapsed="false">
      <c r="A1068" s="3" t="n">
        <v>1067</v>
      </c>
      <c r="B1068" s="3" t="s">
        <v>2577</v>
      </c>
      <c r="C1068" s="4" t="s">
        <v>2578</v>
      </c>
      <c r="D1068" s="4" t="s">
        <v>2579</v>
      </c>
      <c r="E1068" s="3" t="s">
        <v>28</v>
      </c>
      <c r="F1068" s="3" t="s">
        <v>153</v>
      </c>
      <c r="G1068" s="3" t="s">
        <v>154</v>
      </c>
      <c r="H1068" s="3" t="s">
        <v>56</v>
      </c>
      <c r="I1068" s="3" t="s">
        <v>32</v>
      </c>
      <c r="J1068" s="3" t="s">
        <v>179</v>
      </c>
      <c r="K1068" s="3" t="s">
        <v>47</v>
      </c>
      <c r="L1068" s="3" t="s">
        <v>35</v>
      </c>
      <c r="M1068" s="3" t="s">
        <v>149</v>
      </c>
      <c r="N1068" s="3" t="s">
        <v>49</v>
      </c>
      <c r="O1068" s="3" t="s">
        <v>150</v>
      </c>
      <c r="P1068" s="3" t="s">
        <v>151</v>
      </c>
      <c r="Q1068" s="5" t="n">
        <v>602.05</v>
      </c>
      <c r="R1068" s="3" t="n">
        <v>7</v>
      </c>
      <c r="S1068" s="6" t="n">
        <v>0.1</v>
      </c>
      <c r="T1068" s="5" t="n">
        <v>-66.63</v>
      </c>
      <c r="U1068" s="3" t="str">
        <f aca="false">IF(T1068&lt;0,"Loss",IF(T1068=0,"Break-even","Profit"))</f>
        <v>Loss</v>
      </c>
      <c r="V1068" s="3" t="str">
        <f aca="false">IF(Q1068&lt;100,"Low",IF(Q1068&lt;=500,"Medium","High"))</f>
        <v>High</v>
      </c>
      <c r="W1068" s="3" t="n">
        <f aca="false">D1068-C1068</f>
        <v>7</v>
      </c>
      <c r="X1068" s="3" t="str">
        <f aca="false">TEXT(C1068,"mmmm")</f>
        <v>January</v>
      </c>
      <c r="Y1068" s="3" t="str">
        <f aca="false">LEFT(G1068,1)&amp;MID(G1068,FIND(" ",G1068)+1,1)</f>
        <v>SK</v>
      </c>
    </row>
    <row r="1069" customFormat="false" ht="15" hidden="false" customHeight="false" outlineLevel="0" collapsed="false">
      <c r="A1069" s="3" t="n">
        <v>1068</v>
      </c>
      <c r="B1069" s="3" t="s">
        <v>2580</v>
      </c>
      <c r="C1069" s="4" t="s">
        <v>2578</v>
      </c>
      <c r="D1069" s="4" t="s">
        <v>2574</v>
      </c>
      <c r="E1069" s="3" t="s">
        <v>84</v>
      </c>
      <c r="F1069" s="3" t="s">
        <v>626</v>
      </c>
      <c r="G1069" s="3" t="s">
        <v>627</v>
      </c>
      <c r="H1069" s="3" t="s">
        <v>56</v>
      </c>
      <c r="I1069" s="3" t="s">
        <v>32</v>
      </c>
      <c r="J1069" s="3" t="s">
        <v>33</v>
      </c>
      <c r="K1069" s="3" t="s">
        <v>34</v>
      </c>
      <c r="L1069" s="3" t="s">
        <v>35</v>
      </c>
      <c r="M1069" s="3" t="s">
        <v>105</v>
      </c>
      <c r="N1069" s="3" t="s">
        <v>49</v>
      </c>
      <c r="O1069" s="3" t="s">
        <v>106</v>
      </c>
      <c r="P1069" s="3" t="s">
        <v>107</v>
      </c>
      <c r="Q1069" s="5" t="n">
        <v>262</v>
      </c>
      <c r="R1069" s="3" t="n">
        <v>5</v>
      </c>
      <c r="S1069" s="6" t="n">
        <v>0.3</v>
      </c>
      <c r="T1069" s="5" t="n">
        <v>9.49</v>
      </c>
      <c r="U1069" s="3" t="str">
        <f aca="false">IF(T1069&lt;0,"Loss",IF(T1069=0,"Break-even","Profit"))</f>
        <v>Profit</v>
      </c>
      <c r="V1069" s="3" t="str">
        <f aca="false">IF(Q1069&lt;100,"Low",IF(Q1069&lt;=500,"Medium","High"))</f>
        <v>Medium</v>
      </c>
      <c r="W1069" s="3" t="n">
        <f aca="false">D1069-C1069</f>
        <v>2</v>
      </c>
      <c r="X1069" s="3" t="str">
        <f aca="false">TEXT(C1069,"mmmm")</f>
        <v>January</v>
      </c>
      <c r="Y1069" s="3" t="str">
        <f aca="false">LEFT(G1069,1)&amp;MID(G1069,FIND(" ",G1069)+1,1)</f>
        <v>CD</v>
      </c>
    </row>
    <row r="1070" customFormat="false" ht="15" hidden="false" customHeight="false" outlineLevel="0" collapsed="false">
      <c r="A1070" s="3" t="n">
        <v>1069</v>
      </c>
      <c r="B1070" s="3" t="s">
        <v>2581</v>
      </c>
      <c r="C1070" s="4" t="s">
        <v>2571</v>
      </c>
      <c r="D1070" s="4" t="s">
        <v>2574</v>
      </c>
      <c r="E1070" s="3" t="s">
        <v>42</v>
      </c>
      <c r="F1070" s="3" t="s">
        <v>390</v>
      </c>
      <c r="G1070" s="3" t="s">
        <v>391</v>
      </c>
      <c r="H1070" s="3" t="s">
        <v>56</v>
      </c>
      <c r="I1070" s="3" t="s">
        <v>32</v>
      </c>
      <c r="J1070" s="3" t="s">
        <v>112</v>
      </c>
      <c r="K1070" s="3" t="s">
        <v>113</v>
      </c>
      <c r="L1070" s="3" t="s">
        <v>69</v>
      </c>
      <c r="M1070" s="3" t="s">
        <v>195</v>
      </c>
      <c r="N1070" s="3" t="s">
        <v>37</v>
      </c>
      <c r="O1070" s="3" t="s">
        <v>196</v>
      </c>
      <c r="P1070" s="3" t="s">
        <v>197</v>
      </c>
      <c r="Q1070" s="5" t="n">
        <v>520.84</v>
      </c>
      <c r="R1070" s="3" t="n">
        <v>14</v>
      </c>
      <c r="S1070" s="6" t="n">
        <v>0.5</v>
      </c>
      <c r="T1070" s="5" t="n">
        <v>50.15</v>
      </c>
      <c r="U1070" s="3" t="str">
        <f aca="false">IF(T1070&lt;0,"Loss",IF(T1070=0,"Break-even","Profit"))</f>
        <v>Profit</v>
      </c>
      <c r="V1070" s="3" t="str">
        <f aca="false">IF(Q1070&lt;100,"Low",IF(Q1070&lt;=500,"Medium","High"))</f>
        <v>High</v>
      </c>
      <c r="W1070" s="3" t="n">
        <f aca="false">D1070-C1070</f>
        <v>1</v>
      </c>
      <c r="X1070" s="3" t="str">
        <f aca="false">TEXT(C1070,"mmmm")</f>
        <v>January</v>
      </c>
      <c r="Y1070" s="3" t="str">
        <f aca="false">LEFT(G1070,1)&amp;MID(G1070,FIND(" ",G1070)+1,1)</f>
        <v>MA</v>
      </c>
    </row>
    <row r="1071" customFormat="false" ht="15" hidden="false" customHeight="false" outlineLevel="0" collapsed="false">
      <c r="A1071" s="3" t="n">
        <v>1070</v>
      </c>
      <c r="B1071" s="3" t="s">
        <v>2582</v>
      </c>
      <c r="C1071" s="4" t="s">
        <v>2571</v>
      </c>
      <c r="D1071" s="4" t="s">
        <v>2583</v>
      </c>
      <c r="E1071" s="3" t="s">
        <v>28</v>
      </c>
      <c r="F1071" s="3" t="s">
        <v>2584</v>
      </c>
      <c r="G1071" s="3" t="s">
        <v>2585</v>
      </c>
      <c r="H1071" s="3" t="s">
        <v>45</v>
      </c>
      <c r="I1071" s="3" t="s">
        <v>32</v>
      </c>
      <c r="J1071" s="3" t="s">
        <v>215</v>
      </c>
      <c r="K1071" s="3" t="s">
        <v>34</v>
      </c>
      <c r="L1071" s="3" t="s">
        <v>35</v>
      </c>
      <c r="M1071" s="3" t="s">
        <v>683</v>
      </c>
      <c r="N1071" s="3" t="s">
        <v>37</v>
      </c>
      <c r="O1071" s="3" t="s">
        <v>136</v>
      </c>
      <c r="P1071" s="3" t="s">
        <v>684</v>
      </c>
      <c r="Q1071" s="5" t="n">
        <v>3396.7</v>
      </c>
      <c r="R1071" s="3" t="n">
        <v>9</v>
      </c>
      <c r="S1071" s="6" t="n">
        <v>0</v>
      </c>
      <c r="T1071" s="5" t="n">
        <v>-330.9</v>
      </c>
      <c r="U1071" s="3" t="str">
        <f aca="false">IF(T1071&lt;0,"Loss",IF(T1071=0,"Break-even","Profit"))</f>
        <v>Loss</v>
      </c>
      <c r="V1071" s="3" t="str">
        <f aca="false">IF(Q1071&lt;100,"Low",IF(Q1071&lt;=500,"Medium","High"))</f>
        <v>High</v>
      </c>
      <c r="W1071" s="3" t="n">
        <f aca="false">D1071-C1071</f>
        <v>5</v>
      </c>
      <c r="X1071" s="3" t="str">
        <f aca="false">TEXT(C1071,"mmmm")</f>
        <v>January</v>
      </c>
      <c r="Y1071" s="3" t="str">
        <f aca="false">LEFT(G1071,1)&amp;MID(G1071,FIND(" ",G1071)+1,1)</f>
        <v>EN</v>
      </c>
    </row>
    <row r="1072" customFormat="false" ht="15" hidden="false" customHeight="false" outlineLevel="0" collapsed="false">
      <c r="A1072" s="3" t="n">
        <v>1071</v>
      </c>
      <c r="B1072" s="3" t="s">
        <v>2586</v>
      </c>
      <c r="C1072" s="4" t="s">
        <v>2574</v>
      </c>
      <c r="D1072" s="4" t="s">
        <v>2587</v>
      </c>
      <c r="E1072" s="3" t="s">
        <v>42</v>
      </c>
      <c r="F1072" s="3" t="s">
        <v>102</v>
      </c>
      <c r="G1072" s="3" t="s">
        <v>103</v>
      </c>
      <c r="H1072" s="3" t="s">
        <v>56</v>
      </c>
      <c r="I1072" s="3" t="s">
        <v>32</v>
      </c>
      <c r="J1072" s="3" t="s">
        <v>252</v>
      </c>
      <c r="K1072" s="3" t="s">
        <v>172</v>
      </c>
      <c r="L1072" s="3" t="s">
        <v>157</v>
      </c>
      <c r="M1072" s="3" t="s">
        <v>237</v>
      </c>
      <c r="N1072" s="3" t="s">
        <v>49</v>
      </c>
      <c r="O1072" s="3" t="s">
        <v>220</v>
      </c>
      <c r="P1072" s="3" t="s">
        <v>238</v>
      </c>
      <c r="Q1072" s="5" t="n">
        <v>1142.27</v>
      </c>
      <c r="R1072" s="3" t="n">
        <v>10</v>
      </c>
      <c r="S1072" s="6" t="n">
        <v>0.1</v>
      </c>
      <c r="T1072" s="5" t="n">
        <v>17.64</v>
      </c>
      <c r="U1072" s="3" t="str">
        <f aca="false">IF(T1072&lt;0,"Loss",IF(T1072=0,"Break-even","Profit"))</f>
        <v>Profit</v>
      </c>
      <c r="V1072" s="3" t="str">
        <f aca="false">IF(Q1072&lt;100,"Low",IF(Q1072&lt;=500,"Medium","High"))</f>
        <v>High</v>
      </c>
      <c r="W1072" s="3" t="n">
        <f aca="false">D1072-C1072</f>
        <v>2</v>
      </c>
      <c r="X1072" s="3" t="str">
        <f aca="false">TEXT(C1072,"mmmm")</f>
        <v>January</v>
      </c>
      <c r="Y1072" s="3" t="str">
        <f aca="false">LEFT(G1072,1)&amp;MID(G1072,FIND(" ",G1072)+1,1)</f>
        <v>LA</v>
      </c>
    </row>
    <row r="1073" customFormat="false" ht="15" hidden="false" customHeight="false" outlineLevel="0" collapsed="false">
      <c r="A1073" s="3" t="n">
        <v>1072</v>
      </c>
      <c r="B1073" s="3" t="s">
        <v>2588</v>
      </c>
      <c r="C1073" s="4" t="s">
        <v>2574</v>
      </c>
      <c r="D1073" s="4" t="s">
        <v>2579</v>
      </c>
      <c r="E1073" s="3" t="s">
        <v>28</v>
      </c>
      <c r="F1073" s="3" t="s">
        <v>2055</v>
      </c>
      <c r="G1073" s="3" t="s">
        <v>2056</v>
      </c>
      <c r="H1073" s="3" t="s">
        <v>56</v>
      </c>
      <c r="I1073" s="3" t="s">
        <v>32</v>
      </c>
      <c r="J1073" s="3" t="s">
        <v>77</v>
      </c>
      <c r="K1073" s="3" t="s">
        <v>78</v>
      </c>
      <c r="L1073" s="3" t="s">
        <v>59</v>
      </c>
      <c r="M1073" s="3" t="s">
        <v>209</v>
      </c>
      <c r="N1073" s="3" t="s">
        <v>49</v>
      </c>
      <c r="O1073" s="3" t="s">
        <v>106</v>
      </c>
      <c r="P1073" s="3" t="s">
        <v>210</v>
      </c>
      <c r="Q1073" s="5" t="n">
        <v>711.53</v>
      </c>
      <c r="R1073" s="3" t="n">
        <v>7</v>
      </c>
      <c r="S1073" s="6" t="n">
        <v>0</v>
      </c>
      <c r="T1073" s="5" t="n">
        <v>-27.64</v>
      </c>
      <c r="U1073" s="3" t="str">
        <f aca="false">IF(T1073&lt;0,"Loss",IF(T1073=0,"Break-even","Profit"))</f>
        <v>Loss</v>
      </c>
      <c r="V1073" s="3" t="str">
        <f aca="false">IF(Q1073&lt;100,"Low",IF(Q1073&lt;=500,"Medium","High"))</f>
        <v>High</v>
      </c>
      <c r="W1073" s="3" t="n">
        <f aca="false">D1073-C1073</f>
        <v>5</v>
      </c>
      <c r="X1073" s="3" t="str">
        <f aca="false">TEXT(C1073,"mmmm")</f>
        <v>January</v>
      </c>
      <c r="Y1073" s="3" t="str">
        <f aca="false">LEFT(G1073,1)&amp;MID(G1073,FIND(" ",G1073)+1,1)</f>
        <v>ED</v>
      </c>
    </row>
    <row r="1074" customFormat="false" ht="15" hidden="false" customHeight="false" outlineLevel="0" collapsed="false">
      <c r="A1074" s="3" t="n">
        <v>1073</v>
      </c>
      <c r="B1074" s="3" t="s">
        <v>2589</v>
      </c>
      <c r="C1074" s="4" t="s">
        <v>2590</v>
      </c>
      <c r="D1074" s="4" t="s">
        <v>2591</v>
      </c>
      <c r="E1074" s="3" t="s">
        <v>28</v>
      </c>
      <c r="F1074" s="3" t="s">
        <v>896</v>
      </c>
      <c r="G1074" s="3" t="s">
        <v>897</v>
      </c>
      <c r="H1074" s="3" t="s">
        <v>56</v>
      </c>
      <c r="I1074" s="3" t="s">
        <v>32</v>
      </c>
      <c r="J1074" s="3" t="s">
        <v>148</v>
      </c>
      <c r="K1074" s="3" t="s">
        <v>78</v>
      </c>
      <c r="L1074" s="3" t="s">
        <v>59</v>
      </c>
      <c r="M1074" s="3" t="s">
        <v>36</v>
      </c>
      <c r="N1074" s="3" t="s">
        <v>37</v>
      </c>
      <c r="O1074" s="3" t="s">
        <v>38</v>
      </c>
      <c r="P1074" s="3" t="s">
        <v>39</v>
      </c>
      <c r="Q1074" s="5" t="n">
        <v>17440.26</v>
      </c>
      <c r="R1074" s="3" t="n">
        <v>14</v>
      </c>
      <c r="S1074" s="6" t="n">
        <v>0</v>
      </c>
      <c r="T1074" s="5" t="n">
        <v>-1864.54</v>
      </c>
      <c r="U1074" s="3" t="str">
        <f aca="false">IF(T1074&lt;0,"Loss",IF(T1074=0,"Break-even","Profit"))</f>
        <v>Loss</v>
      </c>
      <c r="V1074" s="3" t="str">
        <f aca="false">IF(Q1074&lt;100,"Low",IF(Q1074&lt;=500,"Medium","High"))</f>
        <v>High</v>
      </c>
      <c r="W1074" s="3" t="n">
        <f aca="false">D1074-C1074</f>
        <v>5</v>
      </c>
      <c r="X1074" s="3" t="str">
        <f aca="false">TEXT(C1074,"mmmm")</f>
        <v>January</v>
      </c>
      <c r="Y1074" s="3" t="str">
        <f aca="false">LEFT(G1074,1)&amp;MID(G1074,FIND(" ",G1074)+1,1)</f>
        <v>AR</v>
      </c>
    </row>
    <row r="1075" customFormat="false" ht="15" hidden="false" customHeight="false" outlineLevel="0" collapsed="false">
      <c r="A1075" s="3" t="n">
        <v>1074</v>
      </c>
      <c r="B1075" s="3" t="s">
        <v>2592</v>
      </c>
      <c r="C1075" s="4" t="s">
        <v>2587</v>
      </c>
      <c r="D1075" s="4" t="s">
        <v>2591</v>
      </c>
      <c r="E1075" s="3" t="s">
        <v>84</v>
      </c>
      <c r="F1075" s="3" t="s">
        <v>1692</v>
      </c>
      <c r="G1075" s="3" t="s">
        <v>1693</v>
      </c>
      <c r="H1075" s="3" t="s">
        <v>45</v>
      </c>
      <c r="I1075" s="3" t="s">
        <v>32</v>
      </c>
      <c r="J1075" s="3" t="s">
        <v>737</v>
      </c>
      <c r="K1075" s="3" t="s">
        <v>307</v>
      </c>
      <c r="L1075" s="3" t="s">
        <v>69</v>
      </c>
      <c r="M1075" s="3" t="s">
        <v>70</v>
      </c>
      <c r="N1075" s="3" t="s">
        <v>37</v>
      </c>
      <c r="O1075" s="3" t="s">
        <v>71</v>
      </c>
      <c r="P1075" s="3" t="s">
        <v>72</v>
      </c>
      <c r="Q1075" s="5" t="n">
        <v>18200.68</v>
      </c>
      <c r="R1075" s="3" t="n">
        <v>14</v>
      </c>
      <c r="S1075" s="6" t="n">
        <v>0.4</v>
      </c>
      <c r="T1075" s="5" t="n">
        <v>345.98</v>
      </c>
      <c r="U1075" s="3" t="str">
        <f aca="false">IF(T1075&lt;0,"Loss",IF(T1075=0,"Break-even","Profit"))</f>
        <v>Profit</v>
      </c>
      <c r="V1075" s="3" t="str">
        <f aca="false">IF(Q1075&lt;100,"Low",IF(Q1075&lt;=500,"Medium","High"))</f>
        <v>High</v>
      </c>
      <c r="W1075" s="3" t="n">
        <f aca="false">D1075-C1075</f>
        <v>4</v>
      </c>
      <c r="X1075" s="3" t="str">
        <f aca="false">TEXT(C1075,"mmmm")</f>
        <v>January</v>
      </c>
      <c r="Y1075" s="3" t="str">
        <f aca="false">LEFT(G1075,1)&amp;MID(G1075,FIND(" ",G1075)+1,1)</f>
        <v>SW</v>
      </c>
    </row>
    <row r="1076" customFormat="false" ht="15" hidden="false" customHeight="false" outlineLevel="0" collapsed="false">
      <c r="A1076" s="3" t="n">
        <v>1075</v>
      </c>
      <c r="B1076" s="3" t="s">
        <v>2593</v>
      </c>
      <c r="C1076" s="4" t="s">
        <v>2583</v>
      </c>
      <c r="D1076" s="4" t="s">
        <v>2594</v>
      </c>
      <c r="E1076" s="3" t="s">
        <v>28</v>
      </c>
      <c r="F1076" s="3" t="s">
        <v>1306</v>
      </c>
      <c r="G1076" s="3" t="s">
        <v>1307</v>
      </c>
      <c r="H1076" s="3" t="s">
        <v>56</v>
      </c>
      <c r="I1076" s="3" t="s">
        <v>32</v>
      </c>
      <c r="J1076" s="3" t="s">
        <v>873</v>
      </c>
      <c r="K1076" s="3" t="s">
        <v>387</v>
      </c>
      <c r="L1076" s="3" t="s">
        <v>35</v>
      </c>
      <c r="M1076" s="3" t="s">
        <v>253</v>
      </c>
      <c r="N1076" s="3" t="s">
        <v>89</v>
      </c>
      <c r="O1076" s="3" t="s">
        <v>90</v>
      </c>
      <c r="P1076" s="3" t="s">
        <v>254</v>
      </c>
      <c r="Q1076" s="5" t="n">
        <v>9043.56</v>
      </c>
      <c r="R1076" s="3" t="n">
        <v>13</v>
      </c>
      <c r="S1076" s="6" t="n">
        <v>0.2</v>
      </c>
      <c r="T1076" s="5" t="n">
        <v>1715.28</v>
      </c>
      <c r="U1076" s="3" t="str">
        <f aca="false">IF(T1076&lt;0,"Loss",IF(T1076=0,"Break-even","Profit"))</f>
        <v>Profit</v>
      </c>
      <c r="V1076" s="3" t="str">
        <f aca="false">IF(Q1076&lt;100,"Low",IF(Q1076&lt;=500,"Medium","High"))</f>
        <v>High</v>
      </c>
      <c r="W1076" s="3" t="n">
        <f aca="false">D1076-C1076</f>
        <v>6</v>
      </c>
      <c r="X1076" s="3" t="str">
        <f aca="false">TEXT(C1076,"mmmm")</f>
        <v>January</v>
      </c>
      <c r="Y1076" s="3" t="str">
        <f aca="false">LEFT(G1076,1)&amp;MID(G1076,FIND(" ",G1076)+1,1)</f>
        <v>PD</v>
      </c>
    </row>
    <row r="1077" customFormat="false" ht="15" hidden="false" customHeight="false" outlineLevel="0" collapsed="false">
      <c r="A1077" s="3" t="n">
        <v>1076</v>
      </c>
      <c r="B1077" s="3" t="s">
        <v>2595</v>
      </c>
      <c r="C1077" s="4" t="s">
        <v>2579</v>
      </c>
      <c r="D1077" s="4" t="s">
        <v>2594</v>
      </c>
      <c r="E1077" s="3" t="s">
        <v>28</v>
      </c>
      <c r="F1077" s="3" t="s">
        <v>393</v>
      </c>
      <c r="G1077" s="3" t="s">
        <v>394</v>
      </c>
      <c r="H1077" s="3" t="s">
        <v>56</v>
      </c>
      <c r="I1077" s="3" t="s">
        <v>32</v>
      </c>
      <c r="J1077" s="3" t="s">
        <v>381</v>
      </c>
      <c r="K1077" s="3" t="s">
        <v>58</v>
      </c>
      <c r="L1077" s="3" t="s">
        <v>59</v>
      </c>
      <c r="M1077" s="3" t="s">
        <v>470</v>
      </c>
      <c r="N1077" s="3" t="s">
        <v>49</v>
      </c>
      <c r="O1077" s="3" t="s">
        <v>159</v>
      </c>
      <c r="P1077" s="3" t="s">
        <v>471</v>
      </c>
      <c r="Q1077" s="5" t="n">
        <v>287.67</v>
      </c>
      <c r="R1077" s="3" t="n">
        <v>4</v>
      </c>
      <c r="S1077" s="6" t="n">
        <v>0</v>
      </c>
      <c r="T1077" s="5" t="n">
        <v>-19.29</v>
      </c>
      <c r="U1077" s="3" t="str">
        <f aca="false">IF(T1077&lt;0,"Loss",IF(T1077=0,"Break-even","Profit"))</f>
        <v>Loss</v>
      </c>
      <c r="V1077" s="3" t="str">
        <f aca="false">IF(Q1077&lt;100,"Low",IF(Q1077&lt;=500,"Medium","High"))</f>
        <v>Medium</v>
      </c>
      <c r="W1077" s="3" t="n">
        <f aca="false">D1077-C1077</f>
        <v>5</v>
      </c>
      <c r="X1077" s="3" t="str">
        <f aca="false">TEXT(C1077,"mmmm")</f>
        <v>January</v>
      </c>
      <c r="Y1077" s="3" t="str">
        <f aca="false">LEFT(G1077,1)&amp;MID(G1077,FIND(" ",G1077)+1,1)</f>
        <v>LD</v>
      </c>
    </row>
    <row r="1078" customFormat="false" ht="15" hidden="false" customHeight="false" outlineLevel="0" collapsed="false">
      <c r="A1078" s="3" t="n">
        <v>1077</v>
      </c>
      <c r="B1078" s="3" t="s">
        <v>2596</v>
      </c>
      <c r="C1078" s="4" t="s">
        <v>2579</v>
      </c>
      <c r="D1078" s="4" t="s">
        <v>2597</v>
      </c>
      <c r="E1078" s="3" t="s">
        <v>28</v>
      </c>
      <c r="F1078" s="3" t="s">
        <v>2598</v>
      </c>
      <c r="G1078" s="3" t="s">
        <v>2599</v>
      </c>
      <c r="H1078" s="3" t="s">
        <v>56</v>
      </c>
      <c r="I1078" s="3" t="s">
        <v>32</v>
      </c>
      <c r="J1078" s="3" t="s">
        <v>386</v>
      </c>
      <c r="K1078" s="3" t="s">
        <v>387</v>
      </c>
      <c r="L1078" s="3" t="s">
        <v>35</v>
      </c>
      <c r="M1078" s="3" t="s">
        <v>280</v>
      </c>
      <c r="N1078" s="3" t="s">
        <v>89</v>
      </c>
      <c r="O1078" s="3" t="s">
        <v>166</v>
      </c>
      <c r="P1078" s="3" t="s">
        <v>281</v>
      </c>
      <c r="Q1078" s="5" t="n">
        <v>565.93</v>
      </c>
      <c r="R1078" s="3" t="n">
        <v>2</v>
      </c>
      <c r="S1078" s="6" t="n">
        <v>0</v>
      </c>
      <c r="T1078" s="5" t="n">
        <v>-45.25</v>
      </c>
      <c r="U1078" s="3" t="str">
        <f aca="false">IF(T1078&lt;0,"Loss",IF(T1078=0,"Break-even","Profit"))</f>
        <v>Loss</v>
      </c>
      <c r="V1078" s="3" t="str">
        <f aca="false">IF(Q1078&lt;100,"Low",IF(Q1078&lt;=500,"Medium","High"))</f>
        <v>High</v>
      </c>
      <c r="W1078" s="3" t="n">
        <f aca="false">D1078-C1078</f>
        <v>3</v>
      </c>
      <c r="X1078" s="3" t="str">
        <f aca="false">TEXT(C1078,"mmmm")</f>
        <v>January</v>
      </c>
      <c r="Y1078" s="3" t="str">
        <f aca="false">LEFT(G1078,1)&amp;MID(G1078,FIND(" ",G1078)+1,1)</f>
        <v>MN</v>
      </c>
    </row>
    <row r="1079" customFormat="false" ht="15" hidden="false" customHeight="false" outlineLevel="0" collapsed="false">
      <c r="A1079" s="3" t="n">
        <v>1078</v>
      </c>
      <c r="B1079" s="3" t="s">
        <v>2600</v>
      </c>
      <c r="C1079" s="4" t="s">
        <v>2591</v>
      </c>
      <c r="D1079" s="4" t="s">
        <v>2601</v>
      </c>
      <c r="E1079" s="3" t="s">
        <v>28</v>
      </c>
      <c r="F1079" s="3" t="s">
        <v>1296</v>
      </c>
      <c r="G1079" s="3" t="s">
        <v>1297</v>
      </c>
      <c r="H1079" s="3" t="s">
        <v>45</v>
      </c>
      <c r="I1079" s="3" t="s">
        <v>32</v>
      </c>
      <c r="J1079" s="3" t="s">
        <v>663</v>
      </c>
      <c r="K1079" s="3" t="s">
        <v>307</v>
      </c>
      <c r="L1079" s="3" t="s">
        <v>69</v>
      </c>
      <c r="M1079" s="3" t="s">
        <v>219</v>
      </c>
      <c r="N1079" s="3" t="s">
        <v>49</v>
      </c>
      <c r="O1079" s="3" t="s">
        <v>220</v>
      </c>
      <c r="P1079" s="3" t="s">
        <v>221</v>
      </c>
      <c r="Q1079" s="5" t="n">
        <v>230.81</v>
      </c>
      <c r="R1079" s="3" t="n">
        <v>5</v>
      </c>
      <c r="S1079" s="6" t="n">
        <v>0</v>
      </c>
      <c r="T1079" s="5" t="n">
        <v>-37.08</v>
      </c>
      <c r="U1079" s="3" t="str">
        <f aca="false">IF(T1079&lt;0,"Loss",IF(T1079=0,"Break-even","Profit"))</f>
        <v>Loss</v>
      </c>
      <c r="V1079" s="3" t="str">
        <f aca="false">IF(Q1079&lt;100,"Low",IF(Q1079&lt;=500,"Medium","High"))</f>
        <v>Medium</v>
      </c>
      <c r="W1079" s="3" t="n">
        <f aca="false">D1079-C1079</f>
        <v>7</v>
      </c>
      <c r="X1079" s="3" t="str">
        <f aca="false">TEXT(C1079,"mmmm")</f>
        <v>January</v>
      </c>
      <c r="Y1079" s="3" t="str">
        <f aca="false">LEFT(G1079,1)&amp;MID(G1079,FIND(" ",G1079)+1,1)</f>
        <v>JW</v>
      </c>
    </row>
    <row r="1080" customFormat="false" ht="15" hidden="false" customHeight="false" outlineLevel="0" collapsed="false">
      <c r="A1080" s="3" t="n">
        <v>1079</v>
      </c>
      <c r="B1080" s="3" t="s">
        <v>2602</v>
      </c>
      <c r="C1080" s="4" t="s">
        <v>2603</v>
      </c>
      <c r="D1080" s="4" t="s">
        <v>2594</v>
      </c>
      <c r="E1080" s="3" t="s">
        <v>28</v>
      </c>
      <c r="F1080" s="3" t="s">
        <v>970</v>
      </c>
      <c r="G1080" s="3" t="s">
        <v>971</v>
      </c>
      <c r="H1080" s="3" t="s">
        <v>45</v>
      </c>
      <c r="I1080" s="3" t="s">
        <v>32</v>
      </c>
      <c r="J1080" s="3" t="s">
        <v>77</v>
      </c>
      <c r="K1080" s="3" t="s">
        <v>78</v>
      </c>
      <c r="L1080" s="3" t="s">
        <v>59</v>
      </c>
      <c r="M1080" s="3" t="s">
        <v>280</v>
      </c>
      <c r="N1080" s="3" t="s">
        <v>89</v>
      </c>
      <c r="O1080" s="3" t="s">
        <v>166</v>
      </c>
      <c r="P1080" s="3" t="s">
        <v>281</v>
      </c>
      <c r="Q1080" s="5" t="n">
        <v>642.08</v>
      </c>
      <c r="R1080" s="3" t="n">
        <v>2</v>
      </c>
      <c r="S1080" s="6" t="n">
        <v>0.3</v>
      </c>
      <c r="T1080" s="5" t="n">
        <v>-43.29</v>
      </c>
      <c r="U1080" s="3" t="str">
        <f aca="false">IF(T1080&lt;0,"Loss",IF(T1080=0,"Break-even","Profit"))</f>
        <v>Loss</v>
      </c>
      <c r="V1080" s="3" t="str">
        <f aca="false">IF(Q1080&lt;100,"Low",IF(Q1080&lt;=500,"Medium","High"))</f>
        <v>High</v>
      </c>
      <c r="W1080" s="3" t="n">
        <f aca="false">D1080-C1080</f>
        <v>3</v>
      </c>
      <c r="X1080" s="3" t="str">
        <f aca="false">TEXT(C1080,"mmmm")</f>
        <v>January</v>
      </c>
      <c r="Y1080" s="3" t="str">
        <f aca="false">LEFT(G1080,1)&amp;MID(G1080,FIND(" ",G1080)+1,1)</f>
        <v>PG</v>
      </c>
    </row>
    <row r="1081" customFormat="false" ht="15" hidden="false" customHeight="false" outlineLevel="0" collapsed="false">
      <c r="A1081" s="3" t="n">
        <v>1080</v>
      </c>
      <c r="B1081" s="3" t="s">
        <v>2604</v>
      </c>
      <c r="C1081" s="4" t="s">
        <v>2597</v>
      </c>
      <c r="D1081" s="4" t="s">
        <v>2605</v>
      </c>
      <c r="E1081" s="3" t="s">
        <v>28</v>
      </c>
      <c r="F1081" s="3" t="s">
        <v>514</v>
      </c>
      <c r="G1081" s="3" t="s">
        <v>515</v>
      </c>
      <c r="H1081" s="3" t="s">
        <v>31</v>
      </c>
      <c r="I1081" s="3" t="s">
        <v>32</v>
      </c>
      <c r="J1081" s="3" t="s">
        <v>285</v>
      </c>
      <c r="K1081" s="3" t="s">
        <v>202</v>
      </c>
      <c r="L1081" s="3" t="s">
        <v>35</v>
      </c>
      <c r="M1081" s="3" t="s">
        <v>142</v>
      </c>
      <c r="N1081" s="3" t="s">
        <v>49</v>
      </c>
      <c r="O1081" s="3" t="s">
        <v>143</v>
      </c>
      <c r="P1081" s="3" t="s">
        <v>144</v>
      </c>
      <c r="Q1081" s="5" t="n">
        <v>262.44</v>
      </c>
      <c r="R1081" s="3" t="n">
        <v>6</v>
      </c>
      <c r="S1081" s="6" t="n">
        <v>0.2</v>
      </c>
      <c r="T1081" s="5" t="n">
        <v>-21.76</v>
      </c>
      <c r="U1081" s="3" t="str">
        <f aca="false">IF(T1081&lt;0,"Loss",IF(T1081=0,"Break-even","Profit"))</f>
        <v>Loss</v>
      </c>
      <c r="V1081" s="3" t="str">
        <f aca="false">IF(Q1081&lt;100,"Low",IF(Q1081&lt;=500,"Medium","High"))</f>
        <v>Medium</v>
      </c>
      <c r="W1081" s="3" t="n">
        <f aca="false">D1081-C1081</f>
        <v>7</v>
      </c>
      <c r="X1081" s="3" t="str">
        <f aca="false">TEXT(C1081,"mmmm")</f>
        <v>January</v>
      </c>
      <c r="Y1081" s="3" t="str">
        <f aca="false">LEFT(G1081,1)&amp;MID(G1081,FIND(" ",G1081)+1,1)</f>
        <v>MM</v>
      </c>
    </row>
    <row r="1082" customFormat="false" ht="15" hidden="false" customHeight="false" outlineLevel="0" collapsed="false">
      <c r="A1082" s="3" t="n">
        <v>1081</v>
      </c>
      <c r="B1082" s="3" t="s">
        <v>2606</v>
      </c>
      <c r="C1082" s="4" t="s">
        <v>2607</v>
      </c>
      <c r="D1082" s="4" t="s">
        <v>2601</v>
      </c>
      <c r="E1082" s="3" t="s">
        <v>28</v>
      </c>
      <c r="F1082" s="3" t="s">
        <v>2608</v>
      </c>
      <c r="G1082" s="3" t="s">
        <v>2609</v>
      </c>
      <c r="H1082" s="3" t="s">
        <v>56</v>
      </c>
      <c r="I1082" s="3" t="s">
        <v>32</v>
      </c>
      <c r="J1082" s="3" t="s">
        <v>112</v>
      </c>
      <c r="K1082" s="3" t="s">
        <v>113</v>
      </c>
      <c r="L1082" s="3" t="s">
        <v>69</v>
      </c>
      <c r="M1082" s="3" t="s">
        <v>149</v>
      </c>
      <c r="N1082" s="3" t="s">
        <v>49</v>
      </c>
      <c r="O1082" s="3" t="s">
        <v>150</v>
      </c>
      <c r="P1082" s="3" t="s">
        <v>151</v>
      </c>
      <c r="Q1082" s="5" t="n">
        <v>561.63</v>
      </c>
      <c r="R1082" s="3" t="n">
        <v>9</v>
      </c>
      <c r="S1082" s="6" t="n">
        <v>0.4</v>
      </c>
      <c r="T1082" s="5" t="n">
        <v>76.14</v>
      </c>
      <c r="U1082" s="3" t="str">
        <f aca="false">IF(T1082&lt;0,"Loss",IF(T1082=0,"Break-even","Profit"))</f>
        <v>Profit</v>
      </c>
      <c r="V1082" s="3" t="str">
        <f aca="false">IF(Q1082&lt;100,"Low",IF(Q1082&lt;=500,"Medium","High"))</f>
        <v>High</v>
      </c>
      <c r="W1082" s="3" t="n">
        <f aca="false">D1082-C1082</f>
        <v>4</v>
      </c>
      <c r="X1082" s="3" t="str">
        <f aca="false">TEXT(C1082,"mmmm")</f>
        <v>January</v>
      </c>
      <c r="Y1082" s="3" t="str">
        <f aca="false">LEFT(G1082,1)&amp;MID(G1082,FIND(" ",G1082)+1,1)</f>
        <v>MK</v>
      </c>
    </row>
    <row r="1083" customFormat="false" ht="15" hidden="false" customHeight="false" outlineLevel="0" collapsed="false">
      <c r="A1083" s="3" t="n">
        <v>1082</v>
      </c>
      <c r="B1083" s="3" t="s">
        <v>2610</v>
      </c>
      <c r="C1083" s="4" t="s">
        <v>2607</v>
      </c>
      <c r="D1083" s="4" t="s">
        <v>2611</v>
      </c>
      <c r="E1083" s="3" t="s">
        <v>84</v>
      </c>
      <c r="F1083" s="3" t="s">
        <v>1434</v>
      </c>
      <c r="G1083" s="3" t="s">
        <v>1435</v>
      </c>
      <c r="H1083" s="3" t="s">
        <v>56</v>
      </c>
      <c r="I1083" s="3" t="s">
        <v>32</v>
      </c>
      <c r="J1083" s="3" t="s">
        <v>46</v>
      </c>
      <c r="K1083" s="3" t="s">
        <v>47</v>
      </c>
      <c r="L1083" s="3" t="s">
        <v>35</v>
      </c>
      <c r="M1083" s="3" t="s">
        <v>48</v>
      </c>
      <c r="N1083" s="3" t="s">
        <v>49</v>
      </c>
      <c r="O1083" s="3" t="s">
        <v>50</v>
      </c>
      <c r="P1083" s="3" t="s">
        <v>51</v>
      </c>
      <c r="Q1083" s="5" t="n">
        <v>133.29</v>
      </c>
      <c r="R1083" s="3" t="n">
        <v>11</v>
      </c>
      <c r="S1083" s="6" t="n">
        <v>0.3</v>
      </c>
      <c r="T1083" s="5" t="n">
        <v>18.4</v>
      </c>
      <c r="U1083" s="3" t="str">
        <f aca="false">IF(T1083&lt;0,"Loss",IF(T1083=0,"Break-even","Profit"))</f>
        <v>Profit</v>
      </c>
      <c r="V1083" s="3" t="str">
        <f aca="false">IF(Q1083&lt;100,"Low",IF(Q1083&lt;=500,"Medium","High"))</f>
        <v>Medium</v>
      </c>
      <c r="W1083" s="3" t="n">
        <f aca="false">D1083-C1083</f>
        <v>3</v>
      </c>
      <c r="X1083" s="3" t="str">
        <f aca="false">TEXT(C1083,"mmmm")</f>
        <v>January</v>
      </c>
      <c r="Y1083" s="3" t="str">
        <f aca="false">LEFT(G1083,1)&amp;MID(G1083,FIND(" ",G1083)+1,1)</f>
        <v>CJ</v>
      </c>
    </row>
    <row r="1084" customFormat="false" ht="15" hidden="false" customHeight="false" outlineLevel="0" collapsed="false">
      <c r="A1084" s="3" t="n">
        <v>1083</v>
      </c>
      <c r="B1084" s="3" t="s">
        <v>2612</v>
      </c>
      <c r="C1084" s="4" t="s">
        <v>2613</v>
      </c>
      <c r="D1084" s="4" t="s">
        <v>2614</v>
      </c>
      <c r="E1084" s="3" t="s">
        <v>28</v>
      </c>
      <c r="F1084" s="3" t="s">
        <v>1881</v>
      </c>
      <c r="G1084" s="3" t="s">
        <v>1882</v>
      </c>
      <c r="H1084" s="3" t="s">
        <v>56</v>
      </c>
      <c r="I1084" s="3" t="s">
        <v>32</v>
      </c>
      <c r="J1084" s="3" t="s">
        <v>133</v>
      </c>
      <c r="K1084" s="3" t="s">
        <v>134</v>
      </c>
      <c r="L1084" s="3" t="s">
        <v>69</v>
      </c>
      <c r="M1084" s="3" t="s">
        <v>70</v>
      </c>
      <c r="N1084" s="3" t="s">
        <v>37</v>
      </c>
      <c r="O1084" s="3" t="s">
        <v>71</v>
      </c>
      <c r="P1084" s="3" t="s">
        <v>72</v>
      </c>
      <c r="Q1084" s="5" t="n">
        <v>6601.25</v>
      </c>
      <c r="R1084" s="3" t="n">
        <v>6</v>
      </c>
      <c r="S1084" s="6" t="n">
        <v>0.4</v>
      </c>
      <c r="T1084" s="5" t="n">
        <v>-1674.28</v>
      </c>
      <c r="U1084" s="3" t="str">
        <f aca="false">IF(T1084&lt;0,"Loss",IF(T1084=0,"Break-even","Profit"))</f>
        <v>Loss</v>
      </c>
      <c r="V1084" s="3" t="str">
        <f aca="false">IF(Q1084&lt;100,"Low",IF(Q1084&lt;=500,"Medium","High"))</f>
        <v>High</v>
      </c>
      <c r="W1084" s="3" t="n">
        <f aca="false">D1084-C1084</f>
        <v>5</v>
      </c>
      <c r="X1084" s="3" t="str">
        <f aca="false">TEXT(C1084,"mmmm")</f>
        <v>January</v>
      </c>
      <c r="Y1084" s="3" t="str">
        <f aca="false">LEFT(G1084,1)&amp;MID(G1084,FIND(" ",G1084)+1,1)</f>
        <v>SD</v>
      </c>
    </row>
    <row r="1085" customFormat="false" ht="15" hidden="false" customHeight="false" outlineLevel="0" collapsed="false">
      <c r="A1085" s="3" t="n">
        <v>1084</v>
      </c>
      <c r="B1085" s="3" t="s">
        <v>2615</v>
      </c>
      <c r="C1085" s="4" t="s">
        <v>2613</v>
      </c>
      <c r="D1085" s="4" t="s">
        <v>2601</v>
      </c>
      <c r="E1085" s="3" t="s">
        <v>84</v>
      </c>
      <c r="F1085" s="3" t="s">
        <v>928</v>
      </c>
      <c r="G1085" s="3" t="s">
        <v>929</v>
      </c>
      <c r="H1085" s="3" t="s">
        <v>31</v>
      </c>
      <c r="I1085" s="3" t="s">
        <v>32</v>
      </c>
      <c r="J1085" s="3" t="s">
        <v>215</v>
      </c>
      <c r="K1085" s="3" t="s">
        <v>34</v>
      </c>
      <c r="L1085" s="3" t="s">
        <v>35</v>
      </c>
      <c r="M1085" s="3" t="s">
        <v>48</v>
      </c>
      <c r="N1085" s="3" t="s">
        <v>49</v>
      </c>
      <c r="O1085" s="3" t="s">
        <v>50</v>
      </c>
      <c r="P1085" s="3" t="s">
        <v>51</v>
      </c>
      <c r="Q1085" s="5" t="n">
        <v>241.33</v>
      </c>
      <c r="R1085" s="3" t="n">
        <v>7</v>
      </c>
      <c r="S1085" s="6" t="n">
        <v>0.3</v>
      </c>
      <c r="T1085" s="5" t="n">
        <v>-9.47</v>
      </c>
      <c r="U1085" s="3" t="str">
        <f aca="false">IF(T1085&lt;0,"Loss",IF(T1085=0,"Break-even","Profit"))</f>
        <v>Loss</v>
      </c>
      <c r="V1085" s="3" t="str">
        <f aca="false">IF(Q1085&lt;100,"Low",IF(Q1085&lt;=500,"Medium","High"))</f>
        <v>Medium</v>
      </c>
      <c r="W1085" s="3" t="n">
        <f aca="false">D1085-C1085</f>
        <v>2</v>
      </c>
      <c r="X1085" s="3" t="str">
        <f aca="false">TEXT(C1085,"mmmm")</f>
        <v>January</v>
      </c>
      <c r="Y1085" s="3" t="str">
        <f aca="false">LEFT(G1085,1)&amp;MID(G1085,FIND(" ",G1085)+1,1)</f>
        <v>RA</v>
      </c>
    </row>
    <row r="1086" customFormat="false" ht="15" hidden="false" customHeight="false" outlineLevel="0" collapsed="false">
      <c r="A1086" s="3" t="n">
        <v>1085</v>
      </c>
      <c r="B1086" s="3" t="s">
        <v>2616</v>
      </c>
      <c r="C1086" s="4" t="s">
        <v>2617</v>
      </c>
      <c r="D1086" s="4" t="s">
        <v>2618</v>
      </c>
      <c r="E1086" s="3" t="s">
        <v>28</v>
      </c>
      <c r="F1086" s="3" t="s">
        <v>182</v>
      </c>
      <c r="G1086" s="3" t="s">
        <v>183</v>
      </c>
      <c r="H1086" s="3" t="s">
        <v>56</v>
      </c>
      <c r="I1086" s="3" t="s">
        <v>32</v>
      </c>
      <c r="J1086" s="3" t="s">
        <v>87</v>
      </c>
      <c r="K1086" s="3" t="s">
        <v>68</v>
      </c>
      <c r="L1086" s="3" t="s">
        <v>69</v>
      </c>
      <c r="M1086" s="3" t="s">
        <v>404</v>
      </c>
      <c r="N1086" s="3" t="s">
        <v>89</v>
      </c>
      <c r="O1086" s="3" t="s">
        <v>166</v>
      </c>
      <c r="P1086" s="3" t="s">
        <v>405</v>
      </c>
      <c r="Q1086" s="5" t="n">
        <v>11968.17</v>
      </c>
      <c r="R1086" s="3" t="n">
        <v>14</v>
      </c>
      <c r="S1086" s="6" t="n">
        <v>0</v>
      </c>
      <c r="T1086" s="5" t="n">
        <v>-1029.11</v>
      </c>
      <c r="U1086" s="3" t="str">
        <f aca="false">IF(T1086&lt;0,"Loss",IF(T1086=0,"Break-even","Profit"))</f>
        <v>Loss</v>
      </c>
      <c r="V1086" s="3" t="str">
        <f aca="false">IF(Q1086&lt;100,"Low",IF(Q1086&lt;=500,"Medium","High"))</f>
        <v>High</v>
      </c>
      <c r="W1086" s="3" t="n">
        <f aca="false">D1086-C1086</f>
        <v>3</v>
      </c>
      <c r="X1086" s="3" t="str">
        <f aca="false">TEXT(C1086,"mmmm")</f>
        <v>January</v>
      </c>
      <c r="Y1086" s="3" t="str">
        <f aca="false">LEFT(G1086,1)&amp;MID(G1086,FIND(" ",G1086)+1,1)</f>
        <v>CN</v>
      </c>
    </row>
    <row r="1087" customFormat="false" ht="15" hidden="false" customHeight="false" outlineLevel="0" collapsed="false">
      <c r="A1087" s="3" t="n">
        <v>1086</v>
      </c>
      <c r="B1087" s="3" t="s">
        <v>2619</v>
      </c>
      <c r="C1087" s="4" t="s">
        <v>2617</v>
      </c>
      <c r="D1087" s="4" t="s">
        <v>2620</v>
      </c>
      <c r="E1087" s="3" t="s">
        <v>28</v>
      </c>
      <c r="F1087" s="3" t="s">
        <v>496</v>
      </c>
      <c r="G1087" s="3" t="s">
        <v>497</v>
      </c>
      <c r="H1087" s="3" t="s">
        <v>31</v>
      </c>
      <c r="I1087" s="3" t="s">
        <v>32</v>
      </c>
      <c r="J1087" s="3" t="s">
        <v>365</v>
      </c>
      <c r="K1087" s="3" t="s">
        <v>366</v>
      </c>
      <c r="L1087" s="3" t="s">
        <v>157</v>
      </c>
      <c r="M1087" s="3" t="s">
        <v>447</v>
      </c>
      <c r="N1087" s="3" t="s">
        <v>89</v>
      </c>
      <c r="O1087" s="3" t="s">
        <v>323</v>
      </c>
      <c r="P1087" s="3" t="s">
        <v>448</v>
      </c>
      <c r="Q1087" s="5" t="n">
        <v>10890.05</v>
      </c>
      <c r="R1087" s="3" t="n">
        <v>13</v>
      </c>
      <c r="S1087" s="6" t="n">
        <v>0.1</v>
      </c>
      <c r="T1087" s="5" t="n">
        <v>3099.94</v>
      </c>
      <c r="U1087" s="3" t="str">
        <f aca="false">IF(T1087&lt;0,"Loss",IF(T1087=0,"Break-even","Profit"))</f>
        <v>Profit</v>
      </c>
      <c r="V1087" s="3" t="str">
        <f aca="false">IF(Q1087&lt;100,"Low",IF(Q1087&lt;=500,"Medium","High"))</f>
        <v>High</v>
      </c>
      <c r="W1087" s="3" t="n">
        <f aca="false">D1087-C1087</f>
        <v>7</v>
      </c>
      <c r="X1087" s="3" t="str">
        <f aca="false">TEXT(C1087,"mmmm")</f>
        <v>January</v>
      </c>
      <c r="Y1087" s="3" t="str">
        <f aca="false">LEFT(G1087,1)&amp;MID(G1087,FIND(" ",G1087)+1,1)</f>
        <v>DD</v>
      </c>
    </row>
    <row r="1088" customFormat="false" ht="15" hidden="false" customHeight="false" outlineLevel="0" collapsed="false">
      <c r="A1088" s="3" t="n">
        <v>1087</v>
      </c>
      <c r="B1088" s="3" t="s">
        <v>2621</v>
      </c>
      <c r="C1088" s="4" t="s">
        <v>2605</v>
      </c>
      <c r="D1088" s="4" t="s">
        <v>2622</v>
      </c>
      <c r="E1088" s="3" t="s">
        <v>28</v>
      </c>
      <c r="F1088" s="3" t="s">
        <v>1652</v>
      </c>
      <c r="G1088" s="3" t="s">
        <v>1653</v>
      </c>
      <c r="H1088" s="3" t="s">
        <v>56</v>
      </c>
      <c r="I1088" s="3" t="s">
        <v>32</v>
      </c>
      <c r="J1088" s="3" t="s">
        <v>663</v>
      </c>
      <c r="K1088" s="3" t="s">
        <v>307</v>
      </c>
      <c r="L1088" s="3" t="s">
        <v>69</v>
      </c>
      <c r="M1088" s="3" t="s">
        <v>36</v>
      </c>
      <c r="N1088" s="3" t="s">
        <v>37</v>
      </c>
      <c r="O1088" s="3" t="s">
        <v>38</v>
      </c>
      <c r="P1088" s="3" t="s">
        <v>39</v>
      </c>
      <c r="Q1088" s="5" t="n">
        <v>23096.32</v>
      </c>
      <c r="R1088" s="3" t="n">
        <v>14</v>
      </c>
      <c r="S1088" s="6" t="n">
        <v>0.2</v>
      </c>
      <c r="T1088" s="5" t="n">
        <v>-1365.48</v>
      </c>
      <c r="U1088" s="3" t="str">
        <f aca="false">IF(T1088&lt;0,"Loss",IF(T1088=0,"Break-even","Profit"))</f>
        <v>Loss</v>
      </c>
      <c r="V1088" s="3" t="str">
        <f aca="false">IF(Q1088&lt;100,"Low",IF(Q1088&lt;=500,"Medium","High"))</f>
        <v>High</v>
      </c>
      <c r="W1088" s="3" t="n">
        <f aca="false">D1088-C1088</f>
        <v>3</v>
      </c>
      <c r="X1088" s="3" t="str">
        <f aca="false">TEXT(C1088,"mmmm")</f>
        <v>January</v>
      </c>
      <c r="Y1088" s="3" t="str">
        <f aca="false">LEFT(G1088,1)&amp;MID(G1088,FIND(" ",G1088)+1,1)</f>
        <v>MR</v>
      </c>
    </row>
    <row r="1089" customFormat="false" ht="15" hidden="false" customHeight="false" outlineLevel="0" collapsed="false">
      <c r="A1089" s="3" t="n">
        <v>1088</v>
      </c>
      <c r="B1089" s="3" t="s">
        <v>2623</v>
      </c>
      <c r="C1089" s="4" t="s">
        <v>2618</v>
      </c>
      <c r="D1089" s="4" t="s">
        <v>2624</v>
      </c>
      <c r="E1089" s="3" t="s">
        <v>84</v>
      </c>
      <c r="F1089" s="3" t="s">
        <v>1692</v>
      </c>
      <c r="G1089" s="3" t="s">
        <v>1693</v>
      </c>
      <c r="H1089" s="3" t="s">
        <v>45</v>
      </c>
      <c r="I1089" s="3" t="s">
        <v>32</v>
      </c>
      <c r="J1089" s="3" t="s">
        <v>243</v>
      </c>
      <c r="K1089" s="3" t="s">
        <v>244</v>
      </c>
      <c r="L1089" s="3" t="s">
        <v>157</v>
      </c>
      <c r="M1089" s="3" t="s">
        <v>322</v>
      </c>
      <c r="N1089" s="3" t="s">
        <v>89</v>
      </c>
      <c r="O1089" s="3" t="s">
        <v>323</v>
      </c>
      <c r="P1089" s="3" t="s">
        <v>324</v>
      </c>
      <c r="Q1089" s="5" t="n">
        <v>1474.24</v>
      </c>
      <c r="R1089" s="3" t="n">
        <v>4</v>
      </c>
      <c r="S1089" s="6" t="n">
        <v>0</v>
      </c>
      <c r="T1089" s="5" t="n">
        <v>-69.47</v>
      </c>
      <c r="U1089" s="3" t="str">
        <f aca="false">IF(T1089&lt;0,"Loss",IF(T1089=0,"Break-even","Profit"))</f>
        <v>Loss</v>
      </c>
      <c r="V1089" s="3" t="str">
        <f aca="false">IF(Q1089&lt;100,"Low",IF(Q1089&lt;=500,"Medium","High"))</f>
        <v>High</v>
      </c>
      <c r="W1089" s="3" t="n">
        <f aca="false">D1089-C1089</f>
        <v>3</v>
      </c>
      <c r="X1089" s="3" t="str">
        <f aca="false">TEXT(C1089,"mmmm")</f>
        <v>February</v>
      </c>
      <c r="Y1089" s="3" t="str">
        <f aca="false">LEFT(G1089,1)&amp;MID(G1089,FIND(" ",G1089)+1,1)</f>
        <v>SW</v>
      </c>
    </row>
    <row r="1090" customFormat="false" ht="15" hidden="false" customHeight="false" outlineLevel="0" collapsed="false">
      <c r="A1090" s="3" t="n">
        <v>1089</v>
      </c>
      <c r="B1090" s="3" t="s">
        <v>2625</v>
      </c>
      <c r="C1090" s="4" t="s">
        <v>2622</v>
      </c>
      <c r="D1090" s="4" t="s">
        <v>2620</v>
      </c>
      <c r="E1090" s="3" t="s">
        <v>84</v>
      </c>
      <c r="F1090" s="3" t="s">
        <v>1498</v>
      </c>
      <c r="G1090" s="3" t="s">
        <v>1499</v>
      </c>
      <c r="H1090" s="3" t="s">
        <v>45</v>
      </c>
      <c r="I1090" s="3" t="s">
        <v>32</v>
      </c>
      <c r="J1090" s="3" t="s">
        <v>215</v>
      </c>
      <c r="K1090" s="3" t="s">
        <v>34</v>
      </c>
      <c r="L1090" s="3" t="s">
        <v>35</v>
      </c>
      <c r="M1090" s="3" t="s">
        <v>420</v>
      </c>
      <c r="N1090" s="3" t="s">
        <v>49</v>
      </c>
      <c r="O1090" s="3" t="s">
        <v>80</v>
      </c>
      <c r="P1090" s="3" t="s">
        <v>421</v>
      </c>
      <c r="Q1090" s="5" t="n">
        <v>154.3</v>
      </c>
      <c r="R1090" s="3" t="n">
        <v>13</v>
      </c>
      <c r="S1090" s="6" t="n">
        <v>0</v>
      </c>
      <c r="T1090" s="5" t="n">
        <v>48.64</v>
      </c>
      <c r="U1090" s="3" t="str">
        <f aca="false">IF(T1090&lt;0,"Loss",IF(T1090=0,"Break-even","Profit"))</f>
        <v>Profit</v>
      </c>
      <c r="V1090" s="3" t="str">
        <f aca="false">IF(Q1090&lt;100,"Low",IF(Q1090&lt;=500,"Medium","High"))</f>
        <v>Medium</v>
      </c>
      <c r="W1090" s="3" t="n">
        <f aca="false">D1090-C1090</f>
        <v>3</v>
      </c>
      <c r="X1090" s="3" t="str">
        <f aca="false">TEXT(C1090,"mmmm")</f>
        <v>February</v>
      </c>
      <c r="Y1090" s="3" t="str">
        <f aca="false">LEFT(G1090,1)&amp;MID(G1090,FIND(" ",G1090)+1,1)</f>
        <v>SJ</v>
      </c>
    </row>
    <row r="1091" customFormat="false" ht="15" hidden="false" customHeight="false" outlineLevel="0" collapsed="false">
      <c r="A1091" s="3" t="n">
        <v>1090</v>
      </c>
      <c r="B1091" s="3" t="s">
        <v>2626</v>
      </c>
      <c r="C1091" s="4" t="s">
        <v>2627</v>
      </c>
      <c r="D1091" s="4" t="s">
        <v>2627</v>
      </c>
      <c r="E1091" s="3" t="s">
        <v>53</v>
      </c>
      <c r="F1091" s="3" t="s">
        <v>2490</v>
      </c>
      <c r="G1091" s="3" t="s">
        <v>2491</v>
      </c>
      <c r="H1091" s="3" t="s">
        <v>45</v>
      </c>
      <c r="I1091" s="3" t="s">
        <v>32</v>
      </c>
      <c r="J1091" s="3" t="s">
        <v>306</v>
      </c>
      <c r="K1091" s="3" t="s">
        <v>307</v>
      </c>
      <c r="L1091" s="3" t="s">
        <v>69</v>
      </c>
      <c r="M1091" s="3" t="s">
        <v>165</v>
      </c>
      <c r="N1091" s="3" t="s">
        <v>89</v>
      </c>
      <c r="O1091" s="3" t="s">
        <v>166</v>
      </c>
      <c r="P1091" s="3" t="s">
        <v>167</v>
      </c>
      <c r="Q1091" s="5" t="n">
        <v>2652.12</v>
      </c>
      <c r="R1091" s="3" t="n">
        <v>4</v>
      </c>
      <c r="S1091" s="6" t="n">
        <v>0.1</v>
      </c>
      <c r="T1091" s="5" t="n">
        <v>311.78</v>
      </c>
      <c r="U1091" s="3" t="str">
        <f aca="false">IF(T1091&lt;0,"Loss",IF(T1091=0,"Break-even","Profit"))</f>
        <v>Profit</v>
      </c>
      <c r="V1091" s="3" t="str">
        <f aca="false">IF(Q1091&lt;100,"Low",IF(Q1091&lt;=500,"Medium","High"))</f>
        <v>High</v>
      </c>
      <c r="W1091" s="3" t="n">
        <f aca="false">D1091-C1091</f>
        <v>0</v>
      </c>
      <c r="X1091" s="3" t="str">
        <f aca="false">TEXT(C1091,"mmmm")</f>
        <v>February</v>
      </c>
      <c r="Y1091" s="3" t="str">
        <f aca="false">LEFT(G1091,1)&amp;MID(G1091,FIND(" ",G1091)+1,1)</f>
        <v>RM</v>
      </c>
    </row>
    <row r="1092" customFormat="false" ht="15" hidden="false" customHeight="false" outlineLevel="0" collapsed="false">
      <c r="A1092" s="3" t="n">
        <v>1091</v>
      </c>
      <c r="B1092" s="3" t="s">
        <v>2628</v>
      </c>
      <c r="C1092" s="4" t="s">
        <v>2624</v>
      </c>
      <c r="D1092" s="4" t="s">
        <v>2629</v>
      </c>
      <c r="E1092" s="3" t="s">
        <v>28</v>
      </c>
      <c r="F1092" s="3" t="s">
        <v>338</v>
      </c>
      <c r="G1092" s="3" t="s">
        <v>339</v>
      </c>
      <c r="H1092" s="3" t="s">
        <v>31</v>
      </c>
      <c r="I1092" s="3" t="s">
        <v>32</v>
      </c>
      <c r="J1092" s="3" t="s">
        <v>188</v>
      </c>
      <c r="K1092" s="3" t="s">
        <v>189</v>
      </c>
      <c r="L1092" s="3" t="s">
        <v>59</v>
      </c>
      <c r="M1092" s="3" t="s">
        <v>253</v>
      </c>
      <c r="N1092" s="3" t="s">
        <v>89</v>
      </c>
      <c r="O1092" s="3" t="s">
        <v>90</v>
      </c>
      <c r="P1092" s="3" t="s">
        <v>254</v>
      </c>
      <c r="Q1092" s="5" t="n">
        <v>1279.34</v>
      </c>
      <c r="R1092" s="3" t="n">
        <v>9</v>
      </c>
      <c r="S1092" s="6" t="n">
        <v>0.1</v>
      </c>
      <c r="T1092" s="5" t="n">
        <v>164.62</v>
      </c>
      <c r="U1092" s="3" t="str">
        <f aca="false">IF(T1092&lt;0,"Loss",IF(T1092=0,"Break-even","Profit"))</f>
        <v>Profit</v>
      </c>
      <c r="V1092" s="3" t="str">
        <f aca="false">IF(Q1092&lt;100,"Low",IF(Q1092&lt;=500,"Medium","High"))</f>
        <v>High</v>
      </c>
      <c r="W1092" s="3" t="n">
        <f aca="false">D1092-C1092</f>
        <v>4</v>
      </c>
      <c r="X1092" s="3" t="str">
        <f aca="false">TEXT(C1092,"mmmm")</f>
        <v>February</v>
      </c>
      <c r="Y1092" s="3" t="str">
        <f aca="false">LEFT(G1092,1)&amp;MID(G1092,FIND(" ",G1092)+1,1)</f>
        <v>DS</v>
      </c>
    </row>
    <row r="1093" customFormat="false" ht="15" hidden="false" customHeight="false" outlineLevel="0" collapsed="false">
      <c r="A1093" s="3" t="n">
        <v>1092</v>
      </c>
      <c r="B1093" s="3" t="s">
        <v>2630</v>
      </c>
      <c r="C1093" s="4" t="s">
        <v>2631</v>
      </c>
      <c r="D1093" s="4" t="s">
        <v>2632</v>
      </c>
      <c r="E1093" s="3" t="s">
        <v>28</v>
      </c>
      <c r="F1093" s="3" t="s">
        <v>998</v>
      </c>
      <c r="G1093" s="3" t="s">
        <v>999</v>
      </c>
      <c r="H1093" s="3" t="s">
        <v>56</v>
      </c>
      <c r="I1093" s="3" t="s">
        <v>32</v>
      </c>
      <c r="J1093" s="3" t="s">
        <v>208</v>
      </c>
      <c r="K1093" s="3" t="s">
        <v>134</v>
      </c>
      <c r="L1093" s="3" t="s">
        <v>69</v>
      </c>
      <c r="M1093" s="3" t="s">
        <v>60</v>
      </c>
      <c r="N1093" s="3" t="s">
        <v>49</v>
      </c>
      <c r="O1093" s="3" t="s">
        <v>61</v>
      </c>
      <c r="P1093" s="3" t="s">
        <v>62</v>
      </c>
      <c r="Q1093" s="5" t="n">
        <v>1022.83</v>
      </c>
      <c r="R1093" s="3" t="n">
        <v>13</v>
      </c>
      <c r="S1093" s="6" t="n">
        <v>0.3</v>
      </c>
      <c r="T1093" s="5" t="n">
        <v>120.39</v>
      </c>
      <c r="U1093" s="3" t="str">
        <f aca="false">IF(T1093&lt;0,"Loss",IF(T1093=0,"Break-even","Profit"))</f>
        <v>Profit</v>
      </c>
      <c r="V1093" s="3" t="str">
        <f aca="false">IF(Q1093&lt;100,"Low",IF(Q1093&lt;=500,"Medium","High"))</f>
        <v>High</v>
      </c>
      <c r="W1093" s="3" t="n">
        <f aca="false">D1093-C1093</f>
        <v>3</v>
      </c>
      <c r="X1093" s="3" t="str">
        <f aca="false">TEXT(C1093,"mmmm")</f>
        <v>February</v>
      </c>
      <c r="Y1093" s="3" t="str">
        <f aca="false">LEFT(G1093,1)&amp;MID(G1093,FIND(" ",G1093)+1,1)</f>
        <v>OM</v>
      </c>
    </row>
    <row r="1094" customFormat="false" ht="15" hidden="false" customHeight="false" outlineLevel="0" collapsed="false">
      <c r="A1094" s="3" t="n">
        <v>1093</v>
      </c>
      <c r="B1094" s="3" t="s">
        <v>2633</v>
      </c>
      <c r="C1094" s="4" t="s">
        <v>2631</v>
      </c>
      <c r="D1094" s="4" t="s">
        <v>2634</v>
      </c>
      <c r="E1094" s="3" t="s">
        <v>28</v>
      </c>
      <c r="F1094" s="3" t="s">
        <v>2396</v>
      </c>
      <c r="G1094" s="3" t="s">
        <v>2397</v>
      </c>
      <c r="H1094" s="3" t="s">
        <v>56</v>
      </c>
      <c r="I1094" s="3" t="s">
        <v>32</v>
      </c>
      <c r="J1094" s="3" t="s">
        <v>104</v>
      </c>
      <c r="K1094" s="3" t="s">
        <v>96</v>
      </c>
      <c r="L1094" s="3" t="s">
        <v>59</v>
      </c>
      <c r="M1094" s="3" t="s">
        <v>347</v>
      </c>
      <c r="N1094" s="3" t="s">
        <v>49</v>
      </c>
      <c r="O1094" s="3" t="s">
        <v>220</v>
      </c>
      <c r="P1094" s="3" t="s">
        <v>348</v>
      </c>
      <c r="Q1094" s="5" t="n">
        <v>149.65</v>
      </c>
      <c r="R1094" s="3" t="n">
        <v>7</v>
      </c>
      <c r="S1094" s="6" t="n">
        <v>0.4</v>
      </c>
      <c r="T1094" s="5" t="n">
        <v>-8.55</v>
      </c>
      <c r="U1094" s="3" t="str">
        <f aca="false">IF(T1094&lt;0,"Loss",IF(T1094=0,"Break-even","Profit"))</f>
        <v>Loss</v>
      </c>
      <c r="V1094" s="3" t="str">
        <f aca="false">IF(Q1094&lt;100,"Low",IF(Q1094&lt;=500,"Medium","High"))</f>
        <v>Medium</v>
      </c>
      <c r="W1094" s="3" t="n">
        <f aca="false">D1094-C1094</f>
        <v>5</v>
      </c>
      <c r="X1094" s="3" t="str">
        <f aca="false">TEXT(C1094,"mmmm")</f>
        <v>February</v>
      </c>
      <c r="Y1094" s="3" t="str">
        <f aca="false">LEFT(G1094,1)&amp;MID(G1094,FIND(" ",G1094)+1,1)</f>
        <v>WA</v>
      </c>
    </row>
    <row r="1095" customFormat="false" ht="15" hidden="false" customHeight="false" outlineLevel="0" collapsed="false">
      <c r="A1095" s="3" t="n">
        <v>1094</v>
      </c>
      <c r="B1095" s="3" t="s">
        <v>2635</v>
      </c>
      <c r="C1095" s="4" t="s">
        <v>2636</v>
      </c>
      <c r="D1095" s="4" t="s">
        <v>2637</v>
      </c>
      <c r="E1095" s="3" t="s">
        <v>28</v>
      </c>
      <c r="F1095" s="3" t="s">
        <v>54</v>
      </c>
      <c r="G1095" s="3" t="s">
        <v>55</v>
      </c>
      <c r="H1095" s="3" t="s">
        <v>31</v>
      </c>
      <c r="I1095" s="3" t="s">
        <v>32</v>
      </c>
      <c r="J1095" s="3" t="s">
        <v>548</v>
      </c>
      <c r="K1095" s="3" t="s">
        <v>244</v>
      </c>
      <c r="L1095" s="3" t="s">
        <v>157</v>
      </c>
      <c r="M1095" s="3" t="s">
        <v>461</v>
      </c>
      <c r="N1095" s="3" t="s">
        <v>37</v>
      </c>
      <c r="O1095" s="3" t="s">
        <v>71</v>
      </c>
      <c r="P1095" s="3" t="s">
        <v>462</v>
      </c>
      <c r="Q1095" s="5" t="n">
        <v>1516.16</v>
      </c>
      <c r="R1095" s="3" t="n">
        <v>11</v>
      </c>
      <c r="S1095" s="6" t="n">
        <v>0.1</v>
      </c>
      <c r="T1095" s="5" t="n">
        <v>-211.2</v>
      </c>
      <c r="U1095" s="3" t="str">
        <f aca="false">IF(T1095&lt;0,"Loss",IF(T1095=0,"Break-even","Profit"))</f>
        <v>Loss</v>
      </c>
      <c r="V1095" s="3" t="str">
        <f aca="false">IF(Q1095&lt;100,"Low",IF(Q1095&lt;=500,"Medium","High"))</f>
        <v>High</v>
      </c>
      <c r="W1095" s="3" t="n">
        <f aca="false">D1095-C1095</f>
        <v>7</v>
      </c>
      <c r="X1095" s="3" t="str">
        <f aca="false">TEXT(C1095,"mmmm")</f>
        <v>February</v>
      </c>
      <c r="Y1095" s="3" t="str">
        <f aca="false">LEFT(G1095,1)&amp;MID(G1095,FIND(" ",G1095)+1,1)</f>
        <v>RN</v>
      </c>
    </row>
    <row r="1096" customFormat="false" ht="15" hidden="false" customHeight="false" outlineLevel="0" collapsed="false">
      <c r="A1096" s="3" t="n">
        <v>1095</v>
      </c>
      <c r="B1096" s="3" t="s">
        <v>2638</v>
      </c>
      <c r="C1096" s="4" t="s">
        <v>2636</v>
      </c>
      <c r="D1096" s="4" t="s">
        <v>2632</v>
      </c>
      <c r="E1096" s="3" t="s">
        <v>42</v>
      </c>
      <c r="F1096" s="3" t="s">
        <v>2166</v>
      </c>
      <c r="G1096" s="3" t="s">
        <v>2167</v>
      </c>
      <c r="H1096" s="3" t="s">
        <v>56</v>
      </c>
      <c r="I1096" s="3" t="s">
        <v>32</v>
      </c>
      <c r="J1096" s="3" t="s">
        <v>476</v>
      </c>
      <c r="K1096" s="3" t="s">
        <v>366</v>
      </c>
      <c r="L1096" s="3" t="s">
        <v>157</v>
      </c>
      <c r="M1096" s="3" t="s">
        <v>149</v>
      </c>
      <c r="N1096" s="3" t="s">
        <v>49</v>
      </c>
      <c r="O1096" s="3" t="s">
        <v>150</v>
      </c>
      <c r="P1096" s="3" t="s">
        <v>151</v>
      </c>
      <c r="Q1096" s="5" t="n">
        <v>1041.32</v>
      </c>
      <c r="R1096" s="3" t="n">
        <v>11</v>
      </c>
      <c r="S1096" s="6" t="n">
        <v>0.1</v>
      </c>
      <c r="T1096" s="5" t="n">
        <v>-223.92</v>
      </c>
      <c r="U1096" s="3" t="str">
        <f aca="false">IF(T1096&lt;0,"Loss",IF(T1096=0,"Break-even","Profit"))</f>
        <v>Loss</v>
      </c>
      <c r="V1096" s="3" t="str">
        <f aca="false">IF(Q1096&lt;100,"Low",IF(Q1096&lt;=500,"Medium","High"))</f>
        <v>High</v>
      </c>
      <c r="W1096" s="3" t="n">
        <f aca="false">D1096-C1096</f>
        <v>2</v>
      </c>
      <c r="X1096" s="3" t="str">
        <f aca="false">TEXT(C1096,"mmmm")</f>
        <v>February</v>
      </c>
      <c r="Y1096" s="3" t="str">
        <f aca="false">LEFT(G1096,1)&amp;MID(G1096,FIND(" ",G1096)+1,1)</f>
        <v>JR</v>
      </c>
    </row>
    <row r="1097" customFormat="false" ht="15" hidden="false" customHeight="false" outlineLevel="0" collapsed="false">
      <c r="A1097" s="3" t="n">
        <v>1096</v>
      </c>
      <c r="B1097" s="3" t="s">
        <v>2639</v>
      </c>
      <c r="C1097" s="4" t="s">
        <v>2632</v>
      </c>
      <c r="D1097" s="4" t="s">
        <v>2640</v>
      </c>
      <c r="E1097" s="3" t="s">
        <v>28</v>
      </c>
      <c r="F1097" s="3" t="s">
        <v>2206</v>
      </c>
      <c r="G1097" s="3" t="s">
        <v>2207</v>
      </c>
      <c r="H1097" s="3" t="s">
        <v>31</v>
      </c>
      <c r="I1097" s="3" t="s">
        <v>32</v>
      </c>
      <c r="J1097" s="3" t="s">
        <v>112</v>
      </c>
      <c r="K1097" s="3" t="s">
        <v>113</v>
      </c>
      <c r="L1097" s="3" t="s">
        <v>69</v>
      </c>
      <c r="M1097" s="3" t="s">
        <v>114</v>
      </c>
      <c r="N1097" s="3" t="s">
        <v>49</v>
      </c>
      <c r="O1097" s="3" t="s">
        <v>61</v>
      </c>
      <c r="P1097" s="3" t="s">
        <v>115</v>
      </c>
      <c r="Q1097" s="5" t="n">
        <v>1450.36</v>
      </c>
      <c r="R1097" s="3" t="n">
        <v>13</v>
      </c>
      <c r="S1097" s="6" t="n">
        <v>0.2</v>
      </c>
      <c r="T1097" s="5" t="n">
        <v>-68.22</v>
      </c>
      <c r="U1097" s="3" t="str">
        <f aca="false">IF(T1097&lt;0,"Loss",IF(T1097=0,"Break-even","Profit"))</f>
        <v>Loss</v>
      </c>
      <c r="V1097" s="3" t="str">
        <f aca="false">IF(Q1097&lt;100,"Low",IF(Q1097&lt;=500,"Medium","High"))</f>
        <v>High</v>
      </c>
      <c r="W1097" s="3" t="n">
        <f aca="false">D1097-C1097</f>
        <v>4</v>
      </c>
      <c r="X1097" s="3" t="str">
        <f aca="false">TEXT(C1097,"mmmm")</f>
        <v>February</v>
      </c>
      <c r="Y1097" s="3" t="str">
        <f aca="false">LEFT(G1097,1)&amp;MID(G1097,FIND(" ",G1097)+1,1)</f>
        <v>PS</v>
      </c>
    </row>
    <row r="1098" customFormat="false" ht="15" hidden="false" customHeight="false" outlineLevel="0" collapsed="false">
      <c r="A1098" s="3" t="n">
        <v>1097</v>
      </c>
      <c r="B1098" s="3" t="s">
        <v>2641</v>
      </c>
      <c r="C1098" s="4" t="s">
        <v>2632</v>
      </c>
      <c r="D1098" s="4" t="s">
        <v>2634</v>
      </c>
      <c r="E1098" s="3" t="s">
        <v>42</v>
      </c>
      <c r="F1098" s="3" t="s">
        <v>1330</v>
      </c>
      <c r="G1098" s="3" t="s">
        <v>1331</v>
      </c>
      <c r="H1098" s="3" t="s">
        <v>56</v>
      </c>
      <c r="I1098" s="3" t="s">
        <v>32</v>
      </c>
      <c r="J1098" s="3" t="s">
        <v>285</v>
      </c>
      <c r="K1098" s="3" t="s">
        <v>202</v>
      </c>
      <c r="L1098" s="3" t="s">
        <v>35</v>
      </c>
      <c r="M1098" s="3" t="s">
        <v>142</v>
      </c>
      <c r="N1098" s="3" t="s">
        <v>49</v>
      </c>
      <c r="O1098" s="3" t="s">
        <v>143</v>
      </c>
      <c r="P1098" s="3" t="s">
        <v>144</v>
      </c>
      <c r="Q1098" s="5" t="n">
        <v>457.26</v>
      </c>
      <c r="R1098" s="3" t="n">
        <v>11</v>
      </c>
      <c r="S1098" s="6" t="n">
        <v>0.2</v>
      </c>
      <c r="T1098" s="5" t="n">
        <v>-49.43</v>
      </c>
      <c r="U1098" s="3" t="str">
        <f aca="false">IF(T1098&lt;0,"Loss",IF(T1098=0,"Break-even","Profit"))</f>
        <v>Loss</v>
      </c>
      <c r="V1098" s="3" t="str">
        <f aca="false">IF(Q1098&lt;100,"Low",IF(Q1098&lt;=500,"Medium","High"))</f>
        <v>Medium</v>
      </c>
      <c r="W1098" s="3" t="n">
        <f aca="false">D1098-C1098</f>
        <v>2</v>
      </c>
      <c r="X1098" s="3" t="str">
        <f aca="false">TEXT(C1098,"mmmm")</f>
        <v>February</v>
      </c>
      <c r="Y1098" s="3" t="str">
        <f aca="false">LEFT(G1098,1)&amp;MID(G1098,FIND(" ",G1098)+1,1)</f>
        <v>JR</v>
      </c>
    </row>
    <row r="1099" customFormat="false" ht="15" hidden="false" customHeight="false" outlineLevel="0" collapsed="false">
      <c r="A1099" s="3" t="n">
        <v>1098</v>
      </c>
      <c r="B1099" s="3" t="s">
        <v>2642</v>
      </c>
      <c r="C1099" s="4" t="s">
        <v>2643</v>
      </c>
      <c r="D1099" s="4" t="s">
        <v>2637</v>
      </c>
      <c r="E1099" s="3" t="s">
        <v>28</v>
      </c>
      <c r="F1099" s="3" t="s">
        <v>1095</v>
      </c>
      <c r="G1099" s="3" t="s">
        <v>1096</v>
      </c>
      <c r="H1099" s="3" t="s">
        <v>31</v>
      </c>
      <c r="I1099" s="3" t="s">
        <v>32</v>
      </c>
      <c r="J1099" s="3" t="s">
        <v>306</v>
      </c>
      <c r="K1099" s="3" t="s">
        <v>307</v>
      </c>
      <c r="L1099" s="3" t="s">
        <v>69</v>
      </c>
      <c r="M1099" s="3" t="s">
        <v>195</v>
      </c>
      <c r="N1099" s="3" t="s">
        <v>37</v>
      </c>
      <c r="O1099" s="3" t="s">
        <v>196</v>
      </c>
      <c r="P1099" s="3" t="s">
        <v>197</v>
      </c>
      <c r="Q1099" s="5" t="n">
        <v>7811.61</v>
      </c>
      <c r="R1099" s="3" t="n">
        <v>9</v>
      </c>
      <c r="S1099" s="6" t="n">
        <v>0</v>
      </c>
      <c r="T1099" s="5" t="n">
        <v>-118.6</v>
      </c>
      <c r="U1099" s="3" t="str">
        <f aca="false">IF(T1099&lt;0,"Loss",IF(T1099=0,"Break-even","Profit"))</f>
        <v>Loss</v>
      </c>
      <c r="V1099" s="3" t="str">
        <f aca="false">IF(Q1099&lt;100,"Low",IF(Q1099&lt;=500,"Medium","High"))</f>
        <v>High</v>
      </c>
      <c r="W1099" s="3" t="n">
        <f aca="false">D1099-C1099</f>
        <v>4</v>
      </c>
      <c r="X1099" s="3" t="str">
        <f aca="false">TEXT(C1099,"mmmm")</f>
        <v>February</v>
      </c>
      <c r="Y1099" s="3" t="str">
        <f aca="false">LEFT(G1099,1)&amp;MID(G1099,FIND(" ",G1099)+1,1)</f>
        <v>JS</v>
      </c>
    </row>
    <row r="1100" customFormat="false" ht="15" hidden="false" customHeight="false" outlineLevel="0" collapsed="false">
      <c r="A1100" s="3" t="n">
        <v>1099</v>
      </c>
      <c r="B1100" s="3" t="s">
        <v>2644</v>
      </c>
      <c r="C1100" s="4" t="s">
        <v>2645</v>
      </c>
      <c r="D1100" s="4" t="s">
        <v>2646</v>
      </c>
      <c r="E1100" s="3" t="s">
        <v>28</v>
      </c>
      <c r="F1100" s="3" t="s">
        <v>2647</v>
      </c>
      <c r="G1100" s="3" t="s">
        <v>2648</v>
      </c>
      <c r="H1100" s="3" t="s">
        <v>56</v>
      </c>
      <c r="I1100" s="3" t="s">
        <v>32</v>
      </c>
      <c r="J1100" s="3" t="s">
        <v>329</v>
      </c>
      <c r="K1100" s="3" t="s">
        <v>156</v>
      </c>
      <c r="L1100" s="3" t="s">
        <v>157</v>
      </c>
      <c r="M1100" s="3" t="s">
        <v>158</v>
      </c>
      <c r="N1100" s="3" t="s">
        <v>49</v>
      </c>
      <c r="O1100" s="3" t="s">
        <v>159</v>
      </c>
      <c r="P1100" s="3" t="s">
        <v>160</v>
      </c>
      <c r="Q1100" s="5" t="n">
        <v>918.6</v>
      </c>
      <c r="R1100" s="3" t="n">
        <v>11</v>
      </c>
      <c r="S1100" s="6" t="n">
        <v>0.1</v>
      </c>
      <c r="T1100" s="5" t="n">
        <v>-137.63</v>
      </c>
      <c r="U1100" s="3" t="str">
        <f aca="false">IF(T1100&lt;0,"Loss",IF(T1100=0,"Break-even","Profit"))</f>
        <v>Loss</v>
      </c>
      <c r="V1100" s="3" t="str">
        <f aca="false">IF(Q1100&lt;100,"Low",IF(Q1100&lt;=500,"Medium","High"))</f>
        <v>High</v>
      </c>
      <c r="W1100" s="3" t="n">
        <f aca="false">D1100-C1100</f>
        <v>5</v>
      </c>
      <c r="X1100" s="3" t="str">
        <f aca="false">TEXT(C1100,"mmmm")</f>
        <v>February</v>
      </c>
      <c r="Y1100" s="3" t="str">
        <f aca="false">LEFT(G1100,1)&amp;MID(G1100,FIND(" ",G1100)+1,1)</f>
        <v>EJ</v>
      </c>
    </row>
    <row r="1101" customFormat="false" ht="15" hidden="false" customHeight="false" outlineLevel="0" collapsed="false">
      <c r="A1101" s="3" t="n">
        <v>1100</v>
      </c>
      <c r="B1101" s="3" t="s">
        <v>2649</v>
      </c>
      <c r="C1101" s="4" t="s">
        <v>2645</v>
      </c>
      <c r="D1101" s="4" t="s">
        <v>2650</v>
      </c>
      <c r="E1101" s="3" t="s">
        <v>28</v>
      </c>
      <c r="F1101" s="3" t="s">
        <v>1639</v>
      </c>
      <c r="G1101" s="3" t="s">
        <v>1640</v>
      </c>
      <c r="H1101" s="3" t="s">
        <v>45</v>
      </c>
      <c r="I1101" s="3" t="s">
        <v>32</v>
      </c>
      <c r="J1101" s="3" t="s">
        <v>148</v>
      </c>
      <c r="K1101" s="3" t="s">
        <v>78</v>
      </c>
      <c r="L1101" s="3" t="s">
        <v>59</v>
      </c>
      <c r="M1101" s="3" t="s">
        <v>420</v>
      </c>
      <c r="N1101" s="3" t="s">
        <v>49</v>
      </c>
      <c r="O1101" s="3" t="s">
        <v>80</v>
      </c>
      <c r="P1101" s="3" t="s">
        <v>421</v>
      </c>
      <c r="Q1101" s="5" t="n">
        <v>182.1</v>
      </c>
      <c r="R1101" s="3" t="n">
        <v>6</v>
      </c>
      <c r="S1101" s="6" t="n">
        <v>0.4</v>
      </c>
      <c r="T1101" s="5" t="n">
        <v>0.49</v>
      </c>
      <c r="U1101" s="3" t="str">
        <f aca="false">IF(T1101&lt;0,"Loss",IF(T1101=0,"Break-even","Profit"))</f>
        <v>Profit</v>
      </c>
      <c r="V1101" s="3" t="str">
        <f aca="false">IF(Q1101&lt;100,"Low",IF(Q1101&lt;=500,"Medium","High"))</f>
        <v>Medium</v>
      </c>
      <c r="W1101" s="3" t="n">
        <f aca="false">D1101-C1101</f>
        <v>3</v>
      </c>
      <c r="X1101" s="3" t="str">
        <f aca="false">TEXT(C1101,"mmmm")</f>
        <v>February</v>
      </c>
      <c r="Y1101" s="3" t="str">
        <f aca="false">LEFT(G1101,1)&amp;MID(G1101,FIND(" ",G1101)+1,1)</f>
        <v>FN</v>
      </c>
    </row>
    <row r="1102" customFormat="false" ht="15" hidden="false" customHeight="false" outlineLevel="0" collapsed="false">
      <c r="A1102" s="3" t="n">
        <v>1101</v>
      </c>
      <c r="B1102" s="3" t="s">
        <v>2651</v>
      </c>
      <c r="C1102" s="4" t="s">
        <v>2637</v>
      </c>
      <c r="D1102" s="4" t="s">
        <v>2646</v>
      </c>
      <c r="E1102" s="3" t="s">
        <v>84</v>
      </c>
      <c r="F1102" s="3" t="s">
        <v>451</v>
      </c>
      <c r="G1102" s="3" t="s">
        <v>452</v>
      </c>
      <c r="H1102" s="3" t="s">
        <v>45</v>
      </c>
      <c r="I1102" s="3" t="s">
        <v>32</v>
      </c>
      <c r="J1102" s="3" t="s">
        <v>33</v>
      </c>
      <c r="K1102" s="3" t="s">
        <v>34</v>
      </c>
      <c r="L1102" s="3" t="s">
        <v>35</v>
      </c>
      <c r="M1102" s="3" t="s">
        <v>114</v>
      </c>
      <c r="N1102" s="3" t="s">
        <v>49</v>
      </c>
      <c r="O1102" s="3" t="s">
        <v>61</v>
      </c>
      <c r="P1102" s="3" t="s">
        <v>115</v>
      </c>
      <c r="Q1102" s="5" t="n">
        <v>353.37</v>
      </c>
      <c r="R1102" s="3" t="n">
        <v>12</v>
      </c>
      <c r="S1102" s="6" t="n">
        <v>0.2</v>
      </c>
      <c r="T1102" s="5" t="n">
        <v>81.95</v>
      </c>
      <c r="U1102" s="3" t="str">
        <f aca="false">IF(T1102&lt;0,"Loss",IF(T1102=0,"Break-even","Profit"))</f>
        <v>Profit</v>
      </c>
      <c r="V1102" s="3" t="str">
        <f aca="false">IF(Q1102&lt;100,"Low",IF(Q1102&lt;=500,"Medium","High"))</f>
        <v>Medium</v>
      </c>
      <c r="W1102" s="3" t="n">
        <f aca="false">D1102-C1102</f>
        <v>3</v>
      </c>
      <c r="X1102" s="3" t="str">
        <f aca="false">TEXT(C1102,"mmmm")</f>
        <v>February</v>
      </c>
      <c r="Y1102" s="3" t="str">
        <f aca="false">LEFT(G1102,1)&amp;MID(G1102,FIND(" ",G1102)+1,1)</f>
        <v>AR</v>
      </c>
    </row>
    <row r="1103" customFormat="false" ht="15" hidden="false" customHeight="false" outlineLevel="0" collapsed="false">
      <c r="A1103" s="3" t="n">
        <v>1102</v>
      </c>
      <c r="B1103" s="3" t="s">
        <v>2652</v>
      </c>
      <c r="C1103" s="4" t="s">
        <v>2637</v>
      </c>
      <c r="D1103" s="4" t="s">
        <v>2653</v>
      </c>
      <c r="E1103" s="3" t="s">
        <v>28</v>
      </c>
      <c r="F1103" s="3" t="s">
        <v>789</v>
      </c>
      <c r="G1103" s="3" t="s">
        <v>790</v>
      </c>
      <c r="H1103" s="3" t="s">
        <v>31</v>
      </c>
      <c r="I1103" s="3" t="s">
        <v>32</v>
      </c>
      <c r="J1103" s="3" t="s">
        <v>171</v>
      </c>
      <c r="K1103" s="3" t="s">
        <v>172</v>
      </c>
      <c r="L1103" s="3" t="s">
        <v>157</v>
      </c>
      <c r="M1103" s="3" t="s">
        <v>259</v>
      </c>
      <c r="N1103" s="3" t="s">
        <v>89</v>
      </c>
      <c r="O1103" s="3" t="s">
        <v>174</v>
      </c>
      <c r="P1103" s="3" t="s">
        <v>260</v>
      </c>
      <c r="Q1103" s="5" t="n">
        <v>1953.4</v>
      </c>
      <c r="R1103" s="3" t="n">
        <v>7</v>
      </c>
      <c r="S1103" s="6" t="n">
        <v>0</v>
      </c>
      <c r="T1103" s="5" t="n">
        <v>-242.8</v>
      </c>
      <c r="U1103" s="3" t="str">
        <f aca="false">IF(T1103&lt;0,"Loss",IF(T1103=0,"Break-even","Profit"))</f>
        <v>Loss</v>
      </c>
      <c r="V1103" s="3" t="str">
        <f aca="false">IF(Q1103&lt;100,"Low",IF(Q1103&lt;=500,"Medium","High"))</f>
        <v>High</v>
      </c>
      <c r="W1103" s="3" t="n">
        <f aca="false">D1103-C1103</f>
        <v>7</v>
      </c>
      <c r="X1103" s="3" t="str">
        <f aca="false">TEXT(C1103,"mmmm")</f>
        <v>February</v>
      </c>
      <c r="Y1103" s="3" t="str">
        <f aca="false">LEFT(G1103,1)&amp;MID(G1103,FIND(" ",G1103)+1,1)</f>
        <v>LB</v>
      </c>
    </row>
    <row r="1104" customFormat="false" ht="15" hidden="false" customHeight="false" outlineLevel="0" collapsed="false">
      <c r="A1104" s="3" t="n">
        <v>1103</v>
      </c>
      <c r="B1104" s="3" t="s">
        <v>2654</v>
      </c>
      <c r="C1104" s="4" t="s">
        <v>2655</v>
      </c>
      <c r="D1104" s="4" t="s">
        <v>2656</v>
      </c>
      <c r="E1104" s="3" t="s">
        <v>84</v>
      </c>
      <c r="F1104" s="3" t="s">
        <v>1401</v>
      </c>
      <c r="G1104" s="3" t="s">
        <v>1402</v>
      </c>
      <c r="H1104" s="3" t="s">
        <v>56</v>
      </c>
      <c r="I1104" s="3" t="s">
        <v>32</v>
      </c>
      <c r="J1104" s="3" t="s">
        <v>77</v>
      </c>
      <c r="K1104" s="3" t="s">
        <v>78</v>
      </c>
      <c r="L1104" s="3" t="s">
        <v>59</v>
      </c>
      <c r="M1104" s="3" t="s">
        <v>225</v>
      </c>
      <c r="N1104" s="3" t="s">
        <v>37</v>
      </c>
      <c r="O1104" s="3" t="s">
        <v>196</v>
      </c>
      <c r="P1104" s="3" t="s">
        <v>226</v>
      </c>
      <c r="Q1104" s="5" t="n">
        <v>15185.3</v>
      </c>
      <c r="R1104" s="3" t="n">
        <v>12</v>
      </c>
      <c r="S1104" s="6" t="n">
        <v>0.2</v>
      </c>
      <c r="T1104" s="5" t="n">
        <v>-2362.97</v>
      </c>
      <c r="U1104" s="3" t="str">
        <f aca="false">IF(T1104&lt;0,"Loss",IF(T1104=0,"Break-even","Profit"))</f>
        <v>Loss</v>
      </c>
      <c r="V1104" s="3" t="str">
        <f aca="false">IF(Q1104&lt;100,"Low",IF(Q1104&lt;=500,"Medium","High"))</f>
        <v>High</v>
      </c>
      <c r="W1104" s="3" t="n">
        <f aca="false">D1104-C1104</f>
        <v>4</v>
      </c>
      <c r="X1104" s="3" t="str">
        <f aca="false">TEXT(C1104,"mmmm")</f>
        <v>February</v>
      </c>
      <c r="Y1104" s="3" t="str">
        <f aca="false">LEFT(G1104,1)&amp;MID(G1104,FIND(" ",G1104)+1,1)</f>
        <v>SS</v>
      </c>
    </row>
    <row r="1105" customFormat="false" ht="15" hidden="false" customHeight="false" outlineLevel="0" collapsed="false">
      <c r="A1105" s="3" t="n">
        <v>1104</v>
      </c>
      <c r="B1105" s="3" t="s">
        <v>2657</v>
      </c>
      <c r="C1105" s="4" t="s">
        <v>2655</v>
      </c>
      <c r="D1105" s="4" t="s">
        <v>2646</v>
      </c>
      <c r="E1105" s="3" t="s">
        <v>42</v>
      </c>
      <c r="F1105" s="3" t="s">
        <v>2658</v>
      </c>
      <c r="G1105" s="3" t="s">
        <v>2659</v>
      </c>
      <c r="H1105" s="3" t="s">
        <v>45</v>
      </c>
      <c r="I1105" s="3" t="s">
        <v>32</v>
      </c>
      <c r="J1105" s="3" t="s">
        <v>95</v>
      </c>
      <c r="K1105" s="3" t="s">
        <v>96</v>
      </c>
      <c r="L1105" s="3" t="s">
        <v>59</v>
      </c>
      <c r="M1105" s="3" t="s">
        <v>420</v>
      </c>
      <c r="N1105" s="3" t="s">
        <v>49</v>
      </c>
      <c r="O1105" s="3" t="s">
        <v>80</v>
      </c>
      <c r="P1105" s="3" t="s">
        <v>421</v>
      </c>
      <c r="Q1105" s="5" t="n">
        <v>265.24</v>
      </c>
      <c r="R1105" s="3" t="n">
        <v>11</v>
      </c>
      <c r="S1105" s="6" t="n">
        <v>0.3</v>
      </c>
      <c r="T1105" s="5" t="n">
        <v>31.85</v>
      </c>
      <c r="U1105" s="3" t="str">
        <f aca="false">IF(T1105&lt;0,"Loss",IF(T1105=0,"Break-even","Profit"))</f>
        <v>Profit</v>
      </c>
      <c r="V1105" s="3" t="str">
        <f aca="false">IF(Q1105&lt;100,"Low",IF(Q1105&lt;=500,"Medium","High"))</f>
        <v>Medium</v>
      </c>
      <c r="W1105" s="3" t="n">
        <f aca="false">D1105-C1105</f>
        <v>1</v>
      </c>
      <c r="X1105" s="3" t="str">
        <f aca="false">TEXT(C1105,"mmmm")</f>
        <v>February</v>
      </c>
      <c r="Y1105" s="3" t="str">
        <f aca="false">LEFT(G1105,1)&amp;MID(G1105,FIND(" ",G1105)+1,1)</f>
        <v>JJ</v>
      </c>
    </row>
    <row r="1106" customFormat="false" ht="15" hidden="false" customHeight="false" outlineLevel="0" collapsed="false">
      <c r="A1106" s="3" t="n">
        <v>1105</v>
      </c>
      <c r="B1106" s="3" t="s">
        <v>2660</v>
      </c>
      <c r="C1106" s="4" t="s">
        <v>2646</v>
      </c>
      <c r="D1106" s="4" t="s">
        <v>2661</v>
      </c>
      <c r="E1106" s="3" t="s">
        <v>42</v>
      </c>
      <c r="F1106" s="3" t="s">
        <v>1318</v>
      </c>
      <c r="G1106" s="3" t="s">
        <v>1319</v>
      </c>
      <c r="H1106" s="3" t="s">
        <v>56</v>
      </c>
      <c r="I1106" s="3" t="s">
        <v>32</v>
      </c>
      <c r="J1106" s="3" t="s">
        <v>299</v>
      </c>
      <c r="K1106" s="3" t="s">
        <v>189</v>
      </c>
      <c r="L1106" s="3" t="s">
        <v>59</v>
      </c>
      <c r="M1106" s="3" t="s">
        <v>142</v>
      </c>
      <c r="N1106" s="3" t="s">
        <v>49</v>
      </c>
      <c r="O1106" s="3" t="s">
        <v>143</v>
      </c>
      <c r="P1106" s="3" t="s">
        <v>144</v>
      </c>
      <c r="Q1106" s="5" t="n">
        <v>348.91</v>
      </c>
      <c r="R1106" s="3" t="n">
        <v>5</v>
      </c>
      <c r="S1106" s="6" t="n">
        <v>0.3</v>
      </c>
      <c r="T1106" s="5" t="n">
        <v>-39.94</v>
      </c>
      <c r="U1106" s="3" t="str">
        <f aca="false">IF(T1106&lt;0,"Loss",IF(T1106=0,"Break-even","Profit"))</f>
        <v>Loss</v>
      </c>
      <c r="V1106" s="3" t="str">
        <f aca="false">IF(Q1106&lt;100,"Low",IF(Q1106&lt;=500,"Medium","High"))</f>
        <v>Medium</v>
      </c>
      <c r="W1106" s="3" t="n">
        <f aca="false">D1106-C1106</f>
        <v>2</v>
      </c>
      <c r="X1106" s="3" t="str">
        <f aca="false">TEXT(C1106,"mmmm")</f>
        <v>February</v>
      </c>
      <c r="Y1106" s="3" t="str">
        <f aca="false">LEFT(G1106,1)&amp;MID(G1106,FIND(" ",G1106)+1,1)</f>
        <v>WK</v>
      </c>
    </row>
    <row r="1107" customFormat="false" ht="15" hidden="false" customHeight="false" outlineLevel="0" collapsed="false">
      <c r="A1107" s="3" t="n">
        <v>1106</v>
      </c>
      <c r="B1107" s="3" t="s">
        <v>2662</v>
      </c>
      <c r="C1107" s="4" t="s">
        <v>2646</v>
      </c>
      <c r="D1107" s="4" t="s">
        <v>2653</v>
      </c>
      <c r="E1107" s="3" t="s">
        <v>84</v>
      </c>
      <c r="F1107" s="3" t="s">
        <v>546</v>
      </c>
      <c r="G1107" s="3" t="s">
        <v>547</v>
      </c>
      <c r="H1107" s="3" t="s">
        <v>56</v>
      </c>
      <c r="I1107" s="3" t="s">
        <v>32</v>
      </c>
      <c r="J1107" s="3" t="s">
        <v>243</v>
      </c>
      <c r="K1107" s="3" t="s">
        <v>244</v>
      </c>
      <c r="L1107" s="3" t="s">
        <v>157</v>
      </c>
      <c r="M1107" s="3" t="s">
        <v>88</v>
      </c>
      <c r="N1107" s="3" t="s">
        <v>89</v>
      </c>
      <c r="O1107" s="3" t="s">
        <v>90</v>
      </c>
      <c r="P1107" s="3" t="s">
        <v>91</v>
      </c>
      <c r="Q1107" s="5" t="n">
        <v>334.87</v>
      </c>
      <c r="R1107" s="3" t="n">
        <v>3</v>
      </c>
      <c r="S1107" s="6" t="n">
        <v>0.1</v>
      </c>
      <c r="T1107" s="5" t="n">
        <v>-69.66</v>
      </c>
      <c r="U1107" s="3" t="str">
        <f aca="false">IF(T1107&lt;0,"Loss",IF(T1107=0,"Break-even","Profit"))</f>
        <v>Loss</v>
      </c>
      <c r="V1107" s="3" t="str">
        <f aca="false">IF(Q1107&lt;100,"Low",IF(Q1107&lt;=500,"Medium","High"))</f>
        <v>Medium</v>
      </c>
      <c r="W1107" s="3" t="n">
        <f aca="false">D1107-C1107</f>
        <v>4</v>
      </c>
      <c r="X1107" s="3" t="str">
        <f aca="false">TEXT(C1107,"mmmm")</f>
        <v>February</v>
      </c>
      <c r="Y1107" s="3" t="str">
        <f aca="false">LEFT(G1107,1)&amp;MID(G1107,FIND(" ",G1107)+1,1)</f>
        <v>DB</v>
      </c>
    </row>
    <row r="1108" customFormat="false" ht="15" hidden="false" customHeight="false" outlineLevel="0" collapsed="false">
      <c r="A1108" s="3" t="n">
        <v>1107</v>
      </c>
      <c r="B1108" s="3" t="s">
        <v>2663</v>
      </c>
      <c r="C1108" s="4" t="s">
        <v>2661</v>
      </c>
      <c r="D1108" s="4" t="s">
        <v>2664</v>
      </c>
      <c r="E1108" s="3" t="s">
        <v>28</v>
      </c>
      <c r="F1108" s="3" t="s">
        <v>1031</v>
      </c>
      <c r="G1108" s="3" t="s">
        <v>1032</v>
      </c>
      <c r="H1108" s="3" t="s">
        <v>45</v>
      </c>
      <c r="I1108" s="3" t="s">
        <v>32</v>
      </c>
      <c r="J1108" s="3" t="s">
        <v>208</v>
      </c>
      <c r="K1108" s="3" t="s">
        <v>134</v>
      </c>
      <c r="L1108" s="3" t="s">
        <v>69</v>
      </c>
      <c r="M1108" s="3" t="s">
        <v>225</v>
      </c>
      <c r="N1108" s="3" t="s">
        <v>37</v>
      </c>
      <c r="O1108" s="3" t="s">
        <v>196</v>
      </c>
      <c r="P1108" s="3" t="s">
        <v>226</v>
      </c>
      <c r="Q1108" s="5" t="n">
        <v>20961.88</v>
      </c>
      <c r="R1108" s="3" t="n">
        <v>12</v>
      </c>
      <c r="S1108" s="6" t="n">
        <v>0</v>
      </c>
      <c r="T1108" s="5" t="n">
        <v>4588.87</v>
      </c>
      <c r="U1108" s="3" t="str">
        <f aca="false">IF(T1108&lt;0,"Loss",IF(T1108=0,"Break-even","Profit"))</f>
        <v>Profit</v>
      </c>
      <c r="V1108" s="3" t="str">
        <f aca="false">IF(Q1108&lt;100,"Low",IF(Q1108&lt;=500,"Medium","High"))</f>
        <v>High</v>
      </c>
      <c r="W1108" s="3" t="n">
        <f aca="false">D1108-C1108</f>
        <v>3</v>
      </c>
      <c r="X1108" s="3" t="str">
        <f aca="false">TEXT(C1108,"mmmm")</f>
        <v>February</v>
      </c>
      <c r="Y1108" s="3" t="str">
        <f aca="false">LEFT(G1108,1)&amp;MID(G1108,FIND(" ",G1108)+1,1)</f>
        <v>CS</v>
      </c>
    </row>
    <row r="1109" customFormat="false" ht="15" hidden="false" customHeight="false" outlineLevel="0" collapsed="false">
      <c r="A1109" s="3" t="n">
        <v>1108</v>
      </c>
      <c r="B1109" s="3" t="s">
        <v>2665</v>
      </c>
      <c r="C1109" s="4" t="s">
        <v>2656</v>
      </c>
      <c r="D1109" s="4" t="s">
        <v>2664</v>
      </c>
      <c r="E1109" s="3" t="s">
        <v>84</v>
      </c>
      <c r="F1109" s="3" t="s">
        <v>1131</v>
      </c>
      <c r="G1109" s="3" t="s">
        <v>1132</v>
      </c>
      <c r="H1109" s="3" t="s">
        <v>56</v>
      </c>
      <c r="I1109" s="3" t="s">
        <v>32</v>
      </c>
      <c r="J1109" s="3" t="s">
        <v>67</v>
      </c>
      <c r="K1109" s="3" t="s">
        <v>68</v>
      </c>
      <c r="L1109" s="3" t="s">
        <v>69</v>
      </c>
      <c r="M1109" s="3" t="s">
        <v>121</v>
      </c>
      <c r="N1109" s="3" t="s">
        <v>49</v>
      </c>
      <c r="O1109" s="3" t="s">
        <v>50</v>
      </c>
      <c r="P1109" s="3" t="s">
        <v>122</v>
      </c>
      <c r="Q1109" s="5" t="n">
        <v>97.87</v>
      </c>
      <c r="R1109" s="3" t="n">
        <v>3</v>
      </c>
      <c r="S1109" s="6" t="n">
        <v>0</v>
      </c>
      <c r="T1109" s="5" t="n">
        <v>7.49</v>
      </c>
      <c r="U1109" s="3" t="str">
        <f aca="false">IF(T1109&lt;0,"Loss",IF(T1109=0,"Break-even","Profit"))</f>
        <v>Profit</v>
      </c>
      <c r="V1109" s="3" t="str">
        <f aca="false">IF(Q1109&lt;100,"Low",IF(Q1109&lt;=500,"Medium","High"))</f>
        <v>Low</v>
      </c>
      <c r="W1109" s="3" t="n">
        <f aca="false">D1109-C1109</f>
        <v>2</v>
      </c>
      <c r="X1109" s="3" t="str">
        <f aca="false">TEXT(C1109,"mmmm")</f>
        <v>February</v>
      </c>
      <c r="Y1109" s="3" t="str">
        <f aca="false">LEFT(G1109,1)&amp;MID(G1109,FIND(" ",G1109)+1,1)</f>
        <v>JJ</v>
      </c>
    </row>
    <row r="1110" customFormat="false" ht="15" hidden="false" customHeight="false" outlineLevel="0" collapsed="false">
      <c r="A1110" s="3" t="n">
        <v>1109</v>
      </c>
      <c r="B1110" s="3" t="s">
        <v>2666</v>
      </c>
      <c r="C1110" s="4" t="s">
        <v>2653</v>
      </c>
      <c r="D1110" s="4" t="s">
        <v>2667</v>
      </c>
      <c r="E1110" s="3" t="s">
        <v>28</v>
      </c>
      <c r="F1110" s="3" t="s">
        <v>1063</v>
      </c>
      <c r="G1110" s="3" t="s">
        <v>1064</v>
      </c>
      <c r="H1110" s="3" t="s">
        <v>45</v>
      </c>
      <c r="I1110" s="3" t="s">
        <v>32</v>
      </c>
      <c r="J1110" s="3" t="s">
        <v>208</v>
      </c>
      <c r="K1110" s="3" t="s">
        <v>134</v>
      </c>
      <c r="L1110" s="3" t="s">
        <v>69</v>
      </c>
      <c r="M1110" s="3" t="s">
        <v>158</v>
      </c>
      <c r="N1110" s="3" t="s">
        <v>49</v>
      </c>
      <c r="O1110" s="3" t="s">
        <v>159</v>
      </c>
      <c r="P1110" s="3" t="s">
        <v>160</v>
      </c>
      <c r="Q1110" s="5" t="n">
        <v>101.45</v>
      </c>
      <c r="R1110" s="3" t="n">
        <v>5</v>
      </c>
      <c r="S1110" s="6" t="n">
        <v>0.1</v>
      </c>
      <c r="T1110" s="5" t="n">
        <v>23.19</v>
      </c>
      <c r="U1110" s="3" t="str">
        <f aca="false">IF(T1110&lt;0,"Loss",IF(T1110=0,"Break-even","Profit"))</f>
        <v>Profit</v>
      </c>
      <c r="V1110" s="3" t="str">
        <f aca="false">IF(Q1110&lt;100,"Low",IF(Q1110&lt;=500,"Medium","High"))</f>
        <v>Medium</v>
      </c>
      <c r="W1110" s="3" t="n">
        <f aca="false">D1110-C1110</f>
        <v>4</v>
      </c>
      <c r="X1110" s="3" t="str">
        <f aca="false">TEXT(C1110,"mmmm")</f>
        <v>February</v>
      </c>
      <c r="Y1110" s="3" t="str">
        <f aca="false">LEFT(G1110,1)&amp;MID(G1110,FIND(" ",G1110)+1,1)</f>
        <v>AB</v>
      </c>
    </row>
    <row r="1111" customFormat="false" ht="15" hidden="false" customHeight="false" outlineLevel="0" collapsed="false">
      <c r="A1111" s="3" t="n">
        <v>1110</v>
      </c>
      <c r="B1111" s="3" t="s">
        <v>2668</v>
      </c>
      <c r="C1111" s="4" t="s">
        <v>2664</v>
      </c>
      <c r="D1111" s="4" t="s">
        <v>2669</v>
      </c>
      <c r="E1111" s="3" t="s">
        <v>28</v>
      </c>
      <c r="F1111" s="3" t="s">
        <v>412</v>
      </c>
      <c r="G1111" s="3" t="s">
        <v>413</v>
      </c>
      <c r="H1111" s="3" t="s">
        <v>45</v>
      </c>
      <c r="I1111" s="3" t="s">
        <v>32</v>
      </c>
      <c r="J1111" s="3" t="s">
        <v>104</v>
      </c>
      <c r="K1111" s="3" t="s">
        <v>96</v>
      </c>
      <c r="L1111" s="3" t="s">
        <v>59</v>
      </c>
      <c r="M1111" s="3" t="s">
        <v>259</v>
      </c>
      <c r="N1111" s="3" t="s">
        <v>89</v>
      </c>
      <c r="O1111" s="3" t="s">
        <v>174</v>
      </c>
      <c r="P1111" s="3" t="s">
        <v>260</v>
      </c>
      <c r="Q1111" s="5" t="n">
        <v>669.14</v>
      </c>
      <c r="R1111" s="3" t="n">
        <v>1</v>
      </c>
      <c r="S1111" s="6" t="n">
        <v>0.2</v>
      </c>
      <c r="T1111" s="5" t="n">
        <v>-93.74</v>
      </c>
      <c r="U1111" s="3" t="str">
        <f aca="false">IF(T1111&lt;0,"Loss",IF(T1111=0,"Break-even","Profit"))</f>
        <v>Loss</v>
      </c>
      <c r="V1111" s="3" t="str">
        <f aca="false">IF(Q1111&lt;100,"Low",IF(Q1111&lt;=500,"Medium","High"))</f>
        <v>High</v>
      </c>
      <c r="W1111" s="3" t="n">
        <f aca="false">D1111-C1111</f>
        <v>7</v>
      </c>
      <c r="X1111" s="3" t="str">
        <f aca="false">TEXT(C1111,"mmmm")</f>
        <v>February</v>
      </c>
      <c r="Y1111" s="3" t="str">
        <f aca="false">LEFT(G1111,1)&amp;MID(G1111,FIND(" ",G1111)+1,1)</f>
        <v>LS</v>
      </c>
    </row>
    <row r="1112" customFormat="false" ht="15" hidden="false" customHeight="false" outlineLevel="0" collapsed="false">
      <c r="A1112" s="3" t="n">
        <v>1111</v>
      </c>
      <c r="B1112" s="3" t="s">
        <v>2670</v>
      </c>
      <c r="C1112" s="4" t="s">
        <v>2671</v>
      </c>
      <c r="D1112" s="4" t="s">
        <v>2672</v>
      </c>
      <c r="E1112" s="3" t="s">
        <v>42</v>
      </c>
      <c r="F1112" s="3" t="s">
        <v>1206</v>
      </c>
      <c r="G1112" s="3" t="s">
        <v>1207</v>
      </c>
      <c r="H1112" s="3" t="s">
        <v>31</v>
      </c>
      <c r="I1112" s="3" t="s">
        <v>32</v>
      </c>
      <c r="J1112" s="3" t="s">
        <v>299</v>
      </c>
      <c r="K1112" s="3" t="s">
        <v>189</v>
      </c>
      <c r="L1112" s="3" t="s">
        <v>59</v>
      </c>
      <c r="M1112" s="3" t="s">
        <v>470</v>
      </c>
      <c r="N1112" s="3" t="s">
        <v>49</v>
      </c>
      <c r="O1112" s="3" t="s">
        <v>159</v>
      </c>
      <c r="P1112" s="3" t="s">
        <v>471</v>
      </c>
      <c r="Q1112" s="5" t="n">
        <v>197.34</v>
      </c>
      <c r="R1112" s="3" t="n">
        <v>2</v>
      </c>
      <c r="S1112" s="6" t="n">
        <v>0.3</v>
      </c>
      <c r="T1112" s="5" t="n">
        <v>55.03</v>
      </c>
      <c r="U1112" s="3" t="str">
        <f aca="false">IF(T1112&lt;0,"Loss",IF(T1112=0,"Break-even","Profit"))</f>
        <v>Profit</v>
      </c>
      <c r="V1112" s="3" t="str">
        <f aca="false">IF(Q1112&lt;100,"Low",IF(Q1112&lt;=500,"Medium","High"))</f>
        <v>Medium</v>
      </c>
      <c r="W1112" s="3" t="n">
        <f aca="false">D1112-C1112</f>
        <v>1</v>
      </c>
      <c r="X1112" s="3" t="str">
        <f aca="false">TEXT(C1112,"mmmm")</f>
        <v>February</v>
      </c>
      <c r="Y1112" s="3" t="str">
        <f aca="false">LEFT(G1112,1)&amp;MID(G1112,FIND(" ",G1112)+1,1)</f>
        <v>LN</v>
      </c>
    </row>
    <row r="1113" customFormat="false" ht="15" hidden="false" customHeight="false" outlineLevel="0" collapsed="false">
      <c r="A1113" s="3" t="n">
        <v>1112</v>
      </c>
      <c r="B1113" s="3" t="s">
        <v>2673</v>
      </c>
      <c r="C1113" s="4" t="s">
        <v>2671</v>
      </c>
      <c r="D1113" s="4" t="s">
        <v>2667</v>
      </c>
      <c r="E1113" s="3" t="s">
        <v>84</v>
      </c>
      <c r="F1113" s="3" t="s">
        <v>1024</v>
      </c>
      <c r="G1113" s="3" t="s">
        <v>1025</v>
      </c>
      <c r="H1113" s="3" t="s">
        <v>31</v>
      </c>
      <c r="I1113" s="3" t="s">
        <v>32</v>
      </c>
      <c r="J1113" s="3" t="s">
        <v>315</v>
      </c>
      <c r="K1113" s="3" t="s">
        <v>58</v>
      </c>
      <c r="L1113" s="3" t="s">
        <v>59</v>
      </c>
      <c r="M1113" s="3" t="s">
        <v>259</v>
      </c>
      <c r="N1113" s="3" t="s">
        <v>89</v>
      </c>
      <c r="O1113" s="3" t="s">
        <v>174</v>
      </c>
      <c r="P1113" s="3" t="s">
        <v>260</v>
      </c>
      <c r="Q1113" s="5" t="n">
        <v>2793.71</v>
      </c>
      <c r="R1113" s="3" t="n">
        <v>10</v>
      </c>
      <c r="S1113" s="6" t="n">
        <v>0</v>
      </c>
      <c r="T1113" s="5" t="n">
        <v>84.96</v>
      </c>
      <c r="U1113" s="3" t="str">
        <f aca="false">IF(T1113&lt;0,"Loss",IF(T1113=0,"Break-even","Profit"))</f>
        <v>Profit</v>
      </c>
      <c r="V1113" s="3" t="str">
        <f aca="false">IF(Q1113&lt;100,"Low",IF(Q1113&lt;=500,"Medium","High"))</f>
        <v>High</v>
      </c>
      <c r="W1113" s="3" t="n">
        <f aca="false">D1113-C1113</f>
        <v>2</v>
      </c>
      <c r="X1113" s="3" t="str">
        <f aca="false">TEXT(C1113,"mmmm")</f>
        <v>February</v>
      </c>
      <c r="Y1113" s="3" t="str">
        <f aca="false">LEFT(G1113,1)&amp;MID(G1113,FIND(" ",G1113)+1,1)</f>
        <v>LW</v>
      </c>
    </row>
    <row r="1114" customFormat="false" ht="15" hidden="false" customHeight="false" outlineLevel="0" collapsed="false">
      <c r="A1114" s="3" t="n">
        <v>1113</v>
      </c>
      <c r="B1114" s="3" t="s">
        <v>2674</v>
      </c>
      <c r="C1114" s="4" t="s">
        <v>2671</v>
      </c>
      <c r="D1114" s="4" t="s">
        <v>2675</v>
      </c>
      <c r="E1114" s="3" t="s">
        <v>28</v>
      </c>
      <c r="F1114" s="3" t="s">
        <v>1233</v>
      </c>
      <c r="G1114" s="3" t="s">
        <v>1234</v>
      </c>
      <c r="H1114" s="3" t="s">
        <v>45</v>
      </c>
      <c r="I1114" s="3" t="s">
        <v>32</v>
      </c>
      <c r="J1114" s="3" t="s">
        <v>77</v>
      </c>
      <c r="K1114" s="3" t="s">
        <v>78</v>
      </c>
      <c r="L1114" s="3" t="s">
        <v>59</v>
      </c>
      <c r="M1114" s="3" t="s">
        <v>70</v>
      </c>
      <c r="N1114" s="3" t="s">
        <v>37</v>
      </c>
      <c r="O1114" s="3" t="s">
        <v>71</v>
      </c>
      <c r="P1114" s="3" t="s">
        <v>72</v>
      </c>
      <c r="Q1114" s="5" t="n">
        <v>2928.89</v>
      </c>
      <c r="R1114" s="3" t="n">
        <v>2</v>
      </c>
      <c r="S1114" s="6" t="n">
        <v>0</v>
      </c>
      <c r="T1114" s="5" t="n">
        <v>233.74</v>
      </c>
      <c r="U1114" s="3" t="str">
        <f aca="false">IF(T1114&lt;0,"Loss",IF(T1114=0,"Break-even","Profit"))</f>
        <v>Profit</v>
      </c>
      <c r="V1114" s="3" t="str">
        <f aca="false">IF(Q1114&lt;100,"Low",IF(Q1114&lt;=500,"Medium","High"))</f>
        <v>High</v>
      </c>
      <c r="W1114" s="3" t="n">
        <f aca="false">D1114-C1114</f>
        <v>3</v>
      </c>
      <c r="X1114" s="3" t="str">
        <f aca="false">TEXT(C1114,"mmmm")</f>
        <v>February</v>
      </c>
      <c r="Y1114" s="3" t="str">
        <f aca="false">LEFT(G1114,1)&amp;MID(G1114,FIND(" ",G1114)+1,1)</f>
        <v>WJ</v>
      </c>
    </row>
    <row r="1115" customFormat="false" ht="15" hidden="false" customHeight="false" outlineLevel="0" collapsed="false">
      <c r="A1115" s="3" t="n">
        <v>1114</v>
      </c>
      <c r="B1115" s="3" t="s">
        <v>2676</v>
      </c>
      <c r="C1115" s="4" t="s">
        <v>2672</v>
      </c>
      <c r="D1115" s="4" t="s">
        <v>2675</v>
      </c>
      <c r="E1115" s="3" t="s">
        <v>42</v>
      </c>
      <c r="F1115" s="3" t="s">
        <v>1670</v>
      </c>
      <c r="G1115" s="3" t="s">
        <v>1671</v>
      </c>
      <c r="H1115" s="3" t="s">
        <v>56</v>
      </c>
      <c r="I1115" s="3" t="s">
        <v>32</v>
      </c>
      <c r="J1115" s="3" t="s">
        <v>208</v>
      </c>
      <c r="K1115" s="3" t="s">
        <v>134</v>
      </c>
      <c r="L1115" s="3" t="s">
        <v>69</v>
      </c>
      <c r="M1115" s="3" t="s">
        <v>237</v>
      </c>
      <c r="N1115" s="3" t="s">
        <v>49</v>
      </c>
      <c r="O1115" s="3" t="s">
        <v>220</v>
      </c>
      <c r="P1115" s="3" t="s">
        <v>238</v>
      </c>
      <c r="Q1115" s="5" t="n">
        <v>333.73</v>
      </c>
      <c r="R1115" s="3" t="n">
        <v>8</v>
      </c>
      <c r="S1115" s="6" t="n">
        <v>0.2</v>
      </c>
      <c r="T1115" s="5" t="n">
        <v>-53.84</v>
      </c>
      <c r="U1115" s="3" t="str">
        <f aca="false">IF(T1115&lt;0,"Loss",IF(T1115=0,"Break-even","Profit"))</f>
        <v>Loss</v>
      </c>
      <c r="V1115" s="3" t="str">
        <f aca="false">IF(Q1115&lt;100,"Low",IF(Q1115&lt;=500,"Medium","High"))</f>
        <v>Medium</v>
      </c>
      <c r="W1115" s="3" t="n">
        <f aca="false">D1115-C1115</f>
        <v>2</v>
      </c>
      <c r="X1115" s="3" t="str">
        <f aca="false">TEXT(C1115,"mmmm")</f>
        <v>February</v>
      </c>
      <c r="Y1115" s="3" t="str">
        <f aca="false">LEFT(G1115,1)&amp;MID(G1115,FIND(" ",G1115)+1,1)</f>
        <v>FS</v>
      </c>
    </row>
    <row r="1116" customFormat="false" ht="15" hidden="false" customHeight="false" outlineLevel="0" collapsed="false">
      <c r="A1116" s="3" t="n">
        <v>1115</v>
      </c>
      <c r="B1116" s="3" t="s">
        <v>2677</v>
      </c>
      <c r="C1116" s="4" t="s">
        <v>2667</v>
      </c>
      <c r="D1116" s="4" t="s">
        <v>2669</v>
      </c>
      <c r="E1116" s="3" t="s">
        <v>28</v>
      </c>
      <c r="F1116" s="3" t="s">
        <v>2678</v>
      </c>
      <c r="G1116" s="3" t="s">
        <v>2679</v>
      </c>
      <c r="H1116" s="3" t="s">
        <v>31</v>
      </c>
      <c r="I1116" s="3" t="s">
        <v>32</v>
      </c>
      <c r="J1116" s="3" t="s">
        <v>208</v>
      </c>
      <c r="K1116" s="3" t="s">
        <v>134</v>
      </c>
      <c r="L1116" s="3" t="s">
        <v>69</v>
      </c>
      <c r="M1116" s="3" t="s">
        <v>48</v>
      </c>
      <c r="N1116" s="3" t="s">
        <v>49</v>
      </c>
      <c r="O1116" s="3" t="s">
        <v>50</v>
      </c>
      <c r="P1116" s="3" t="s">
        <v>51</v>
      </c>
      <c r="Q1116" s="5" t="n">
        <v>205.24</v>
      </c>
      <c r="R1116" s="3" t="n">
        <v>9</v>
      </c>
      <c r="S1116" s="6" t="n">
        <v>0.2</v>
      </c>
      <c r="T1116" s="5" t="n">
        <v>37</v>
      </c>
      <c r="U1116" s="3" t="str">
        <f aca="false">IF(T1116&lt;0,"Loss",IF(T1116=0,"Break-even","Profit"))</f>
        <v>Profit</v>
      </c>
      <c r="V1116" s="3" t="str">
        <f aca="false">IF(Q1116&lt;100,"Low",IF(Q1116&lt;=500,"Medium","High"))</f>
        <v>Medium</v>
      </c>
      <c r="W1116" s="3" t="n">
        <f aca="false">D1116-C1116</f>
        <v>4</v>
      </c>
      <c r="X1116" s="3" t="str">
        <f aca="false">TEXT(C1116,"mmmm")</f>
        <v>February</v>
      </c>
      <c r="Y1116" s="3" t="str">
        <f aca="false">LEFT(G1116,1)&amp;MID(G1116,FIND(" ",G1116)+1,1)</f>
        <v>EM</v>
      </c>
    </row>
    <row r="1117" customFormat="false" ht="15" hidden="false" customHeight="false" outlineLevel="0" collapsed="false">
      <c r="A1117" s="3" t="n">
        <v>1116</v>
      </c>
      <c r="B1117" s="3" t="s">
        <v>2680</v>
      </c>
      <c r="C1117" s="4" t="s">
        <v>2667</v>
      </c>
      <c r="D1117" s="4" t="s">
        <v>2669</v>
      </c>
      <c r="E1117" s="3" t="s">
        <v>28</v>
      </c>
      <c r="F1117" s="3" t="s">
        <v>445</v>
      </c>
      <c r="G1117" s="3" t="s">
        <v>446</v>
      </c>
      <c r="H1117" s="3" t="s">
        <v>45</v>
      </c>
      <c r="I1117" s="3" t="s">
        <v>32</v>
      </c>
      <c r="J1117" s="3" t="s">
        <v>171</v>
      </c>
      <c r="K1117" s="3" t="s">
        <v>172</v>
      </c>
      <c r="L1117" s="3" t="s">
        <v>157</v>
      </c>
      <c r="M1117" s="3" t="s">
        <v>209</v>
      </c>
      <c r="N1117" s="3" t="s">
        <v>49</v>
      </c>
      <c r="O1117" s="3" t="s">
        <v>106</v>
      </c>
      <c r="P1117" s="3" t="s">
        <v>210</v>
      </c>
      <c r="Q1117" s="5" t="n">
        <v>1128.69</v>
      </c>
      <c r="R1117" s="3" t="n">
        <v>11</v>
      </c>
      <c r="S1117" s="6" t="n">
        <v>0</v>
      </c>
      <c r="T1117" s="5" t="n">
        <v>303.89</v>
      </c>
      <c r="U1117" s="3" t="str">
        <f aca="false">IF(T1117&lt;0,"Loss",IF(T1117=0,"Break-even","Profit"))</f>
        <v>Profit</v>
      </c>
      <c r="V1117" s="3" t="str">
        <f aca="false">IF(Q1117&lt;100,"Low",IF(Q1117&lt;=500,"Medium","High"))</f>
        <v>High</v>
      </c>
      <c r="W1117" s="3" t="n">
        <f aca="false">D1117-C1117</f>
        <v>4</v>
      </c>
      <c r="X1117" s="3" t="str">
        <f aca="false">TEXT(C1117,"mmmm")</f>
        <v>February</v>
      </c>
      <c r="Y1117" s="3" t="str">
        <f aca="false">LEFT(G1117,1)&amp;MID(G1117,FIND(" ",G1117)+1,1)</f>
        <v>JN</v>
      </c>
    </row>
    <row r="1118" customFormat="false" ht="15" hidden="false" customHeight="false" outlineLevel="0" collapsed="false">
      <c r="A1118" s="3" t="n">
        <v>1117</v>
      </c>
      <c r="B1118" s="3" t="s">
        <v>2681</v>
      </c>
      <c r="C1118" s="4" t="s">
        <v>2675</v>
      </c>
      <c r="D1118" s="4" t="s">
        <v>2682</v>
      </c>
      <c r="E1118" s="3" t="s">
        <v>42</v>
      </c>
      <c r="F1118" s="3" t="s">
        <v>2584</v>
      </c>
      <c r="G1118" s="3" t="s">
        <v>2585</v>
      </c>
      <c r="H1118" s="3" t="s">
        <v>56</v>
      </c>
      <c r="I1118" s="3" t="s">
        <v>32</v>
      </c>
      <c r="J1118" s="3" t="s">
        <v>201</v>
      </c>
      <c r="K1118" s="3" t="s">
        <v>202</v>
      </c>
      <c r="L1118" s="3" t="s">
        <v>35</v>
      </c>
      <c r="M1118" s="3" t="s">
        <v>290</v>
      </c>
      <c r="N1118" s="3" t="s">
        <v>37</v>
      </c>
      <c r="O1118" s="3" t="s">
        <v>38</v>
      </c>
      <c r="P1118" s="3" t="s">
        <v>291</v>
      </c>
      <c r="Q1118" s="5" t="n">
        <v>5311.65</v>
      </c>
      <c r="R1118" s="3" t="n">
        <v>4</v>
      </c>
      <c r="S1118" s="6" t="n">
        <v>0.1</v>
      </c>
      <c r="T1118" s="5" t="n">
        <v>-9.34</v>
      </c>
      <c r="U1118" s="3" t="str">
        <f aca="false">IF(T1118&lt;0,"Loss",IF(T1118=0,"Break-even","Profit"))</f>
        <v>Loss</v>
      </c>
      <c r="V1118" s="3" t="str">
        <f aca="false">IF(Q1118&lt;100,"Low",IF(Q1118&lt;=500,"Medium","High"))</f>
        <v>High</v>
      </c>
      <c r="W1118" s="3" t="n">
        <f aca="false">D1118-C1118</f>
        <v>1</v>
      </c>
      <c r="X1118" s="3" t="str">
        <f aca="false">TEXT(C1118,"mmmm")</f>
        <v>February</v>
      </c>
      <c r="Y1118" s="3" t="str">
        <f aca="false">LEFT(G1118,1)&amp;MID(G1118,FIND(" ",G1118)+1,1)</f>
        <v>EN</v>
      </c>
    </row>
    <row r="1119" customFormat="false" ht="15" hidden="false" customHeight="false" outlineLevel="0" collapsed="false">
      <c r="A1119" s="3" t="n">
        <v>1118</v>
      </c>
      <c r="B1119" s="3" t="s">
        <v>2683</v>
      </c>
      <c r="C1119" s="4" t="s">
        <v>2675</v>
      </c>
      <c r="D1119" s="4" t="s">
        <v>2684</v>
      </c>
      <c r="E1119" s="3" t="s">
        <v>84</v>
      </c>
      <c r="F1119" s="3" t="s">
        <v>186</v>
      </c>
      <c r="G1119" s="3" t="s">
        <v>187</v>
      </c>
      <c r="H1119" s="3" t="s">
        <v>31</v>
      </c>
      <c r="I1119" s="3" t="s">
        <v>32</v>
      </c>
      <c r="J1119" s="3" t="s">
        <v>95</v>
      </c>
      <c r="K1119" s="3" t="s">
        <v>96</v>
      </c>
      <c r="L1119" s="3" t="s">
        <v>59</v>
      </c>
      <c r="M1119" s="3" t="s">
        <v>190</v>
      </c>
      <c r="N1119" s="3" t="s">
        <v>49</v>
      </c>
      <c r="O1119" s="3" t="s">
        <v>150</v>
      </c>
      <c r="P1119" s="3" t="s">
        <v>191</v>
      </c>
      <c r="Q1119" s="5" t="n">
        <v>95.02</v>
      </c>
      <c r="R1119" s="3" t="n">
        <v>7</v>
      </c>
      <c r="S1119" s="6" t="n">
        <v>0.5</v>
      </c>
      <c r="T1119" s="5" t="n">
        <v>19.85</v>
      </c>
      <c r="U1119" s="3" t="str">
        <f aca="false">IF(T1119&lt;0,"Loss",IF(T1119=0,"Break-even","Profit"))</f>
        <v>Profit</v>
      </c>
      <c r="V1119" s="3" t="str">
        <f aca="false">IF(Q1119&lt;100,"Low",IF(Q1119&lt;=500,"Medium","High"))</f>
        <v>Low</v>
      </c>
      <c r="W1119" s="3" t="n">
        <f aca="false">D1119-C1119</f>
        <v>4</v>
      </c>
      <c r="X1119" s="3" t="str">
        <f aca="false">TEXT(C1119,"mmmm")</f>
        <v>February</v>
      </c>
      <c r="Y1119" s="3" t="str">
        <f aca="false">LEFT(G1119,1)&amp;MID(G1119,FIND(" ",G1119)+1,1)</f>
        <v>PW</v>
      </c>
    </row>
    <row r="1120" customFormat="false" ht="15" hidden="false" customHeight="false" outlineLevel="0" collapsed="false">
      <c r="A1120" s="3" t="n">
        <v>1119</v>
      </c>
      <c r="B1120" s="3" t="s">
        <v>2685</v>
      </c>
      <c r="C1120" s="4" t="s">
        <v>2686</v>
      </c>
      <c r="D1120" s="4" t="s">
        <v>2687</v>
      </c>
      <c r="E1120" s="3" t="s">
        <v>28</v>
      </c>
      <c r="F1120" s="3" t="s">
        <v>1456</v>
      </c>
      <c r="G1120" s="3" t="s">
        <v>1457</v>
      </c>
      <c r="H1120" s="3" t="s">
        <v>56</v>
      </c>
      <c r="I1120" s="3" t="s">
        <v>32</v>
      </c>
      <c r="J1120" s="3" t="s">
        <v>873</v>
      </c>
      <c r="K1120" s="3" t="s">
        <v>387</v>
      </c>
      <c r="L1120" s="3" t="s">
        <v>35</v>
      </c>
      <c r="M1120" s="3" t="s">
        <v>237</v>
      </c>
      <c r="N1120" s="3" t="s">
        <v>49</v>
      </c>
      <c r="O1120" s="3" t="s">
        <v>220</v>
      </c>
      <c r="P1120" s="3" t="s">
        <v>238</v>
      </c>
      <c r="Q1120" s="5" t="n">
        <v>575.17</v>
      </c>
      <c r="R1120" s="3" t="n">
        <v>12</v>
      </c>
      <c r="S1120" s="6" t="n">
        <v>0.4</v>
      </c>
      <c r="T1120" s="5" t="n">
        <v>93.87</v>
      </c>
      <c r="U1120" s="3" t="str">
        <f aca="false">IF(T1120&lt;0,"Loss",IF(T1120=0,"Break-even","Profit"))</f>
        <v>Profit</v>
      </c>
      <c r="V1120" s="3" t="str">
        <f aca="false">IF(Q1120&lt;100,"Low",IF(Q1120&lt;=500,"Medium","High"))</f>
        <v>High</v>
      </c>
      <c r="W1120" s="3" t="n">
        <f aca="false">D1120-C1120</f>
        <v>7</v>
      </c>
      <c r="X1120" s="3" t="str">
        <f aca="false">TEXT(C1120,"mmmm")</f>
        <v>February</v>
      </c>
      <c r="Y1120" s="3" t="str">
        <f aca="false">LEFT(G1120,1)&amp;MID(G1120,FIND(" ",G1120)+1,1)</f>
        <v>LB</v>
      </c>
    </row>
    <row r="1121" customFormat="false" ht="15" hidden="false" customHeight="false" outlineLevel="0" collapsed="false">
      <c r="A1121" s="3" t="n">
        <v>1120</v>
      </c>
      <c r="B1121" s="3" t="s">
        <v>2688</v>
      </c>
      <c r="C1121" s="4" t="s">
        <v>2686</v>
      </c>
      <c r="D1121" s="4" t="s">
        <v>2689</v>
      </c>
      <c r="E1121" s="3" t="s">
        <v>28</v>
      </c>
      <c r="F1121" s="3" t="s">
        <v>949</v>
      </c>
      <c r="G1121" s="3" t="s">
        <v>950</v>
      </c>
      <c r="H1121" s="3" t="s">
        <v>56</v>
      </c>
      <c r="I1121" s="3" t="s">
        <v>32</v>
      </c>
      <c r="J1121" s="3" t="s">
        <v>208</v>
      </c>
      <c r="K1121" s="3" t="s">
        <v>134</v>
      </c>
      <c r="L1121" s="3" t="s">
        <v>69</v>
      </c>
      <c r="M1121" s="3" t="s">
        <v>683</v>
      </c>
      <c r="N1121" s="3" t="s">
        <v>37</v>
      </c>
      <c r="O1121" s="3" t="s">
        <v>136</v>
      </c>
      <c r="P1121" s="3" t="s">
        <v>684</v>
      </c>
      <c r="Q1121" s="5" t="n">
        <v>4563.83</v>
      </c>
      <c r="R1121" s="3" t="n">
        <v>5</v>
      </c>
      <c r="S1121" s="6" t="n">
        <v>0.1</v>
      </c>
      <c r="T1121" s="5" t="n">
        <v>1194.68</v>
      </c>
      <c r="U1121" s="3" t="str">
        <f aca="false">IF(T1121&lt;0,"Loss",IF(T1121=0,"Break-even","Profit"))</f>
        <v>Profit</v>
      </c>
      <c r="V1121" s="3" t="str">
        <f aca="false">IF(Q1121&lt;100,"Low",IF(Q1121&lt;=500,"Medium","High"))</f>
        <v>High</v>
      </c>
      <c r="W1121" s="3" t="n">
        <f aca="false">D1121-C1121</f>
        <v>5</v>
      </c>
      <c r="X1121" s="3" t="str">
        <f aca="false">TEXT(C1121,"mmmm")</f>
        <v>February</v>
      </c>
      <c r="Y1121" s="3" t="str">
        <f aca="false">LEFT(G1121,1)&amp;MID(G1121,FIND(" ",G1121)+1,1)</f>
        <v>FK</v>
      </c>
    </row>
    <row r="1122" customFormat="false" ht="15" hidden="false" customHeight="false" outlineLevel="0" collapsed="false">
      <c r="A1122" s="3" t="n">
        <v>1121</v>
      </c>
      <c r="B1122" s="3" t="s">
        <v>2690</v>
      </c>
      <c r="C1122" s="4" t="s">
        <v>2686</v>
      </c>
      <c r="D1122" s="4" t="s">
        <v>2691</v>
      </c>
      <c r="E1122" s="3" t="s">
        <v>28</v>
      </c>
      <c r="F1122" s="3" t="s">
        <v>1462</v>
      </c>
      <c r="G1122" s="3" t="s">
        <v>1463</v>
      </c>
      <c r="H1122" s="3" t="s">
        <v>31</v>
      </c>
      <c r="I1122" s="3" t="s">
        <v>32</v>
      </c>
      <c r="J1122" s="3" t="s">
        <v>87</v>
      </c>
      <c r="K1122" s="3" t="s">
        <v>68</v>
      </c>
      <c r="L1122" s="3" t="s">
        <v>69</v>
      </c>
      <c r="M1122" s="3" t="s">
        <v>190</v>
      </c>
      <c r="N1122" s="3" t="s">
        <v>49</v>
      </c>
      <c r="O1122" s="3" t="s">
        <v>150</v>
      </c>
      <c r="P1122" s="3" t="s">
        <v>191</v>
      </c>
      <c r="Q1122" s="5" t="n">
        <v>128.64</v>
      </c>
      <c r="R1122" s="3" t="n">
        <v>4</v>
      </c>
      <c r="S1122" s="6" t="n">
        <v>0</v>
      </c>
      <c r="T1122" s="5" t="n">
        <v>-5.32</v>
      </c>
      <c r="U1122" s="3" t="str">
        <f aca="false">IF(T1122&lt;0,"Loss",IF(T1122=0,"Break-even","Profit"))</f>
        <v>Loss</v>
      </c>
      <c r="V1122" s="3" t="str">
        <f aca="false">IF(Q1122&lt;100,"Low",IF(Q1122&lt;=500,"Medium","High"))</f>
        <v>Medium</v>
      </c>
      <c r="W1122" s="3" t="n">
        <f aca="false">D1122-C1122</f>
        <v>4</v>
      </c>
      <c r="X1122" s="3" t="str">
        <f aca="false">TEXT(C1122,"mmmm")</f>
        <v>February</v>
      </c>
      <c r="Y1122" s="3" t="str">
        <f aca="false">LEFT(G1122,1)&amp;MID(G1122,FIND(" ",G1122)+1,1)</f>
        <v>SA</v>
      </c>
    </row>
    <row r="1123" customFormat="false" ht="15" hidden="false" customHeight="false" outlineLevel="0" collapsed="false">
      <c r="A1123" s="3" t="n">
        <v>1122</v>
      </c>
      <c r="B1123" s="3" t="s">
        <v>2692</v>
      </c>
      <c r="C1123" s="4" t="s">
        <v>2686</v>
      </c>
      <c r="D1123" s="4" t="s">
        <v>2689</v>
      </c>
      <c r="E1123" s="3" t="s">
        <v>28</v>
      </c>
      <c r="F1123" s="3" t="s">
        <v>146</v>
      </c>
      <c r="G1123" s="3" t="s">
        <v>147</v>
      </c>
      <c r="H1123" s="3" t="s">
        <v>56</v>
      </c>
      <c r="I1123" s="3" t="s">
        <v>32</v>
      </c>
      <c r="J1123" s="3" t="s">
        <v>814</v>
      </c>
      <c r="K1123" s="3" t="s">
        <v>156</v>
      </c>
      <c r="L1123" s="3" t="s">
        <v>157</v>
      </c>
      <c r="M1123" s="3" t="s">
        <v>195</v>
      </c>
      <c r="N1123" s="3" t="s">
        <v>37</v>
      </c>
      <c r="O1123" s="3" t="s">
        <v>196</v>
      </c>
      <c r="P1123" s="3" t="s">
        <v>197</v>
      </c>
      <c r="Q1123" s="5" t="n">
        <v>2070.07</v>
      </c>
      <c r="R1123" s="3" t="n">
        <v>5</v>
      </c>
      <c r="S1123" s="6" t="n">
        <v>0.1</v>
      </c>
      <c r="T1123" s="5" t="n">
        <v>-102.29</v>
      </c>
      <c r="U1123" s="3" t="str">
        <f aca="false">IF(T1123&lt;0,"Loss",IF(T1123=0,"Break-even","Profit"))</f>
        <v>Loss</v>
      </c>
      <c r="V1123" s="3" t="str">
        <f aca="false">IF(Q1123&lt;100,"Low",IF(Q1123&lt;=500,"Medium","High"))</f>
        <v>High</v>
      </c>
      <c r="W1123" s="3" t="n">
        <f aca="false">D1123-C1123</f>
        <v>5</v>
      </c>
      <c r="X1123" s="3" t="str">
        <f aca="false">TEXT(C1123,"mmmm")</f>
        <v>February</v>
      </c>
      <c r="Y1123" s="3" t="str">
        <f aca="false">LEFT(G1123,1)&amp;MID(G1123,FIND(" ",G1123)+1,1)</f>
        <v>DB</v>
      </c>
    </row>
    <row r="1124" customFormat="false" ht="15" hidden="false" customHeight="false" outlineLevel="0" collapsed="false">
      <c r="A1124" s="3" t="n">
        <v>1123</v>
      </c>
      <c r="B1124" s="3" t="s">
        <v>2693</v>
      </c>
      <c r="C1124" s="4" t="s">
        <v>2669</v>
      </c>
      <c r="D1124" s="4" t="s">
        <v>2694</v>
      </c>
      <c r="E1124" s="3" t="s">
        <v>28</v>
      </c>
      <c r="F1124" s="3" t="s">
        <v>1997</v>
      </c>
      <c r="G1124" s="3" t="s">
        <v>1998</v>
      </c>
      <c r="H1124" s="3" t="s">
        <v>56</v>
      </c>
      <c r="I1124" s="3" t="s">
        <v>32</v>
      </c>
      <c r="J1124" s="3" t="s">
        <v>215</v>
      </c>
      <c r="K1124" s="3" t="s">
        <v>34</v>
      </c>
      <c r="L1124" s="3" t="s">
        <v>35</v>
      </c>
      <c r="M1124" s="3" t="s">
        <v>149</v>
      </c>
      <c r="N1124" s="3" t="s">
        <v>49</v>
      </c>
      <c r="O1124" s="3" t="s">
        <v>150</v>
      </c>
      <c r="P1124" s="3" t="s">
        <v>151</v>
      </c>
      <c r="Q1124" s="5" t="n">
        <v>48.61</v>
      </c>
      <c r="R1124" s="3" t="n">
        <v>3</v>
      </c>
      <c r="S1124" s="6" t="n">
        <v>0.2</v>
      </c>
      <c r="T1124" s="5" t="n">
        <v>-2.75</v>
      </c>
      <c r="U1124" s="3" t="str">
        <f aca="false">IF(T1124&lt;0,"Loss",IF(T1124=0,"Break-even","Profit"))</f>
        <v>Loss</v>
      </c>
      <c r="V1124" s="3" t="str">
        <f aca="false">IF(Q1124&lt;100,"Low",IF(Q1124&lt;=500,"Medium","High"))</f>
        <v>Low</v>
      </c>
      <c r="W1124" s="3" t="n">
        <f aca="false">D1124-C1124</f>
        <v>7</v>
      </c>
      <c r="X1124" s="3" t="str">
        <f aca="false">TEXT(C1124,"mmmm")</f>
        <v>March</v>
      </c>
      <c r="Y1124" s="3" t="str">
        <f aca="false">LEFT(G1124,1)&amp;MID(G1124,FIND(" ",G1124)+1,1)</f>
        <v>AC</v>
      </c>
    </row>
    <row r="1125" customFormat="false" ht="15" hidden="false" customHeight="false" outlineLevel="0" collapsed="false">
      <c r="A1125" s="3" t="n">
        <v>1124</v>
      </c>
      <c r="B1125" s="3" t="s">
        <v>2695</v>
      </c>
      <c r="C1125" s="4" t="s">
        <v>2684</v>
      </c>
      <c r="D1125" s="4" t="s">
        <v>2687</v>
      </c>
      <c r="E1125" s="3" t="s">
        <v>28</v>
      </c>
      <c r="F1125" s="3" t="s">
        <v>1652</v>
      </c>
      <c r="G1125" s="3" t="s">
        <v>1653</v>
      </c>
      <c r="H1125" s="3" t="s">
        <v>45</v>
      </c>
      <c r="I1125" s="3" t="s">
        <v>32</v>
      </c>
      <c r="J1125" s="3" t="s">
        <v>252</v>
      </c>
      <c r="K1125" s="3" t="s">
        <v>172</v>
      </c>
      <c r="L1125" s="3" t="s">
        <v>157</v>
      </c>
      <c r="M1125" s="3" t="s">
        <v>158</v>
      </c>
      <c r="N1125" s="3" t="s">
        <v>49</v>
      </c>
      <c r="O1125" s="3" t="s">
        <v>159</v>
      </c>
      <c r="P1125" s="3" t="s">
        <v>160</v>
      </c>
      <c r="Q1125" s="5" t="n">
        <v>76.63</v>
      </c>
      <c r="R1125" s="3" t="n">
        <v>3</v>
      </c>
      <c r="S1125" s="6" t="n">
        <v>0</v>
      </c>
      <c r="T1125" s="5" t="n">
        <v>23.47</v>
      </c>
      <c r="U1125" s="3" t="str">
        <f aca="false">IF(T1125&lt;0,"Loss",IF(T1125=0,"Break-even","Profit"))</f>
        <v>Profit</v>
      </c>
      <c r="V1125" s="3" t="str">
        <f aca="false">IF(Q1125&lt;100,"Low",IF(Q1125&lt;=500,"Medium","High"))</f>
        <v>Low</v>
      </c>
      <c r="W1125" s="3" t="n">
        <f aca="false">D1125-C1125</f>
        <v>5</v>
      </c>
      <c r="X1125" s="3" t="str">
        <f aca="false">TEXT(C1125,"mmmm")</f>
        <v>March</v>
      </c>
      <c r="Y1125" s="3" t="str">
        <f aca="false">LEFT(G1125,1)&amp;MID(G1125,FIND(" ",G1125)+1,1)</f>
        <v>MR</v>
      </c>
    </row>
    <row r="1126" customFormat="false" ht="15" hidden="false" customHeight="false" outlineLevel="0" collapsed="false">
      <c r="A1126" s="3" t="n">
        <v>1125</v>
      </c>
      <c r="B1126" s="3" t="s">
        <v>2696</v>
      </c>
      <c r="C1126" s="4" t="s">
        <v>2684</v>
      </c>
      <c r="D1126" s="4" t="s">
        <v>2691</v>
      </c>
      <c r="E1126" s="3" t="s">
        <v>42</v>
      </c>
      <c r="F1126" s="3" t="s">
        <v>2140</v>
      </c>
      <c r="G1126" s="3" t="s">
        <v>2141</v>
      </c>
      <c r="H1126" s="3" t="s">
        <v>56</v>
      </c>
      <c r="I1126" s="3" t="s">
        <v>32</v>
      </c>
      <c r="J1126" s="3" t="s">
        <v>476</v>
      </c>
      <c r="K1126" s="3" t="s">
        <v>366</v>
      </c>
      <c r="L1126" s="3" t="s">
        <v>157</v>
      </c>
      <c r="M1126" s="3" t="s">
        <v>135</v>
      </c>
      <c r="N1126" s="3" t="s">
        <v>37</v>
      </c>
      <c r="O1126" s="3" t="s">
        <v>136</v>
      </c>
      <c r="P1126" s="3" t="s">
        <v>137</v>
      </c>
      <c r="Q1126" s="5" t="n">
        <v>1620.44</v>
      </c>
      <c r="R1126" s="3" t="n">
        <v>11</v>
      </c>
      <c r="S1126" s="6" t="n">
        <v>0.3</v>
      </c>
      <c r="T1126" s="5" t="n">
        <v>386.2</v>
      </c>
      <c r="U1126" s="3" t="str">
        <f aca="false">IF(T1126&lt;0,"Loss",IF(T1126=0,"Break-even","Profit"))</f>
        <v>Profit</v>
      </c>
      <c r="V1126" s="3" t="str">
        <f aca="false">IF(Q1126&lt;100,"Low",IF(Q1126&lt;=500,"Medium","High"))</f>
        <v>High</v>
      </c>
      <c r="W1126" s="3" t="n">
        <f aca="false">D1126-C1126</f>
        <v>2</v>
      </c>
      <c r="X1126" s="3" t="str">
        <f aca="false">TEXT(C1126,"mmmm")</f>
        <v>March</v>
      </c>
      <c r="Y1126" s="3" t="str">
        <f aca="false">LEFT(G1126,1)&amp;MID(G1126,FIND(" ",G1126)+1,1)</f>
        <v>OB</v>
      </c>
    </row>
    <row r="1127" customFormat="false" ht="15" hidden="false" customHeight="false" outlineLevel="0" collapsed="false">
      <c r="A1127" s="3" t="n">
        <v>1126</v>
      </c>
      <c r="B1127" s="3" t="s">
        <v>2697</v>
      </c>
      <c r="C1127" s="4" t="s">
        <v>2684</v>
      </c>
      <c r="D1127" s="4" t="s">
        <v>2691</v>
      </c>
      <c r="E1127" s="3" t="s">
        <v>42</v>
      </c>
      <c r="F1127" s="3" t="s">
        <v>839</v>
      </c>
      <c r="G1127" s="3" t="s">
        <v>840</v>
      </c>
      <c r="H1127" s="3" t="s">
        <v>56</v>
      </c>
      <c r="I1127" s="3" t="s">
        <v>32</v>
      </c>
      <c r="J1127" s="3" t="s">
        <v>208</v>
      </c>
      <c r="K1127" s="3" t="s">
        <v>134</v>
      </c>
      <c r="L1127" s="3" t="s">
        <v>69</v>
      </c>
      <c r="M1127" s="3" t="s">
        <v>88</v>
      </c>
      <c r="N1127" s="3" t="s">
        <v>89</v>
      </c>
      <c r="O1127" s="3" t="s">
        <v>90</v>
      </c>
      <c r="P1127" s="3" t="s">
        <v>91</v>
      </c>
      <c r="Q1127" s="5" t="n">
        <v>2864.88</v>
      </c>
      <c r="R1127" s="3" t="n">
        <v>10</v>
      </c>
      <c r="S1127" s="6" t="n">
        <v>0.4</v>
      </c>
      <c r="T1127" s="5" t="n">
        <v>-72.12</v>
      </c>
      <c r="U1127" s="3" t="str">
        <f aca="false">IF(T1127&lt;0,"Loss",IF(T1127=0,"Break-even","Profit"))</f>
        <v>Loss</v>
      </c>
      <c r="V1127" s="3" t="str">
        <f aca="false">IF(Q1127&lt;100,"Low",IF(Q1127&lt;=500,"Medium","High"))</f>
        <v>High</v>
      </c>
      <c r="W1127" s="3" t="n">
        <f aca="false">D1127-C1127</f>
        <v>2</v>
      </c>
      <c r="X1127" s="3" t="str">
        <f aca="false">TEXT(C1127,"mmmm")</f>
        <v>March</v>
      </c>
      <c r="Y1127" s="3" t="str">
        <f aca="false">LEFT(G1127,1)&amp;MID(G1127,FIND(" ",G1127)+1,1)</f>
        <v>FS</v>
      </c>
    </row>
    <row r="1128" customFormat="false" ht="15" hidden="false" customHeight="false" outlineLevel="0" collapsed="false">
      <c r="A1128" s="3" t="n">
        <v>1127</v>
      </c>
      <c r="B1128" s="3" t="s">
        <v>2698</v>
      </c>
      <c r="C1128" s="4" t="s">
        <v>2699</v>
      </c>
      <c r="D1128" s="4" t="s">
        <v>2691</v>
      </c>
      <c r="E1128" s="3" t="s">
        <v>42</v>
      </c>
      <c r="F1128" s="3" t="s">
        <v>586</v>
      </c>
      <c r="G1128" s="3" t="s">
        <v>587</v>
      </c>
      <c r="H1128" s="3" t="s">
        <v>31</v>
      </c>
      <c r="I1128" s="3" t="s">
        <v>32</v>
      </c>
      <c r="J1128" s="3" t="s">
        <v>215</v>
      </c>
      <c r="K1128" s="3" t="s">
        <v>34</v>
      </c>
      <c r="L1128" s="3" t="s">
        <v>35</v>
      </c>
      <c r="M1128" s="3" t="s">
        <v>225</v>
      </c>
      <c r="N1128" s="3" t="s">
        <v>37</v>
      </c>
      <c r="O1128" s="3" t="s">
        <v>196</v>
      </c>
      <c r="P1128" s="3" t="s">
        <v>226</v>
      </c>
      <c r="Q1128" s="5" t="n">
        <v>2810.29</v>
      </c>
      <c r="R1128" s="3" t="n">
        <v>10</v>
      </c>
      <c r="S1128" s="6" t="n">
        <v>0.1</v>
      </c>
      <c r="T1128" s="5" t="n">
        <v>-105.18</v>
      </c>
      <c r="U1128" s="3" t="str">
        <f aca="false">IF(T1128&lt;0,"Loss",IF(T1128=0,"Break-even","Profit"))</f>
        <v>Loss</v>
      </c>
      <c r="V1128" s="3" t="str">
        <f aca="false">IF(Q1128&lt;100,"Low",IF(Q1128&lt;=500,"Medium","High"))</f>
        <v>High</v>
      </c>
      <c r="W1128" s="3" t="n">
        <f aca="false">D1128-C1128</f>
        <v>1</v>
      </c>
      <c r="X1128" s="3" t="str">
        <f aca="false">TEXT(C1128,"mmmm")</f>
        <v>March</v>
      </c>
      <c r="Y1128" s="3" t="str">
        <f aca="false">LEFT(G1128,1)&amp;MID(G1128,FIND(" ",G1128)+1,1)</f>
        <v>MN</v>
      </c>
    </row>
    <row r="1129" customFormat="false" ht="15" hidden="false" customHeight="false" outlineLevel="0" collapsed="false">
      <c r="A1129" s="3" t="n">
        <v>1128</v>
      </c>
      <c r="B1129" s="3" t="s">
        <v>2700</v>
      </c>
      <c r="C1129" s="4" t="s">
        <v>2699</v>
      </c>
      <c r="D1129" s="4" t="s">
        <v>2701</v>
      </c>
      <c r="E1129" s="3" t="s">
        <v>28</v>
      </c>
      <c r="F1129" s="3" t="s">
        <v>283</v>
      </c>
      <c r="G1129" s="3" t="s">
        <v>284</v>
      </c>
      <c r="H1129" s="3" t="s">
        <v>45</v>
      </c>
      <c r="I1129" s="3" t="s">
        <v>32</v>
      </c>
      <c r="J1129" s="3" t="s">
        <v>386</v>
      </c>
      <c r="K1129" s="3" t="s">
        <v>387</v>
      </c>
      <c r="L1129" s="3" t="s">
        <v>35</v>
      </c>
      <c r="M1129" s="3" t="s">
        <v>420</v>
      </c>
      <c r="N1129" s="3" t="s">
        <v>49</v>
      </c>
      <c r="O1129" s="3" t="s">
        <v>80</v>
      </c>
      <c r="P1129" s="3" t="s">
        <v>421</v>
      </c>
      <c r="Q1129" s="5" t="n">
        <v>558.07</v>
      </c>
      <c r="R1129" s="3" t="n">
        <v>8</v>
      </c>
      <c r="S1129" s="6" t="n">
        <v>0.1</v>
      </c>
      <c r="T1129" s="5" t="n">
        <v>10.76</v>
      </c>
      <c r="U1129" s="3" t="str">
        <f aca="false">IF(T1129&lt;0,"Loss",IF(T1129=0,"Break-even","Profit"))</f>
        <v>Profit</v>
      </c>
      <c r="V1129" s="3" t="str">
        <f aca="false">IF(Q1129&lt;100,"Low",IF(Q1129&lt;=500,"Medium","High"))</f>
        <v>High</v>
      </c>
      <c r="W1129" s="3" t="n">
        <f aca="false">D1129-C1129</f>
        <v>6</v>
      </c>
      <c r="X1129" s="3" t="str">
        <f aca="false">TEXT(C1129,"mmmm")</f>
        <v>March</v>
      </c>
      <c r="Y1129" s="3" t="str">
        <f aca="false">LEFT(G1129,1)&amp;MID(G1129,FIND(" ",G1129)+1,1)</f>
        <v>OS</v>
      </c>
    </row>
    <row r="1130" customFormat="false" ht="15" hidden="false" customHeight="false" outlineLevel="0" collapsed="false">
      <c r="A1130" s="3" t="n">
        <v>1129</v>
      </c>
      <c r="B1130" s="3" t="s">
        <v>2702</v>
      </c>
      <c r="C1130" s="4" t="s">
        <v>2691</v>
      </c>
      <c r="D1130" s="4" t="s">
        <v>2687</v>
      </c>
      <c r="E1130" s="3" t="s">
        <v>28</v>
      </c>
      <c r="F1130" s="3" t="s">
        <v>1070</v>
      </c>
      <c r="G1130" s="3" t="s">
        <v>1071</v>
      </c>
      <c r="H1130" s="3" t="s">
        <v>56</v>
      </c>
      <c r="I1130" s="3" t="s">
        <v>32</v>
      </c>
      <c r="J1130" s="3" t="s">
        <v>814</v>
      </c>
      <c r="K1130" s="3" t="s">
        <v>156</v>
      </c>
      <c r="L1130" s="3" t="s">
        <v>157</v>
      </c>
      <c r="M1130" s="3" t="s">
        <v>404</v>
      </c>
      <c r="N1130" s="3" t="s">
        <v>89</v>
      </c>
      <c r="O1130" s="3" t="s">
        <v>166</v>
      </c>
      <c r="P1130" s="3" t="s">
        <v>405</v>
      </c>
      <c r="Q1130" s="5" t="n">
        <v>1356.62</v>
      </c>
      <c r="R1130" s="3" t="n">
        <v>3</v>
      </c>
      <c r="S1130" s="6" t="n">
        <v>0</v>
      </c>
      <c r="T1130" s="5" t="n">
        <v>165.04</v>
      </c>
      <c r="U1130" s="3" t="str">
        <f aca="false">IF(T1130&lt;0,"Loss",IF(T1130=0,"Break-even","Profit"))</f>
        <v>Profit</v>
      </c>
      <c r="V1130" s="3" t="str">
        <f aca="false">IF(Q1130&lt;100,"Low",IF(Q1130&lt;=500,"Medium","High"))</f>
        <v>High</v>
      </c>
      <c r="W1130" s="3" t="n">
        <f aca="false">D1130-C1130</f>
        <v>3</v>
      </c>
      <c r="X1130" s="3" t="str">
        <f aca="false">TEXT(C1130,"mmmm")</f>
        <v>March</v>
      </c>
      <c r="Y1130" s="3" t="str">
        <f aca="false">LEFT(G1130,1)&amp;MID(G1130,FIND(" ",G1130)+1,1)</f>
        <v>PB</v>
      </c>
    </row>
    <row r="1131" customFormat="false" ht="15" hidden="false" customHeight="false" outlineLevel="0" collapsed="false">
      <c r="A1131" s="3" t="n">
        <v>1130</v>
      </c>
      <c r="B1131" s="3" t="s">
        <v>2703</v>
      </c>
      <c r="C1131" s="4" t="s">
        <v>2691</v>
      </c>
      <c r="D1131" s="4" t="s">
        <v>2691</v>
      </c>
      <c r="E1131" s="3" t="s">
        <v>53</v>
      </c>
      <c r="F1131" s="3" t="s">
        <v>434</v>
      </c>
      <c r="G1131" s="3" t="s">
        <v>435</v>
      </c>
      <c r="H1131" s="3" t="s">
        <v>31</v>
      </c>
      <c r="I1131" s="3" t="s">
        <v>32</v>
      </c>
      <c r="J1131" s="3" t="s">
        <v>133</v>
      </c>
      <c r="K1131" s="3" t="s">
        <v>134</v>
      </c>
      <c r="L1131" s="3" t="s">
        <v>69</v>
      </c>
      <c r="M1131" s="3" t="s">
        <v>461</v>
      </c>
      <c r="N1131" s="3" t="s">
        <v>37</v>
      </c>
      <c r="O1131" s="3" t="s">
        <v>71</v>
      </c>
      <c r="P1131" s="3" t="s">
        <v>462</v>
      </c>
      <c r="Q1131" s="5" t="n">
        <v>503.7</v>
      </c>
      <c r="R1131" s="3" t="n">
        <v>2</v>
      </c>
      <c r="S1131" s="6" t="n">
        <v>0.1</v>
      </c>
      <c r="T1131" s="5" t="n">
        <v>31.89</v>
      </c>
      <c r="U1131" s="3" t="str">
        <f aca="false">IF(T1131&lt;0,"Loss",IF(T1131=0,"Break-even","Profit"))</f>
        <v>Profit</v>
      </c>
      <c r="V1131" s="3" t="str">
        <f aca="false">IF(Q1131&lt;100,"Low",IF(Q1131&lt;=500,"Medium","High"))</f>
        <v>High</v>
      </c>
      <c r="W1131" s="3" t="n">
        <f aca="false">D1131-C1131</f>
        <v>0</v>
      </c>
      <c r="X1131" s="3" t="str">
        <f aca="false">TEXT(C1131,"mmmm")</f>
        <v>March</v>
      </c>
      <c r="Y1131" s="3" t="str">
        <f aca="false">LEFT(G1131,1)&amp;MID(G1131,FIND(" ",G1131)+1,1)</f>
        <v>JC</v>
      </c>
    </row>
    <row r="1132" customFormat="false" ht="15" hidden="false" customHeight="false" outlineLevel="0" collapsed="false">
      <c r="A1132" s="3" t="n">
        <v>1131</v>
      </c>
      <c r="B1132" s="3" t="s">
        <v>2704</v>
      </c>
      <c r="C1132" s="4" t="s">
        <v>2689</v>
      </c>
      <c r="D1132" s="4" t="s">
        <v>2705</v>
      </c>
      <c r="E1132" s="3" t="s">
        <v>28</v>
      </c>
      <c r="F1132" s="3" t="s">
        <v>1070</v>
      </c>
      <c r="G1132" s="3" t="s">
        <v>1071</v>
      </c>
      <c r="H1132" s="3" t="s">
        <v>31</v>
      </c>
      <c r="I1132" s="3" t="s">
        <v>32</v>
      </c>
      <c r="J1132" s="3" t="s">
        <v>616</v>
      </c>
      <c r="K1132" s="3" t="s">
        <v>156</v>
      </c>
      <c r="L1132" s="3" t="s">
        <v>157</v>
      </c>
      <c r="M1132" s="3" t="s">
        <v>70</v>
      </c>
      <c r="N1132" s="3" t="s">
        <v>37</v>
      </c>
      <c r="O1132" s="3" t="s">
        <v>71</v>
      </c>
      <c r="P1132" s="3" t="s">
        <v>72</v>
      </c>
      <c r="Q1132" s="5" t="n">
        <v>7714.43</v>
      </c>
      <c r="R1132" s="3" t="n">
        <v>5</v>
      </c>
      <c r="S1132" s="6" t="n">
        <v>0.3</v>
      </c>
      <c r="T1132" s="5" t="n">
        <v>908.12</v>
      </c>
      <c r="U1132" s="3" t="str">
        <f aca="false">IF(T1132&lt;0,"Loss",IF(T1132=0,"Break-even","Profit"))</f>
        <v>Profit</v>
      </c>
      <c r="V1132" s="3" t="str">
        <f aca="false">IF(Q1132&lt;100,"Low",IF(Q1132&lt;=500,"Medium","High"))</f>
        <v>High</v>
      </c>
      <c r="W1132" s="3" t="n">
        <f aca="false">D1132-C1132</f>
        <v>7</v>
      </c>
      <c r="X1132" s="3" t="str">
        <f aca="false">TEXT(C1132,"mmmm")</f>
        <v>March</v>
      </c>
      <c r="Y1132" s="3" t="str">
        <f aca="false">LEFT(G1132,1)&amp;MID(G1132,FIND(" ",G1132)+1,1)</f>
        <v>PB</v>
      </c>
    </row>
    <row r="1133" customFormat="false" ht="15" hidden="false" customHeight="false" outlineLevel="0" collapsed="false">
      <c r="A1133" s="3" t="n">
        <v>1132</v>
      </c>
      <c r="B1133" s="3" t="s">
        <v>2706</v>
      </c>
      <c r="C1133" s="4" t="s">
        <v>2689</v>
      </c>
      <c r="D1133" s="4" t="s">
        <v>2707</v>
      </c>
      <c r="E1133" s="3" t="s">
        <v>42</v>
      </c>
      <c r="F1133" s="3" t="s">
        <v>2385</v>
      </c>
      <c r="G1133" s="3" t="s">
        <v>2386</v>
      </c>
      <c r="H1133" s="3" t="s">
        <v>31</v>
      </c>
      <c r="I1133" s="3" t="s">
        <v>32</v>
      </c>
      <c r="J1133" s="3" t="s">
        <v>46</v>
      </c>
      <c r="K1133" s="3" t="s">
        <v>47</v>
      </c>
      <c r="L1133" s="3" t="s">
        <v>35</v>
      </c>
      <c r="M1133" s="3" t="s">
        <v>121</v>
      </c>
      <c r="N1133" s="3" t="s">
        <v>49</v>
      </c>
      <c r="O1133" s="3" t="s">
        <v>50</v>
      </c>
      <c r="P1133" s="3" t="s">
        <v>122</v>
      </c>
      <c r="Q1133" s="5" t="n">
        <v>11.09</v>
      </c>
      <c r="R1133" s="3" t="n">
        <v>1</v>
      </c>
      <c r="S1133" s="6" t="n">
        <v>0</v>
      </c>
      <c r="T1133" s="5" t="n">
        <v>-0.53</v>
      </c>
      <c r="U1133" s="3" t="str">
        <f aca="false">IF(T1133&lt;0,"Loss",IF(T1133=0,"Break-even","Profit"))</f>
        <v>Loss</v>
      </c>
      <c r="V1133" s="3" t="str">
        <f aca="false">IF(Q1133&lt;100,"Low",IF(Q1133&lt;=500,"Medium","High"))</f>
        <v>Low</v>
      </c>
      <c r="W1133" s="3" t="n">
        <f aca="false">D1133-C1133</f>
        <v>1</v>
      </c>
      <c r="X1133" s="3" t="str">
        <f aca="false">TEXT(C1133,"mmmm")</f>
        <v>March</v>
      </c>
      <c r="Y1133" s="3" t="str">
        <f aca="false">LEFT(G1133,1)&amp;MID(G1133,FIND(" ",G1133)+1,1)</f>
        <v>SN</v>
      </c>
    </row>
    <row r="1134" customFormat="false" ht="15" hidden="false" customHeight="false" outlineLevel="0" collapsed="false">
      <c r="A1134" s="3" t="n">
        <v>1133</v>
      </c>
      <c r="B1134" s="3" t="s">
        <v>2708</v>
      </c>
      <c r="C1134" s="4" t="s">
        <v>2689</v>
      </c>
      <c r="D1134" s="4" t="s">
        <v>2705</v>
      </c>
      <c r="E1134" s="3" t="s">
        <v>28</v>
      </c>
      <c r="F1134" s="3" t="s">
        <v>634</v>
      </c>
      <c r="G1134" s="3" t="s">
        <v>635</v>
      </c>
      <c r="H1134" s="3" t="s">
        <v>31</v>
      </c>
      <c r="I1134" s="3" t="s">
        <v>32</v>
      </c>
      <c r="J1134" s="3" t="s">
        <v>814</v>
      </c>
      <c r="K1134" s="3" t="s">
        <v>156</v>
      </c>
      <c r="L1134" s="3" t="s">
        <v>157</v>
      </c>
      <c r="M1134" s="3" t="s">
        <v>114</v>
      </c>
      <c r="N1134" s="3" t="s">
        <v>49</v>
      </c>
      <c r="O1134" s="3" t="s">
        <v>61</v>
      </c>
      <c r="P1134" s="3" t="s">
        <v>115</v>
      </c>
      <c r="Q1134" s="5" t="n">
        <v>25</v>
      </c>
      <c r="R1134" s="3" t="n">
        <v>1</v>
      </c>
      <c r="S1134" s="6" t="n">
        <v>0</v>
      </c>
      <c r="T1134" s="5" t="n">
        <v>-0.15</v>
      </c>
      <c r="U1134" s="3" t="str">
        <f aca="false">IF(T1134&lt;0,"Loss",IF(T1134=0,"Break-even","Profit"))</f>
        <v>Loss</v>
      </c>
      <c r="V1134" s="3" t="str">
        <f aca="false">IF(Q1134&lt;100,"Low",IF(Q1134&lt;=500,"Medium","High"))</f>
        <v>Low</v>
      </c>
      <c r="W1134" s="3" t="n">
        <f aca="false">D1134-C1134</f>
        <v>7</v>
      </c>
      <c r="X1134" s="3" t="str">
        <f aca="false">TEXT(C1134,"mmmm")</f>
        <v>March</v>
      </c>
      <c r="Y1134" s="3" t="str">
        <f aca="false">LEFT(G1134,1)&amp;MID(G1134,FIND(" ",G1134)+1,1)</f>
        <v>JJ</v>
      </c>
    </row>
    <row r="1135" customFormat="false" ht="15" hidden="false" customHeight="false" outlineLevel="0" collapsed="false">
      <c r="A1135" s="3" t="n">
        <v>1134</v>
      </c>
      <c r="B1135" s="3" t="s">
        <v>2709</v>
      </c>
      <c r="C1135" s="4" t="s">
        <v>2687</v>
      </c>
      <c r="D1135" s="4" t="s">
        <v>2710</v>
      </c>
      <c r="E1135" s="3" t="s">
        <v>28</v>
      </c>
      <c r="F1135" s="3" t="s">
        <v>1063</v>
      </c>
      <c r="G1135" s="3" t="s">
        <v>1064</v>
      </c>
      <c r="H1135" s="3" t="s">
        <v>56</v>
      </c>
      <c r="I1135" s="3" t="s">
        <v>32</v>
      </c>
      <c r="J1135" s="3" t="s">
        <v>112</v>
      </c>
      <c r="K1135" s="3" t="s">
        <v>113</v>
      </c>
      <c r="L1135" s="3" t="s">
        <v>69</v>
      </c>
      <c r="M1135" s="3" t="s">
        <v>158</v>
      </c>
      <c r="N1135" s="3" t="s">
        <v>49</v>
      </c>
      <c r="O1135" s="3" t="s">
        <v>159</v>
      </c>
      <c r="P1135" s="3" t="s">
        <v>160</v>
      </c>
      <c r="Q1135" s="5" t="n">
        <v>385.52</v>
      </c>
      <c r="R1135" s="3" t="n">
        <v>9</v>
      </c>
      <c r="S1135" s="6" t="n">
        <v>0.2</v>
      </c>
      <c r="T1135" s="5" t="n">
        <v>8.24</v>
      </c>
      <c r="U1135" s="3" t="str">
        <f aca="false">IF(T1135&lt;0,"Loss",IF(T1135=0,"Break-even","Profit"))</f>
        <v>Profit</v>
      </c>
      <c r="V1135" s="3" t="str">
        <f aca="false">IF(Q1135&lt;100,"Low",IF(Q1135&lt;=500,"Medium","High"))</f>
        <v>Medium</v>
      </c>
      <c r="W1135" s="3" t="n">
        <f aca="false">D1135-C1135</f>
        <v>7</v>
      </c>
      <c r="X1135" s="3" t="str">
        <f aca="false">TEXT(C1135,"mmmm")</f>
        <v>March</v>
      </c>
      <c r="Y1135" s="3" t="str">
        <f aca="false">LEFT(G1135,1)&amp;MID(G1135,FIND(" ",G1135)+1,1)</f>
        <v>AB</v>
      </c>
    </row>
    <row r="1136" customFormat="false" ht="15" hidden="false" customHeight="false" outlineLevel="0" collapsed="false">
      <c r="A1136" s="3" t="n">
        <v>1135</v>
      </c>
      <c r="B1136" s="3" t="s">
        <v>2711</v>
      </c>
      <c r="C1136" s="4" t="s">
        <v>2687</v>
      </c>
      <c r="D1136" s="4" t="s">
        <v>2712</v>
      </c>
      <c r="E1136" s="3" t="s">
        <v>28</v>
      </c>
      <c r="F1136" s="3" t="s">
        <v>2514</v>
      </c>
      <c r="G1136" s="3" t="s">
        <v>2515</v>
      </c>
      <c r="H1136" s="3" t="s">
        <v>56</v>
      </c>
      <c r="I1136" s="3" t="s">
        <v>32</v>
      </c>
      <c r="J1136" s="3" t="s">
        <v>77</v>
      </c>
      <c r="K1136" s="3" t="s">
        <v>78</v>
      </c>
      <c r="L1136" s="3" t="s">
        <v>59</v>
      </c>
      <c r="M1136" s="3" t="s">
        <v>209</v>
      </c>
      <c r="N1136" s="3" t="s">
        <v>49</v>
      </c>
      <c r="O1136" s="3" t="s">
        <v>106</v>
      </c>
      <c r="P1136" s="3" t="s">
        <v>210</v>
      </c>
      <c r="Q1136" s="5" t="n">
        <v>1291.16</v>
      </c>
      <c r="R1136" s="3" t="n">
        <v>11</v>
      </c>
      <c r="S1136" s="6" t="n">
        <v>0</v>
      </c>
      <c r="T1136" s="5" t="n">
        <v>-287.84</v>
      </c>
      <c r="U1136" s="3" t="str">
        <f aca="false">IF(T1136&lt;0,"Loss",IF(T1136=0,"Break-even","Profit"))</f>
        <v>Loss</v>
      </c>
      <c r="V1136" s="3" t="str">
        <f aca="false">IF(Q1136&lt;100,"Low",IF(Q1136&lt;=500,"Medium","High"))</f>
        <v>High</v>
      </c>
      <c r="W1136" s="3" t="n">
        <f aca="false">D1136-C1136</f>
        <v>6</v>
      </c>
      <c r="X1136" s="3" t="str">
        <f aca="false">TEXT(C1136,"mmmm")</f>
        <v>March</v>
      </c>
      <c r="Y1136" s="3" t="str">
        <f aca="false">LEFT(G1136,1)&amp;MID(G1136,FIND(" ",G1136)+1,1)</f>
        <v>WB</v>
      </c>
    </row>
    <row r="1137" customFormat="false" ht="15" hidden="false" customHeight="false" outlineLevel="0" collapsed="false">
      <c r="A1137" s="3" t="n">
        <v>1136</v>
      </c>
      <c r="B1137" s="3" t="s">
        <v>2713</v>
      </c>
      <c r="C1137" s="4" t="s">
        <v>2694</v>
      </c>
      <c r="D1137" s="4" t="s">
        <v>2701</v>
      </c>
      <c r="E1137" s="3" t="s">
        <v>42</v>
      </c>
      <c r="F1137" s="3" t="s">
        <v>1335</v>
      </c>
      <c r="G1137" s="3" t="s">
        <v>1336</v>
      </c>
      <c r="H1137" s="3" t="s">
        <v>45</v>
      </c>
      <c r="I1137" s="3" t="s">
        <v>32</v>
      </c>
      <c r="J1137" s="3" t="s">
        <v>57</v>
      </c>
      <c r="K1137" s="3" t="s">
        <v>58</v>
      </c>
      <c r="L1137" s="3" t="s">
        <v>59</v>
      </c>
      <c r="M1137" s="3" t="s">
        <v>237</v>
      </c>
      <c r="N1137" s="3" t="s">
        <v>49</v>
      </c>
      <c r="O1137" s="3" t="s">
        <v>220</v>
      </c>
      <c r="P1137" s="3" t="s">
        <v>238</v>
      </c>
      <c r="Q1137" s="5" t="n">
        <v>713.17</v>
      </c>
      <c r="R1137" s="3" t="n">
        <v>7</v>
      </c>
      <c r="S1137" s="6" t="n">
        <v>0</v>
      </c>
      <c r="T1137" s="5" t="n">
        <v>-132.7</v>
      </c>
      <c r="U1137" s="3" t="str">
        <f aca="false">IF(T1137&lt;0,"Loss",IF(T1137=0,"Break-even","Profit"))</f>
        <v>Loss</v>
      </c>
      <c r="V1137" s="3" t="str">
        <f aca="false">IF(Q1137&lt;100,"Low",IF(Q1137&lt;=500,"Medium","High"))</f>
        <v>High</v>
      </c>
      <c r="W1137" s="3" t="n">
        <f aca="false">D1137-C1137</f>
        <v>1</v>
      </c>
      <c r="X1137" s="3" t="str">
        <f aca="false">TEXT(C1137,"mmmm")</f>
        <v>March</v>
      </c>
      <c r="Y1137" s="3" t="str">
        <f aca="false">LEFT(G1137,1)&amp;MID(G1137,FIND(" ",G1137)+1,1)</f>
        <v>AK</v>
      </c>
    </row>
    <row r="1138" customFormat="false" ht="15" hidden="false" customHeight="false" outlineLevel="0" collapsed="false">
      <c r="A1138" s="3" t="n">
        <v>1137</v>
      </c>
      <c r="B1138" s="3" t="s">
        <v>2714</v>
      </c>
      <c r="C1138" s="4" t="s">
        <v>2694</v>
      </c>
      <c r="D1138" s="4" t="s">
        <v>2712</v>
      </c>
      <c r="E1138" s="3" t="s">
        <v>28</v>
      </c>
      <c r="F1138" s="3" t="s">
        <v>2678</v>
      </c>
      <c r="G1138" s="3" t="s">
        <v>2679</v>
      </c>
      <c r="H1138" s="3" t="s">
        <v>56</v>
      </c>
      <c r="I1138" s="3" t="s">
        <v>32</v>
      </c>
      <c r="J1138" s="3" t="s">
        <v>179</v>
      </c>
      <c r="K1138" s="3" t="s">
        <v>47</v>
      </c>
      <c r="L1138" s="3" t="s">
        <v>35</v>
      </c>
      <c r="M1138" s="3" t="s">
        <v>259</v>
      </c>
      <c r="N1138" s="3" t="s">
        <v>89</v>
      </c>
      <c r="O1138" s="3" t="s">
        <v>174</v>
      </c>
      <c r="P1138" s="3" t="s">
        <v>260</v>
      </c>
      <c r="Q1138" s="5" t="n">
        <v>2456.95</v>
      </c>
      <c r="R1138" s="3" t="n">
        <v>9</v>
      </c>
      <c r="S1138" s="6" t="n">
        <v>0.3</v>
      </c>
      <c r="T1138" s="5" t="n">
        <v>584.78</v>
      </c>
      <c r="U1138" s="3" t="str">
        <f aca="false">IF(T1138&lt;0,"Loss",IF(T1138=0,"Break-even","Profit"))</f>
        <v>Profit</v>
      </c>
      <c r="V1138" s="3" t="str">
        <f aca="false">IF(Q1138&lt;100,"Low",IF(Q1138&lt;=500,"Medium","High"))</f>
        <v>High</v>
      </c>
      <c r="W1138" s="3" t="n">
        <f aca="false">D1138-C1138</f>
        <v>5</v>
      </c>
      <c r="X1138" s="3" t="str">
        <f aca="false">TEXT(C1138,"mmmm")</f>
        <v>March</v>
      </c>
      <c r="Y1138" s="3" t="str">
        <f aca="false">LEFT(G1138,1)&amp;MID(G1138,FIND(" ",G1138)+1,1)</f>
        <v>EM</v>
      </c>
    </row>
    <row r="1139" customFormat="false" ht="15" hidden="false" customHeight="false" outlineLevel="0" collapsed="false">
      <c r="A1139" s="3" t="n">
        <v>1138</v>
      </c>
      <c r="B1139" s="3" t="s">
        <v>2715</v>
      </c>
      <c r="C1139" s="4" t="s">
        <v>2701</v>
      </c>
      <c r="D1139" s="4" t="s">
        <v>2716</v>
      </c>
      <c r="E1139" s="3" t="s">
        <v>28</v>
      </c>
      <c r="F1139" s="3" t="s">
        <v>1856</v>
      </c>
      <c r="G1139" s="3" t="s">
        <v>1857</v>
      </c>
      <c r="H1139" s="3" t="s">
        <v>56</v>
      </c>
      <c r="I1139" s="3" t="s">
        <v>32</v>
      </c>
      <c r="J1139" s="3" t="s">
        <v>33</v>
      </c>
      <c r="K1139" s="3" t="s">
        <v>34</v>
      </c>
      <c r="L1139" s="3" t="s">
        <v>35</v>
      </c>
      <c r="M1139" s="3" t="s">
        <v>88</v>
      </c>
      <c r="N1139" s="3" t="s">
        <v>89</v>
      </c>
      <c r="O1139" s="3" t="s">
        <v>90</v>
      </c>
      <c r="P1139" s="3" t="s">
        <v>91</v>
      </c>
      <c r="Q1139" s="5" t="n">
        <v>4569.73</v>
      </c>
      <c r="R1139" s="3" t="n">
        <v>11</v>
      </c>
      <c r="S1139" s="6" t="n">
        <v>0.2</v>
      </c>
      <c r="T1139" s="5" t="n">
        <v>223.62</v>
      </c>
      <c r="U1139" s="3" t="str">
        <f aca="false">IF(T1139&lt;0,"Loss",IF(T1139=0,"Break-even","Profit"))</f>
        <v>Profit</v>
      </c>
      <c r="V1139" s="3" t="str">
        <f aca="false">IF(Q1139&lt;100,"Low",IF(Q1139&lt;=500,"Medium","High"))</f>
        <v>High</v>
      </c>
      <c r="W1139" s="3" t="n">
        <f aca="false">D1139-C1139</f>
        <v>7</v>
      </c>
      <c r="X1139" s="3" t="str">
        <f aca="false">TEXT(C1139,"mmmm")</f>
        <v>March</v>
      </c>
      <c r="Y1139" s="3" t="str">
        <f aca="false">LEFT(G1139,1)&amp;MID(G1139,FIND(" ",G1139)+1,1)</f>
        <v>SN</v>
      </c>
    </row>
    <row r="1140" customFormat="false" ht="15" hidden="false" customHeight="false" outlineLevel="0" collapsed="false">
      <c r="A1140" s="3" t="n">
        <v>1139</v>
      </c>
      <c r="B1140" s="3" t="s">
        <v>2717</v>
      </c>
      <c r="C1140" s="4" t="s">
        <v>2701</v>
      </c>
      <c r="D1140" s="4" t="s">
        <v>2718</v>
      </c>
      <c r="E1140" s="3" t="s">
        <v>42</v>
      </c>
      <c r="F1140" s="3" t="s">
        <v>390</v>
      </c>
      <c r="G1140" s="3" t="s">
        <v>391</v>
      </c>
      <c r="H1140" s="3" t="s">
        <v>31</v>
      </c>
      <c r="I1140" s="3" t="s">
        <v>32</v>
      </c>
      <c r="J1140" s="3" t="s">
        <v>148</v>
      </c>
      <c r="K1140" s="3" t="s">
        <v>78</v>
      </c>
      <c r="L1140" s="3" t="s">
        <v>59</v>
      </c>
      <c r="M1140" s="3" t="s">
        <v>121</v>
      </c>
      <c r="N1140" s="3" t="s">
        <v>49</v>
      </c>
      <c r="O1140" s="3" t="s">
        <v>50</v>
      </c>
      <c r="P1140" s="3" t="s">
        <v>122</v>
      </c>
      <c r="Q1140" s="5" t="n">
        <v>945.62</v>
      </c>
      <c r="R1140" s="3" t="n">
        <v>9</v>
      </c>
      <c r="S1140" s="6" t="n">
        <v>0.1</v>
      </c>
      <c r="T1140" s="5" t="n">
        <v>-241.73</v>
      </c>
      <c r="U1140" s="3" t="str">
        <f aca="false">IF(T1140&lt;0,"Loss",IF(T1140=0,"Break-even","Profit"))</f>
        <v>Loss</v>
      </c>
      <c r="V1140" s="3" t="str">
        <f aca="false">IF(Q1140&lt;100,"Low",IF(Q1140&lt;=500,"Medium","High"))</f>
        <v>High</v>
      </c>
      <c r="W1140" s="3" t="n">
        <f aca="false">D1140-C1140</f>
        <v>2</v>
      </c>
      <c r="X1140" s="3" t="str">
        <f aca="false">TEXT(C1140,"mmmm")</f>
        <v>March</v>
      </c>
      <c r="Y1140" s="3" t="str">
        <f aca="false">LEFT(G1140,1)&amp;MID(G1140,FIND(" ",G1140)+1,1)</f>
        <v>MA</v>
      </c>
    </row>
    <row r="1141" customFormat="false" ht="15" hidden="false" customHeight="false" outlineLevel="0" collapsed="false">
      <c r="A1141" s="3" t="n">
        <v>1140</v>
      </c>
      <c r="B1141" s="3" t="s">
        <v>2719</v>
      </c>
      <c r="C1141" s="4" t="s">
        <v>2701</v>
      </c>
      <c r="D1141" s="4" t="s">
        <v>2710</v>
      </c>
      <c r="E1141" s="3" t="s">
        <v>28</v>
      </c>
      <c r="F1141" s="3" t="s">
        <v>2720</v>
      </c>
      <c r="G1141" s="3" t="s">
        <v>2721</v>
      </c>
      <c r="H1141" s="3" t="s">
        <v>31</v>
      </c>
      <c r="I1141" s="3" t="s">
        <v>32</v>
      </c>
      <c r="J1141" s="3" t="s">
        <v>87</v>
      </c>
      <c r="K1141" s="3" t="s">
        <v>68</v>
      </c>
      <c r="L1141" s="3" t="s">
        <v>69</v>
      </c>
      <c r="M1141" s="3" t="s">
        <v>659</v>
      </c>
      <c r="N1141" s="3" t="s">
        <v>89</v>
      </c>
      <c r="O1141" s="3" t="s">
        <v>323</v>
      </c>
      <c r="P1141" s="3" t="s">
        <v>660</v>
      </c>
      <c r="Q1141" s="5" t="n">
        <v>11193.49</v>
      </c>
      <c r="R1141" s="3" t="n">
        <v>13</v>
      </c>
      <c r="S1141" s="6" t="n">
        <v>0</v>
      </c>
      <c r="T1141" s="5" t="n">
        <v>2609.89</v>
      </c>
      <c r="U1141" s="3" t="str">
        <f aca="false">IF(T1141&lt;0,"Loss",IF(T1141=0,"Break-even","Profit"))</f>
        <v>Profit</v>
      </c>
      <c r="V1141" s="3" t="str">
        <f aca="false">IF(Q1141&lt;100,"Low",IF(Q1141&lt;=500,"Medium","High"))</f>
        <v>High</v>
      </c>
      <c r="W1141" s="3" t="n">
        <f aca="false">D1141-C1141</f>
        <v>5</v>
      </c>
      <c r="X1141" s="3" t="str">
        <f aca="false">TEXT(C1141,"mmmm")</f>
        <v>March</v>
      </c>
      <c r="Y1141" s="3" t="str">
        <f aca="false">LEFT(G1141,1)&amp;MID(G1141,FIND(" ",G1141)+1,1)</f>
        <v>RR</v>
      </c>
    </row>
    <row r="1142" customFormat="false" ht="15" hidden="false" customHeight="false" outlineLevel="0" collapsed="false">
      <c r="A1142" s="3" t="n">
        <v>1141</v>
      </c>
      <c r="B1142" s="3" t="s">
        <v>2722</v>
      </c>
      <c r="C1142" s="4" t="s">
        <v>2701</v>
      </c>
      <c r="D1142" s="4" t="s">
        <v>2723</v>
      </c>
      <c r="E1142" s="3" t="s">
        <v>28</v>
      </c>
      <c r="F1142" s="3" t="s">
        <v>131</v>
      </c>
      <c r="G1142" s="3" t="s">
        <v>132</v>
      </c>
      <c r="H1142" s="3" t="s">
        <v>31</v>
      </c>
      <c r="I1142" s="3" t="s">
        <v>32</v>
      </c>
      <c r="J1142" s="3" t="s">
        <v>386</v>
      </c>
      <c r="K1142" s="3" t="s">
        <v>387</v>
      </c>
      <c r="L1142" s="3" t="s">
        <v>35</v>
      </c>
      <c r="M1142" s="3" t="s">
        <v>269</v>
      </c>
      <c r="N1142" s="3" t="s">
        <v>89</v>
      </c>
      <c r="O1142" s="3" t="s">
        <v>174</v>
      </c>
      <c r="P1142" s="3" t="s">
        <v>270</v>
      </c>
      <c r="Q1142" s="5" t="n">
        <v>2637.62</v>
      </c>
      <c r="R1142" s="3" t="n">
        <v>5</v>
      </c>
      <c r="S1142" s="6" t="n">
        <v>0.5</v>
      </c>
      <c r="T1142" s="5" t="n">
        <v>-371.17</v>
      </c>
      <c r="U1142" s="3" t="str">
        <f aca="false">IF(T1142&lt;0,"Loss",IF(T1142=0,"Break-even","Profit"))</f>
        <v>Loss</v>
      </c>
      <c r="V1142" s="3" t="str">
        <f aca="false">IF(Q1142&lt;100,"Low",IF(Q1142&lt;=500,"Medium","High"))</f>
        <v>High</v>
      </c>
      <c r="W1142" s="3" t="n">
        <f aca="false">D1142-C1142</f>
        <v>6</v>
      </c>
      <c r="X1142" s="3" t="str">
        <f aca="false">TEXT(C1142,"mmmm")</f>
        <v>March</v>
      </c>
      <c r="Y1142" s="3" t="str">
        <f aca="false">LEFT(G1142,1)&amp;MID(G1142,FIND(" ",G1142)+1,1)</f>
        <v>JM</v>
      </c>
    </row>
    <row r="1143" customFormat="false" ht="15" hidden="false" customHeight="false" outlineLevel="0" collapsed="false">
      <c r="A1143" s="3" t="n">
        <v>1142</v>
      </c>
      <c r="B1143" s="3" t="s">
        <v>2724</v>
      </c>
      <c r="C1143" s="4" t="s">
        <v>2701</v>
      </c>
      <c r="D1143" s="4" t="s">
        <v>2725</v>
      </c>
      <c r="E1143" s="3" t="s">
        <v>42</v>
      </c>
      <c r="F1143" s="3" t="s">
        <v>1927</v>
      </c>
      <c r="G1143" s="3" t="s">
        <v>1928</v>
      </c>
      <c r="H1143" s="3" t="s">
        <v>56</v>
      </c>
      <c r="I1143" s="3" t="s">
        <v>32</v>
      </c>
      <c r="J1143" s="3" t="s">
        <v>299</v>
      </c>
      <c r="K1143" s="3" t="s">
        <v>189</v>
      </c>
      <c r="L1143" s="3" t="s">
        <v>59</v>
      </c>
      <c r="M1143" s="3" t="s">
        <v>121</v>
      </c>
      <c r="N1143" s="3" t="s">
        <v>49</v>
      </c>
      <c r="O1143" s="3" t="s">
        <v>50</v>
      </c>
      <c r="P1143" s="3" t="s">
        <v>122</v>
      </c>
      <c r="Q1143" s="5" t="n">
        <v>231.46</v>
      </c>
      <c r="R1143" s="3" t="n">
        <v>3</v>
      </c>
      <c r="S1143" s="6" t="n">
        <v>0</v>
      </c>
      <c r="T1143" s="5" t="n">
        <v>28.62</v>
      </c>
      <c r="U1143" s="3" t="str">
        <f aca="false">IF(T1143&lt;0,"Loss",IF(T1143=0,"Break-even","Profit"))</f>
        <v>Profit</v>
      </c>
      <c r="V1143" s="3" t="str">
        <f aca="false">IF(Q1143&lt;100,"Low",IF(Q1143&lt;=500,"Medium","High"))</f>
        <v>Medium</v>
      </c>
      <c r="W1143" s="3" t="n">
        <f aca="false">D1143-C1143</f>
        <v>1</v>
      </c>
      <c r="X1143" s="3" t="str">
        <f aca="false">TEXT(C1143,"mmmm")</f>
        <v>March</v>
      </c>
      <c r="Y1143" s="3" t="str">
        <f aca="false">LEFT(G1143,1)&amp;MID(G1143,FIND(" ",G1143)+1,1)</f>
        <v>RG</v>
      </c>
    </row>
    <row r="1144" customFormat="false" ht="15" hidden="false" customHeight="false" outlineLevel="0" collapsed="false">
      <c r="A1144" s="3" t="n">
        <v>1143</v>
      </c>
      <c r="B1144" s="3" t="s">
        <v>2726</v>
      </c>
      <c r="C1144" s="4" t="s">
        <v>2725</v>
      </c>
      <c r="D1144" s="4" t="s">
        <v>2712</v>
      </c>
      <c r="E1144" s="3" t="s">
        <v>28</v>
      </c>
      <c r="F1144" s="3" t="s">
        <v>2275</v>
      </c>
      <c r="G1144" s="3" t="s">
        <v>2276</v>
      </c>
      <c r="H1144" s="3" t="s">
        <v>56</v>
      </c>
      <c r="I1144" s="3" t="s">
        <v>32</v>
      </c>
      <c r="J1144" s="3" t="s">
        <v>243</v>
      </c>
      <c r="K1144" s="3" t="s">
        <v>244</v>
      </c>
      <c r="L1144" s="3" t="s">
        <v>157</v>
      </c>
      <c r="M1144" s="3" t="s">
        <v>142</v>
      </c>
      <c r="N1144" s="3" t="s">
        <v>49</v>
      </c>
      <c r="O1144" s="3" t="s">
        <v>143</v>
      </c>
      <c r="P1144" s="3" t="s">
        <v>144</v>
      </c>
      <c r="Q1144" s="5" t="n">
        <v>203.91</v>
      </c>
      <c r="R1144" s="3" t="n">
        <v>12</v>
      </c>
      <c r="S1144" s="6" t="n">
        <v>0.2</v>
      </c>
      <c r="T1144" s="5" t="n">
        <v>12.74</v>
      </c>
      <c r="U1144" s="3" t="str">
        <f aca="false">IF(T1144&lt;0,"Loss",IF(T1144=0,"Break-even","Profit"))</f>
        <v>Profit</v>
      </c>
      <c r="V1144" s="3" t="str">
        <f aca="false">IF(Q1144&lt;100,"Low",IF(Q1144&lt;=500,"Medium","High"))</f>
        <v>Medium</v>
      </c>
      <c r="W1144" s="3" t="n">
        <f aca="false">D1144-C1144</f>
        <v>3</v>
      </c>
      <c r="X1144" s="3" t="str">
        <f aca="false">TEXT(C1144,"mmmm")</f>
        <v>March</v>
      </c>
      <c r="Y1144" s="3" t="str">
        <f aca="false">LEFT(G1144,1)&amp;MID(G1144,FIND(" ",G1144)+1,1)</f>
        <v>JB</v>
      </c>
    </row>
    <row r="1145" customFormat="false" ht="15" hidden="false" customHeight="false" outlineLevel="0" collapsed="false">
      <c r="A1145" s="3" t="n">
        <v>1144</v>
      </c>
      <c r="B1145" s="3" t="s">
        <v>2727</v>
      </c>
      <c r="C1145" s="4" t="s">
        <v>2725</v>
      </c>
      <c r="D1145" s="4" t="s">
        <v>2725</v>
      </c>
      <c r="E1145" s="3" t="s">
        <v>53</v>
      </c>
      <c r="F1145" s="3" t="s">
        <v>553</v>
      </c>
      <c r="G1145" s="3" t="s">
        <v>554</v>
      </c>
      <c r="H1145" s="3" t="s">
        <v>56</v>
      </c>
      <c r="I1145" s="3" t="s">
        <v>32</v>
      </c>
      <c r="J1145" s="3" t="s">
        <v>87</v>
      </c>
      <c r="K1145" s="3" t="s">
        <v>68</v>
      </c>
      <c r="L1145" s="3" t="s">
        <v>69</v>
      </c>
      <c r="M1145" s="3" t="s">
        <v>269</v>
      </c>
      <c r="N1145" s="3" t="s">
        <v>89</v>
      </c>
      <c r="O1145" s="3" t="s">
        <v>174</v>
      </c>
      <c r="P1145" s="3" t="s">
        <v>270</v>
      </c>
      <c r="Q1145" s="5" t="n">
        <v>9736.55</v>
      </c>
      <c r="R1145" s="3" t="n">
        <v>14</v>
      </c>
      <c r="S1145" s="6" t="n">
        <v>0</v>
      </c>
      <c r="T1145" s="5" t="n">
        <v>-550.67</v>
      </c>
      <c r="U1145" s="3" t="str">
        <f aca="false">IF(T1145&lt;0,"Loss",IF(T1145=0,"Break-even","Profit"))</f>
        <v>Loss</v>
      </c>
      <c r="V1145" s="3" t="str">
        <f aca="false">IF(Q1145&lt;100,"Low",IF(Q1145&lt;=500,"Medium","High"))</f>
        <v>High</v>
      </c>
      <c r="W1145" s="3" t="n">
        <f aca="false">D1145-C1145</f>
        <v>0</v>
      </c>
      <c r="X1145" s="3" t="str">
        <f aca="false">TEXT(C1145,"mmmm")</f>
        <v>March</v>
      </c>
      <c r="Y1145" s="3" t="str">
        <f aca="false">LEFT(G1145,1)&amp;MID(G1145,FIND(" ",G1145)+1,1)</f>
        <v>LC</v>
      </c>
    </row>
    <row r="1146" customFormat="false" ht="15" hidden="false" customHeight="false" outlineLevel="0" collapsed="false">
      <c r="A1146" s="3" t="n">
        <v>1145</v>
      </c>
      <c r="B1146" s="3" t="s">
        <v>2728</v>
      </c>
      <c r="C1146" s="4" t="s">
        <v>2718</v>
      </c>
      <c r="D1146" s="4" t="s">
        <v>2705</v>
      </c>
      <c r="E1146" s="3" t="s">
        <v>42</v>
      </c>
      <c r="F1146" s="3" t="s">
        <v>1674</v>
      </c>
      <c r="G1146" s="3" t="s">
        <v>1675</v>
      </c>
      <c r="H1146" s="3" t="s">
        <v>56</v>
      </c>
      <c r="I1146" s="3" t="s">
        <v>32</v>
      </c>
      <c r="J1146" s="3" t="s">
        <v>95</v>
      </c>
      <c r="K1146" s="3" t="s">
        <v>96</v>
      </c>
      <c r="L1146" s="3" t="s">
        <v>59</v>
      </c>
      <c r="M1146" s="3" t="s">
        <v>97</v>
      </c>
      <c r="N1146" s="3" t="s">
        <v>89</v>
      </c>
      <c r="O1146" s="3" t="s">
        <v>90</v>
      </c>
      <c r="P1146" s="3" t="s">
        <v>98</v>
      </c>
      <c r="Q1146" s="5" t="n">
        <v>10465.91</v>
      </c>
      <c r="R1146" s="3" t="n">
        <v>14</v>
      </c>
      <c r="S1146" s="6" t="n">
        <v>0.2</v>
      </c>
      <c r="T1146" s="5" t="n">
        <v>-1584.88</v>
      </c>
      <c r="U1146" s="3" t="str">
        <f aca="false">IF(T1146&lt;0,"Loss",IF(T1146=0,"Break-even","Profit"))</f>
        <v>Loss</v>
      </c>
      <c r="V1146" s="3" t="str">
        <f aca="false">IF(Q1146&lt;100,"Low",IF(Q1146&lt;=500,"Medium","High"))</f>
        <v>High</v>
      </c>
      <c r="W1146" s="3" t="n">
        <f aca="false">D1146-C1146</f>
        <v>1</v>
      </c>
      <c r="X1146" s="3" t="str">
        <f aca="false">TEXT(C1146,"mmmm")</f>
        <v>March</v>
      </c>
      <c r="Y1146" s="3" t="str">
        <f aca="false">LEFT(G1146,1)&amp;MID(G1146,FIND(" ",G1146)+1,1)</f>
        <v>RS</v>
      </c>
    </row>
    <row r="1147" customFormat="false" ht="15" hidden="false" customHeight="false" outlineLevel="0" collapsed="false">
      <c r="A1147" s="3" t="n">
        <v>1146</v>
      </c>
      <c r="B1147" s="3" t="s">
        <v>2729</v>
      </c>
      <c r="C1147" s="4" t="s">
        <v>2718</v>
      </c>
      <c r="D1147" s="4" t="s">
        <v>2716</v>
      </c>
      <c r="E1147" s="3" t="s">
        <v>28</v>
      </c>
      <c r="F1147" s="3" t="s">
        <v>1562</v>
      </c>
      <c r="G1147" s="3" t="s">
        <v>1563</v>
      </c>
      <c r="H1147" s="3" t="s">
        <v>45</v>
      </c>
      <c r="I1147" s="3" t="s">
        <v>32</v>
      </c>
      <c r="J1147" s="3" t="s">
        <v>133</v>
      </c>
      <c r="K1147" s="3" t="s">
        <v>134</v>
      </c>
      <c r="L1147" s="3" t="s">
        <v>69</v>
      </c>
      <c r="M1147" s="3" t="s">
        <v>659</v>
      </c>
      <c r="N1147" s="3" t="s">
        <v>89</v>
      </c>
      <c r="O1147" s="3" t="s">
        <v>323</v>
      </c>
      <c r="P1147" s="3" t="s">
        <v>660</v>
      </c>
      <c r="Q1147" s="5" t="n">
        <v>410.88</v>
      </c>
      <c r="R1147" s="3" t="n">
        <v>7</v>
      </c>
      <c r="S1147" s="6" t="n">
        <v>0.2</v>
      </c>
      <c r="T1147" s="5" t="n">
        <v>60.34</v>
      </c>
      <c r="U1147" s="3" t="str">
        <f aca="false">IF(T1147&lt;0,"Loss",IF(T1147=0,"Break-even","Profit"))</f>
        <v>Profit</v>
      </c>
      <c r="V1147" s="3" t="str">
        <f aca="false">IF(Q1147&lt;100,"Low",IF(Q1147&lt;=500,"Medium","High"))</f>
        <v>Medium</v>
      </c>
      <c r="W1147" s="3" t="n">
        <f aca="false">D1147-C1147</f>
        <v>5</v>
      </c>
      <c r="X1147" s="3" t="str">
        <f aca="false">TEXT(C1147,"mmmm")</f>
        <v>March</v>
      </c>
      <c r="Y1147" s="3" t="str">
        <f aca="false">LEFT(G1147,1)&amp;MID(G1147,FIND(" ",G1147)+1,1)</f>
        <v>MB</v>
      </c>
    </row>
    <row r="1148" customFormat="false" ht="15" hidden="false" customHeight="false" outlineLevel="0" collapsed="false">
      <c r="A1148" s="3" t="n">
        <v>1147</v>
      </c>
      <c r="B1148" s="3" t="s">
        <v>2730</v>
      </c>
      <c r="C1148" s="4" t="s">
        <v>2718</v>
      </c>
      <c r="D1148" s="4" t="s">
        <v>2731</v>
      </c>
      <c r="E1148" s="3" t="s">
        <v>28</v>
      </c>
      <c r="F1148" s="3" t="s">
        <v>1812</v>
      </c>
      <c r="G1148" s="3" t="s">
        <v>1813</v>
      </c>
      <c r="H1148" s="3" t="s">
        <v>56</v>
      </c>
      <c r="I1148" s="3" t="s">
        <v>32</v>
      </c>
      <c r="J1148" s="3" t="s">
        <v>179</v>
      </c>
      <c r="K1148" s="3" t="s">
        <v>47</v>
      </c>
      <c r="L1148" s="3" t="s">
        <v>35</v>
      </c>
      <c r="M1148" s="3" t="s">
        <v>48</v>
      </c>
      <c r="N1148" s="3" t="s">
        <v>49</v>
      </c>
      <c r="O1148" s="3" t="s">
        <v>50</v>
      </c>
      <c r="P1148" s="3" t="s">
        <v>51</v>
      </c>
      <c r="Q1148" s="5" t="n">
        <v>73.2</v>
      </c>
      <c r="R1148" s="3" t="n">
        <v>1</v>
      </c>
      <c r="S1148" s="6" t="n">
        <v>0</v>
      </c>
      <c r="T1148" s="5" t="n">
        <v>21.73</v>
      </c>
      <c r="U1148" s="3" t="str">
        <f aca="false">IF(T1148&lt;0,"Loss",IF(T1148=0,"Break-even","Profit"))</f>
        <v>Profit</v>
      </c>
      <c r="V1148" s="3" t="str">
        <f aca="false">IF(Q1148&lt;100,"Low",IF(Q1148&lt;=500,"Medium","High"))</f>
        <v>Low</v>
      </c>
      <c r="W1148" s="3" t="n">
        <f aca="false">D1148-C1148</f>
        <v>6</v>
      </c>
      <c r="X1148" s="3" t="str">
        <f aca="false">TEXT(C1148,"mmmm")</f>
        <v>March</v>
      </c>
      <c r="Y1148" s="3" t="str">
        <f aca="false">LEFT(G1148,1)&amp;MID(G1148,FIND(" ",G1148)+1,1)</f>
        <v>FG</v>
      </c>
    </row>
    <row r="1149" customFormat="false" ht="15" hidden="false" customHeight="false" outlineLevel="0" collapsed="false">
      <c r="A1149" s="3" t="n">
        <v>1148</v>
      </c>
      <c r="B1149" s="3" t="s">
        <v>2732</v>
      </c>
      <c r="C1149" s="4" t="s">
        <v>2705</v>
      </c>
      <c r="D1149" s="4" t="s">
        <v>2733</v>
      </c>
      <c r="E1149" s="3" t="s">
        <v>28</v>
      </c>
      <c r="F1149" s="3" t="s">
        <v>1639</v>
      </c>
      <c r="G1149" s="3" t="s">
        <v>1640</v>
      </c>
      <c r="H1149" s="3" t="s">
        <v>56</v>
      </c>
      <c r="I1149" s="3" t="s">
        <v>32</v>
      </c>
      <c r="J1149" s="3" t="s">
        <v>315</v>
      </c>
      <c r="K1149" s="3" t="s">
        <v>58</v>
      </c>
      <c r="L1149" s="3" t="s">
        <v>59</v>
      </c>
      <c r="M1149" s="3" t="s">
        <v>209</v>
      </c>
      <c r="N1149" s="3" t="s">
        <v>49</v>
      </c>
      <c r="O1149" s="3" t="s">
        <v>106</v>
      </c>
      <c r="P1149" s="3" t="s">
        <v>210</v>
      </c>
      <c r="Q1149" s="5" t="n">
        <v>251.29</v>
      </c>
      <c r="R1149" s="3" t="n">
        <v>6</v>
      </c>
      <c r="S1149" s="6" t="n">
        <v>0.5</v>
      </c>
      <c r="T1149" s="5" t="n">
        <v>-74.28</v>
      </c>
      <c r="U1149" s="3" t="str">
        <f aca="false">IF(T1149&lt;0,"Loss",IF(T1149=0,"Break-even","Profit"))</f>
        <v>Loss</v>
      </c>
      <c r="V1149" s="3" t="str">
        <f aca="false">IF(Q1149&lt;100,"Low",IF(Q1149&lt;=500,"Medium","High"))</f>
        <v>Medium</v>
      </c>
      <c r="W1149" s="3" t="n">
        <f aca="false">D1149-C1149</f>
        <v>6</v>
      </c>
      <c r="X1149" s="3" t="str">
        <f aca="false">TEXT(C1149,"mmmm")</f>
        <v>March</v>
      </c>
      <c r="Y1149" s="3" t="str">
        <f aca="false">LEFT(G1149,1)&amp;MID(G1149,FIND(" ",G1149)+1,1)</f>
        <v>FN</v>
      </c>
    </row>
    <row r="1150" customFormat="false" ht="15" hidden="false" customHeight="false" outlineLevel="0" collapsed="false">
      <c r="A1150" s="3" t="n">
        <v>1149</v>
      </c>
      <c r="B1150" s="3" t="s">
        <v>2734</v>
      </c>
      <c r="C1150" s="4" t="s">
        <v>2710</v>
      </c>
      <c r="D1150" s="4" t="s">
        <v>2731</v>
      </c>
      <c r="E1150" s="3" t="s">
        <v>28</v>
      </c>
      <c r="F1150" s="3" t="s">
        <v>1692</v>
      </c>
      <c r="G1150" s="3" t="s">
        <v>1693</v>
      </c>
      <c r="H1150" s="3" t="s">
        <v>56</v>
      </c>
      <c r="I1150" s="3" t="s">
        <v>32</v>
      </c>
      <c r="J1150" s="3" t="s">
        <v>120</v>
      </c>
      <c r="K1150" s="3" t="s">
        <v>113</v>
      </c>
      <c r="L1150" s="3" t="s">
        <v>69</v>
      </c>
      <c r="M1150" s="3" t="s">
        <v>190</v>
      </c>
      <c r="N1150" s="3" t="s">
        <v>49</v>
      </c>
      <c r="O1150" s="3" t="s">
        <v>150</v>
      </c>
      <c r="P1150" s="3" t="s">
        <v>191</v>
      </c>
      <c r="Q1150" s="5" t="n">
        <v>724.11</v>
      </c>
      <c r="R1150" s="3" t="n">
        <v>12</v>
      </c>
      <c r="S1150" s="6" t="n">
        <v>0.2</v>
      </c>
      <c r="T1150" s="5" t="n">
        <v>-144.79</v>
      </c>
      <c r="U1150" s="3" t="str">
        <f aca="false">IF(T1150&lt;0,"Loss",IF(T1150=0,"Break-even","Profit"))</f>
        <v>Loss</v>
      </c>
      <c r="V1150" s="3" t="str">
        <f aca="false">IF(Q1150&lt;100,"Low",IF(Q1150&lt;=500,"Medium","High"))</f>
        <v>High</v>
      </c>
      <c r="W1150" s="3" t="n">
        <f aca="false">D1150-C1150</f>
        <v>3</v>
      </c>
      <c r="X1150" s="3" t="str">
        <f aca="false">TEXT(C1150,"mmmm")</f>
        <v>March</v>
      </c>
      <c r="Y1150" s="3" t="str">
        <f aca="false">LEFT(G1150,1)&amp;MID(G1150,FIND(" ",G1150)+1,1)</f>
        <v>SW</v>
      </c>
    </row>
    <row r="1151" customFormat="false" ht="15" hidden="false" customHeight="false" outlineLevel="0" collapsed="false">
      <c r="A1151" s="3" t="n">
        <v>1150</v>
      </c>
      <c r="B1151" s="3" t="s">
        <v>2735</v>
      </c>
      <c r="C1151" s="4" t="s">
        <v>2723</v>
      </c>
      <c r="D1151" s="4" t="s">
        <v>2736</v>
      </c>
      <c r="E1151" s="3" t="s">
        <v>28</v>
      </c>
      <c r="F1151" s="3" t="s">
        <v>350</v>
      </c>
      <c r="G1151" s="3" t="s">
        <v>351</v>
      </c>
      <c r="H1151" s="3" t="s">
        <v>31</v>
      </c>
      <c r="I1151" s="3" t="s">
        <v>32</v>
      </c>
      <c r="J1151" s="3" t="s">
        <v>87</v>
      </c>
      <c r="K1151" s="3" t="s">
        <v>68</v>
      </c>
      <c r="L1151" s="3" t="s">
        <v>69</v>
      </c>
      <c r="M1151" s="3" t="s">
        <v>149</v>
      </c>
      <c r="N1151" s="3" t="s">
        <v>49</v>
      </c>
      <c r="O1151" s="3" t="s">
        <v>150</v>
      </c>
      <c r="P1151" s="3" t="s">
        <v>151</v>
      </c>
      <c r="Q1151" s="5" t="n">
        <v>45.46</v>
      </c>
      <c r="R1151" s="3" t="n">
        <v>1</v>
      </c>
      <c r="S1151" s="6" t="n">
        <v>0.1</v>
      </c>
      <c r="T1151" s="5" t="n">
        <v>-8.95</v>
      </c>
      <c r="U1151" s="3" t="str">
        <f aca="false">IF(T1151&lt;0,"Loss",IF(T1151=0,"Break-even","Profit"))</f>
        <v>Loss</v>
      </c>
      <c r="V1151" s="3" t="str">
        <f aca="false">IF(Q1151&lt;100,"Low",IF(Q1151&lt;=500,"Medium","High"))</f>
        <v>Low</v>
      </c>
      <c r="W1151" s="3" t="n">
        <f aca="false">D1151-C1151</f>
        <v>6</v>
      </c>
      <c r="X1151" s="3" t="str">
        <f aca="false">TEXT(C1151,"mmmm")</f>
        <v>March</v>
      </c>
      <c r="Y1151" s="3" t="str">
        <f aca="false">LEFT(G1151,1)&amp;MID(G1151,FIND(" ",G1151)+1,1)</f>
        <v>PA</v>
      </c>
    </row>
    <row r="1152" customFormat="false" ht="15" hidden="false" customHeight="false" outlineLevel="0" collapsed="false">
      <c r="A1152" s="3" t="n">
        <v>1151</v>
      </c>
      <c r="B1152" s="3" t="s">
        <v>2737</v>
      </c>
      <c r="C1152" s="4" t="s">
        <v>2723</v>
      </c>
      <c r="D1152" s="4" t="s">
        <v>2733</v>
      </c>
      <c r="E1152" s="3" t="s">
        <v>28</v>
      </c>
      <c r="F1152" s="3" t="s">
        <v>871</v>
      </c>
      <c r="G1152" s="3" t="s">
        <v>872</v>
      </c>
      <c r="H1152" s="3" t="s">
        <v>31</v>
      </c>
      <c r="I1152" s="3" t="s">
        <v>32</v>
      </c>
      <c r="J1152" s="3" t="s">
        <v>77</v>
      </c>
      <c r="K1152" s="3" t="s">
        <v>78</v>
      </c>
      <c r="L1152" s="3" t="s">
        <v>59</v>
      </c>
      <c r="M1152" s="3" t="s">
        <v>659</v>
      </c>
      <c r="N1152" s="3" t="s">
        <v>89</v>
      </c>
      <c r="O1152" s="3" t="s">
        <v>323</v>
      </c>
      <c r="P1152" s="3" t="s">
        <v>660</v>
      </c>
      <c r="Q1152" s="5" t="n">
        <v>6481.22</v>
      </c>
      <c r="R1152" s="3" t="n">
        <v>13</v>
      </c>
      <c r="S1152" s="6" t="n">
        <v>0.2</v>
      </c>
      <c r="T1152" s="5" t="n">
        <v>1568.4</v>
      </c>
      <c r="U1152" s="3" t="str">
        <f aca="false">IF(T1152&lt;0,"Loss",IF(T1152=0,"Break-even","Profit"))</f>
        <v>Profit</v>
      </c>
      <c r="V1152" s="3" t="str">
        <f aca="false">IF(Q1152&lt;100,"Low",IF(Q1152&lt;=500,"Medium","High"))</f>
        <v>High</v>
      </c>
      <c r="W1152" s="3" t="n">
        <f aca="false">D1152-C1152</f>
        <v>3</v>
      </c>
      <c r="X1152" s="3" t="str">
        <f aca="false">TEXT(C1152,"mmmm")</f>
        <v>March</v>
      </c>
      <c r="Y1152" s="3" t="str">
        <f aca="false">LEFT(G1152,1)&amp;MID(G1152,FIND(" ",G1152)+1,1)</f>
        <v>MM</v>
      </c>
    </row>
    <row r="1153" customFormat="false" ht="15" hidden="false" customHeight="false" outlineLevel="0" collapsed="false">
      <c r="A1153" s="3" t="n">
        <v>1152</v>
      </c>
      <c r="B1153" s="3" t="s">
        <v>2738</v>
      </c>
      <c r="C1153" s="4" t="s">
        <v>2723</v>
      </c>
      <c r="D1153" s="4" t="s">
        <v>2739</v>
      </c>
      <c r="E1153" s="3" t="s">
        <v>28</v>
      </c>
      <c r="F1153" s="3" t="s">
        <v>536</v>
      </c>
      <c r="G1153" s="3" t="s">
        <v>537</v>
      </c>
      <c r="H1153" s="3" t="s">
        <v>56</v>
      </c>
      <c r="I1153" s="3" t="s">
        <v>32</v>
      </c>
      <c r="J1153" s="3" t="s">
        <v>299</v>
      </c>
      <c r="K1153" s="3" t="s">
        <v>189</v>
      </c>
      <c r="L1153" s="3" t="s">
        <v>59</v>
      </c>
      <c r="M1153" s="3" t="s">
        <v>253</v>
      </c>
      <c r="N1153" s="3" t="s">
        <v>89</v>
      </c>
      <c r="O1153" s="3" t="s">
        <v>90</v>
      </c>
      <c r="P1153" s="3" t="s">
        <v>254</v>
      </c>
      <c r="Q1153" s="5" t="n">
        <v>913.27</v>
      </c>
      <c r="R1153" s="3" t="n">
        <v>10</v>
      </c>
      <c r="S1153" s="6" t="n">
        <v>0.1</v>
      </c>
      <c r="T1153" s="5" t="n">
        <v>291.22</v>
      </c>
      <c r="U1153" s="3" t="str">
        <f aca="false">IF(T1153&lt;0,"Loss",IF(T1153=0,"Break-even","Profit"))</f>
        <v>Profit</v>
      </c>
      <c r="V1153" s="3" t="str">
        <f aca="false">IF(Q1153&lt;100,"Low",IF(Q1153&lt;=500,"Medium","High"))</f>
        <v>High</v>
      </c>
      <c r="W1153" s="3" t="n">
        <f aca="false">D1153-C1153</f>
        <v>5</v>
      </c>
      <c r="X1153" s="3" t="str">
        <f aca="false">TEXT(C1153,"mmmm")</f>
        <v>March</v>
      </c>
      <c r="Y1153" s="3" t="str">
        <f aca="false">LEFT(G1153,1)&amp;MID(G1153,FIND(" ",G1153)+1,1)</f>
        <v>EB</v>
      </c>
    </row>
    <row r="1154" customFormat="false" ht="15" hidden="false" customHeight="false" outlineLevel="0" collapsed="false">
      <c r="A1154" s="3" t="n">
        <v>1153</v>
      </c>
      <c r="B1154" s="3" t="s">
        <v>2740</v>
      </c>
      <c r="C1154" s="4" t="s">
        <v>2716</v>
      </c>
      <c r="D1154" s="4" t="s">
        <v>2733</v>
      </c>
      <c r="E1154" s="3" t="s">
        <v>84</v>
      </c>
      <c r="F1154" s="3" t="s">
        <v>835</v>
      </c>
      <c r="G1154" s="3" t="s">
        <v>836</v>
      </c>
      <c r="H1154" s="3" t="s">
        <v>56</v>
      </c>
      <c r="I1154" s="3" t="s">
        <v>32</v>
      </c>
      <c r="J1154" s="3" t="s">
        <v>104</v>
      </c>
      <c r="K1154" s="3" t="s">
        <v>96</v>
      </c>
      <c r="L1154" s="3" t="s">
        <v>59</v>
      </c>
      <c r="M1154" s="3" t="s">
        <v>404</v>
      </c>
      <c r="N1154" s="3" t="s">
        <v>89</v>
      </c>
      <c r="O1154" s="3" t="s">
        <v>166</v>
      </c>
      <c r="P1154" s="3" t="s">
        <v>405</v>
      </c>
      <c r="Q1154" s="5" t="n">
        <v>1446.11</v>
      </c>
      <c r="R1154" s="3" t="n">
        <v>6</v>
      </c>
      <c r="S1154" s="6" t="n">
        <v>0</v>
      </c>
      <c r="T1154" s="5" t="n">
        <v>62.68</v>
      </c>
      <c r="U1154" s="3" t="str">
        <f aca="false">IF(T1154&lt;0,"Loss",IF(T1154=0,"Break-even","Profit"))</f>
        <v>Profit</v>
      </c>
      <c r="V1154" s="3" t="str">
        <f aca="false">IF(Q1154&lt;100,"Low",IF(Q1154&lt;=500,"Medium","High"))</f>
        <v>High</v>
      </c>
      <c r="W1154" s="3" t="n">
        <f aca="false">D1154-C1154</f>
        <v>2</v>
      </c>
      <c r="X1154" s="3" t="str">
        <f aca="false">TEXT(C1154,"mmmm")</f>
        <v>March</v>
      </c>
      <c r="Y1154" s="3" t="str">
        <f aca="false">LEFT(G1154,1)&amp;MID(G1154,FIND(" ",G1154)+1,1)</f>
        <v>AN</v>
      </c>
    </row>
    <row r="1155" customFormat="false" ht="15" hidden="false" customHeight="false" outlineLevel="0" collapsed="false">
      <c r="A1155" s="3" t="n">
        <v>1154</v>
      </c>
      <c r="B1155" s="3" t="s">
        <v>2741</v>
      </c>
      <c r="C1155" s="4" t="s">
        <v>2733</v>
      </c>
      <c r="D1155" s="4" t="s">
        <v>2736</v>
      </c>
      <c r="E1155" s="3" t="s">
        <v>28</v>
      </c>
      <c r="F1155" s="3" t="s">
        <v>2742</v>
      </c>
      <c r="G1155" s="3" t="s">
        <v>2743</v>
      </c>
      <c r="H1155" s="3" t="s">
        <v>56</v>
      </c>
      <c r="I1155" s="3" t="s">
        <v>32</v>
      </c>
      <c r="J1155" s="3" t="s">
        <v>188</v>
      </c>
      <c r="K1155" s="3" t="s">
        <v>189</v>
      </c>
      <c r="L1155" s="3" t="s">
        <v>59</v>
      </c>
      <c r="M1155" s="3" t="s">
        <v>79</v>
      </c>
      <c r="N1155" s="3" t="s">
        <v>49</v>
      </c>
      <c r="O1155" s="3" t="s">
        <v>80</v>
      </c>
      <c r="P1155" s="3" t="s">
        <v>81</v>
      </c>
      <c r="Q1155" s="5" t="n">
        <v>341.8</v>
      </c>
      <c r="R1155" s="3" t="n">
        <v>11</v>
      </c>
      <c r="S1155" s="6" t="n">
        <v>0</v>
      </c>
      <c r="T1155" s="5" t="n">
        <v>53</v>
      </c>
      <c r="U1155" s="3" t="str">
        <f aca="false">IF(T1155&lt;0,"Loss",IF(T1155=0,"Break-even","Profit"))</f>
        <v>Profit</v>
      </c>
      <c r="V1155" s="3" t="str">
        <f aca="false">IF(Q1155&lt;100,"Low",IF(Q1155&lt;=500,"Medium","High"))</f>
        <v>Medium</v>
      </c>
      <c r="W1155" s="3" t="n">
        <f aca="false">D1155-C1155</f>
        <v>3</v>
      </c>
      <c r="X1155" s="3" t="str">
        <f aca="false">TEXT(C1155,"mmmm")</f>
        <v>March</v>
      </c>
      <c r="Y1155" s="3" t="str">
        <f aca="false">LEFT(G1155,1)&amp;MID(G1155,FIND(" ",G1155)+1,1)</f>
        <v>DA</v>
      </c>
    </row>
    <row r="1156" customFormat="false" ht="15" hidden="false" customHeight="false" outlineLevel="0" collapsed="false">
      <c r="A1156" s="3" t="n">
        <v>1155</v>
      </c>
      <c r="B1156" s="3" t="s">
        <v>2744</v>
      </c>
      <c r="C1156" s="4" t="s">
        <v>2733</v>
      </c>
      <c r="D1156" s="4" t="s">
        <v>2745</v>
      </c>
      <c r="E1156" s="3" t="s">
        <v>84</v>
      </c>
      <c r="F1156" s="3" t="s">
        <v>223</v>
      </c>
      <c r="G1156" s="3" t="s">
        <v>224</v>
      </c>
      <c r="H1156" s="3" t="s">
        <v>45</v>
      </c>
      <c r="I1156" s="3" t="s">
        <v>32</v>
      </c>
      <c r="J1156" s="3" t="s">
        <v>67</v>
      </c>
      <c r="K1156" s="3" t="s">
        <v>68</v>
      </c>
      <c r="L1156" s="3" t="s">
        <v>69</v>
      </c>
      <c r="M1156" s="3" t="s">
        <v>209</v>
      </c>
      <c r="N1156" s="3" t="s">
        <v>49</v>
      </c>
      <c r="O1156" s="3" t="s">
        <v>106</v>
      </c>
      <c r="P1156" s="3" t="s">
        <v>210</v>
      </c>
      <c r="Q1156" s="5" t="n">
        <v>705.06</v>
      </c>
      <c r="R1156" s="3" t="n">
        <v>6</v>
      </c>
      <c r="S1156" s="6" t="n">
        <v>0</v>
      </c>
      <c r="T1156" s="5" t="n">
        <v>-123.76</v>
      </c>
      <c r="U1156" s="3" t="str">
        <f aca="false">IF(T1156&lt;0,"Loss",IF(T1156=0,"Break-even","Profit"))</f>
        <v>Loss</v>
      </c>
      <c r="V1156" s="3" t="str">
        <f aca="false">IF(Q1156&lt;100,"Low",IF(Q1156&lt;=500,"Medium","High"))</f>
        <v>High</v>
      </c>
      <c r="W1156" s="3" t="n">
        <f aca="false">D1156-C1156</f>
        <v>4</v>
      </c>
      <c r="X1156" s="3" t="str">
        <f aca="false">TEXT(C1156,"mmmm")</f>
        <v>March</v>
      </c>
      <c r="Y1156" s="3" t="str">
        <f aca="false">LEFT(G1156,1)&amp;MID(G1156,FIND(" ",G1156)+1,1)</f>
        <v>RK</v>
      </c>
    </row>
    <row r="1157" customFormat="false" ht="15" hidden="false" customHeight="false" outlineLevel="0" collapsed="false">
      <c r="A1157" s="3" t="n">
        <v>1156</v>
      </c>
      <c r="B1157" s="3" t="s">
        <v>2746</v>
      </c>
      <c r="C1157" s="4" t="s">
        <v>2733</v>
      </c>
      <c r="D1157" s="4" t="s">
        <v>2739</v>
      </c>
      <c r="E1157" s="3" t="s">
        <v>84</v>
      </c>
      <c r="F1157" s="3" t="s">
        <v>1321</v>
      </c>
      <c r="G1157" s="3" t="s">
        <v>1322</v>
      </c>
      <c r="H1157" s="3" t="s">
        <v>31</v>
      </c>
      <c r="I1157" s="3" t="s">
        <v>32</v>
      </c>
      <c r="J1157" s="3" t="s">
        <v>873</v>
      </c>
      <c r="K1157" s="3" t="s">
        <v>387</v>
      </c>
      <c r="L1157" s="3" t="s">
        <v>35</v>
      </c>
      <c r="M1157" s="3" t="s">
        <v>121</v>
      </c>
      <c r="N1157" s="3" t="s">
        <v>49</v>
      </c>
      <c r="O1157" s="3" t="s">
        <v>50</v>
      </c>
      <c r="P1157" s="3" t="s">
        <v>122</v>
      </c>
      <c r="Q1157" s="5" t="n">
        <v>829.1</v>
      </c>
      <c r="R1157" s="3" t="n">
        <v>10</v>
      </c>
      <c r="S1157" s="6" t="n">
        <v>0</v>
      </c>
      <c r="T1157" s="5" t="n">
        <v>216.14</v>
      </c>
      <c r="U1157" s="3" t="str">
        <f aca="false">IF(T1157&lt;0,"Loss",IF(T1157=0,"Break-even","Profit"))</f>
        <v>Profit</v>
      </c>
      <c r="V1157" s="3" t="str">
        <f aca="false">IF(Q1157&lt;100,"Low",IF(Q1157&lt;=500,"Medium","High"))</f>
        <v>High</v>
      </c>
      <c r="W1157" s="3" t="n">
        <f aca="false">D1157-C1157</f>
        <v>2</v>
      </c>
      <c r="X1157" s="3" t="str">
        <f aca="false">TEXT(C1157,"mmmm")</f>
        <v>March</v>
      </c>
      <c r="Y1157" s="3" t="str">
        <f aca="false">LEFT(G1157,1)&amp;MID(G1157,FIND(" ",G1157)+1,1)</f>
        <v>CA</v>
      </c>
    </row>
    <row r="1158" customFormat="false" ht="15" hidden="false" customHeight="false" outlineLevel="0" collapsed="false">
      <c r="A1158" s="3" t="n">
        <v>1157</v>
      </c>
      <c r="B1158" s="3" t="s">
        <v>2747</v>
      </c>
      <c r="C1158" s="4" t="s">
        <v>2748</v>
      </c>
      <c r="D1158" s="4" t="s">
        <v>2749</v>
      </c>
      <c r="E1158" s="3" t="s">
        <v>28</v>
      </c>
      <c r="F1158" s="3" t="s">
        <v>716</v>
      </c>
      <c r="G1158" s="3" t="s">
        <v>717</v>
      </c>
      <c r="H1158" s="3" t="s">
        <v>45</v>
      </c>
      <c r="I1158" s="3" t="s">
        <v>32</v>
      </c>
      <c r="J1158" s="3" t="s">
        <v>737</v>
      </c>
      <c r="K1158" s="3" t="s">
        <v>307</v>
      </c>
      <c r="L1158" s="3" t="s">
        <v>69</v>
      </c>
      <c r="M1158" s="3" t="s">
        <v>470</v>
      </c>
      <c r="N1158" s="3" t="s">
        <v>49</v>
      </c>
      <c r="O1158" s="3" t="s">
        <v>159</v>
      </c>
      <c r="P1158" s="3" t="s">
        <v>471</v>
      </c>
      <c r="Q1158" s="5" t="n">
        <v>72.11</v>
      </c>
      <c r="R1158" s="3" t="n">
        <v>1</v>
      </c>
      <c r="S1158" s="6" t="n">
        <v>0</v>
      </c>
      <c r="T1158" s="5" t="n">
        <v>-12.15</v>
      </c>
      <c r="U1158" s="3" t="str">
        <f aca="false">IF(T1158&lt;0,"Loss",IF(T1158=0,"Break-even","Profit"))</f>
        <v>Loss</v>
      </c>
      <c r="V1158" s="3" t="str">
        <f aca="false">IF(Q1158&lt;100,"Low",IF(Q1158&lt;=500,"Medium","High"))</f>
        <v>Low</v>
      </c>
      <c r="W1158" s="3" t="n">
        <f aca="false">D1158-C1158</f>
        <v>6</v>
      </c>
      <c r="X1158" s="3" t="str">
        <f aca="false">TEXT(C1158,"mmmm")</f>
        <v>March</v>
      </c>
      <c r="Y1158" s="3" t="str">
        <f aca="false">LEFT(G1158,1)&amp;MID(G1158,FIND(" ",G1158)+1,1)</f>
        <v>WS</v>
      </c>
    </row>
    <row r="1159" customFormat="false" ht="15" hidden="false" customHeight="false" outlineLevel="0" collapsed="false">
      <c r="A1159" s="3" t="n">
        <v>1158</v>
      </c>
      <c r="B1159" s="3" t="s">
        <v>2750</v>
      </c>
      <c r="C1159" s="4" t="s">
        <v>2748</v>
      </c>
      <c r="D1159" s="4" t="s">
        <v>2739</v>
      </c>
      <c r="E1159" s="3" t="s">
        <v>42</v>
      </c>
      <c r="F1159" s="3" t="s">
        <v>1012</v>
      </c>
      <c r="G1159" s="3" t="s">
        <v>1013</v>
      </c>
      <c r="H1159" s="3" t="s">
        <v>56</v>
      </c>
      <c r="I1159" s="3" t="s">
        <v>32</v>
      </c>
      <c r="J1159" s="3" t="s">
        <v>386</v>
      </c>
      <c r="K1159" s="3" t="s">
        <v>387</v>
      </c>
      <c r="L1159" s="3" t="s">
        <v>35</v>
      </c>
      <c r="M1159" s="3" t="s">
        <v>135</v>
      </c>
      <c r="N1159" s="3" t="s">
        <v>37</v>
      </c>
      <c r="O1159" s="3" t="s">
        <v>136</v>
      </c>
      <c r="P1159" s="3" t="s">
        <v>137</v>
      </c>
      <c r="Q1159" s="5" t="n">
        <v>6883.04</v>
      </c>
      <c r="R1159" s="3" t="n">
        <v>7</v>
      </c>
      <c r="S1159" s="6" t="n">
        <v>0</v>
      </c>
      <c r="T1159" s="5" t="n">
        <v>1458.05</v>
      </c>
      <c r="U1159" s="3" t="str">
        <f aca="false">IF(T1159&lt;0,"Loss",IF(T1159=0,"Break-even","Profit"))</f>
        <v>Profit</v>
      </c>
      <c r="V1159" s="3" t="str">
        <f aca="false">IF(Q1159&lt;100,"Low",IF(Q1159&lt;=500,"Medium","High"))</f>
        <v>High</v>
      </c>
      <c r="W1159" s="3" t="n">
        <f aca="false">D1159-C1159</f>
        <v>1</v>
      </c>
      <c r="X1159" s="3" t="str">
        <f aca="false">TEXT(C1159,"mmmm")</f>
        <v>March</v>
      </c>
      <c r="Y1159" s="3" t="str">
        <f aca="false">LEFT(G1159,1)&amp;MID(G1159,FIND(" ",G1159)+1,1)</f>
        <v>JD</v>
      </c>
    </row>
    <row r="1160" customFormat="false" ht="15" hidden="false" customHeight="false" outlineLevel="0" collapsed="false">
      <c r="A1160" s="3" t="n">
        <v>1159</v>
      </c>
      <c r="B1160" s="3" t="s">
        <v>2751</v>
      </c>
      <c r="C1160" s="4" t="s">
        <v>2748</v>
      </c>
      <c r="D1160" s="4" t="s">
        <v>2752</v>
      </c>
      <c r="E1160" s="3" t="s">
        <v>84</v>
      </c>
      <c r="F1160" s="3" t="s">
        <v>1726</v>
      </c>
      <c r="G1160" s="3" t="s">
        <v>1727</v>
      </c>
      <c r="H1160" s="3" t="s">
        <v>56</v>
      </c>
      <c r="I1160" s="3" t="s">
        <v>32</v>
      </c>
      <c r="J1160" s="3" t="s">
        <v>873</v>
      </c>
      <c r="K1160" s="3" t="s">
        <v>387</v>
      </c>
      <c r="L1160" s="3" t="s">
        <v>35</v>
      </c>
      <c r="M1160" s="3" t="s">
        <v>347</v>
      </c>
      <c r="N1160" s="3" t="s">
        <v>49</v>
      </c>
      <c r="O1160" s="3" t="s">
        <v>220</v>
      </c>
      <c r="P1160" s="3" t="s">
        <v>348</v>
      </c>
      <c r="Q1160" s="5" t="n">
        <v>94.15</v>
      </c>
      <c r="R1160" s="3" t="n">
        <v>2</v>
      </c>
      <c r="S1160" s="6" t="n">
        <v>0</v>
      </c>
      <c r="T1160" s="5" t="n">
        <v>-7.34</v>
      </c>
      <c r="U1160" s="3" t="str">
        <f aca="false">IF(T1160&lt;0,"Loss",IF(T1160=0,"Break-even","Profit"))</f>
        <v>Loss</v>
      </c>
      <c r="V1160" s="3" t="str">
        <f aca="false">IF(Q1160&lt;100,"Low",IF(Q1160&lt;=500,"Medium","High"))</f>
        <v>Low</v>
      </c>
      <c r="W1160" s="3" t="n">
        <f aca="false">D1160-C1160</f>
        <v>4</v>
      </c>
      <c r="X1160" s="3" t="str">
        <f aca="false">TEXT(C1160,"mmmm")</f>
        <v>March</v>
      </c>
      <c r="Y1160" s="3" t="str">
        <f aca="false">LEFT(G1160,1)&amp;MID(G1160,FIND(" ",G1160)+1,1)</f>
        <v>FM</v>
      </c>
    </row>
    <row r="1161" customFormat="false" ht="15" hidden="false" customHeight="false" outlineLevel="0" collapsed="false">
      <c r="A1161" s="3" t="n">
        <v>1160</v>
      </c>
      <c r="B1161" s="3" t="s">
        <v>2753</v>
      </c>
      <c r="C1161" s="4" t="s">
        <v>2739</v>
      </c>
      <c r="D1161" s="4" t="s">
        <v>2754</v>
      </c>
      <c r="E1161" s="3" t="s">
        <v>84</v>
      </c>
      <c r="F1161" s="3" t="s">
        <v>784</v>
      </c>
      <c r="G1161" s="3" t="s">
        <v>785</v>
      </c>
      <c r="H1161" s="3" t="s">
        <v>45</v>
      </c>
      <c r="I1161" s="3" t="s">
        <v>32</v>
      </c>
      <c r="J1161" s="3" t="s">
        <v>365</v>
      </c>
      <c r="K1161" s="3" t="s">
        <v>366</v>
      </c>
      <c r="L1161" s="3" t="s">
        <v>157</v>
      </c>
      <c r="M1161" s="3" t="s">
        <v>470</v>
      </c>
      <c r="N1161" s="3" t="s">
        <v>49</v>
      </c>
      <c r="O1161" s="3" t="s">
        <v>159</v>
      </c>
      <c r="P1161" s="3" t="s">
        <v>471</v>
      </c>
      <c r="Q1161" s="5" t="n">
        <v>135.84</v>
      </c>
      <c r="R1161" s="3" t="n">
        <v>4</v>
      </c>
      <c r="S1161" s="6" t="n">
        <v>0.5</v>
      </c>
      <c r="T1161" s="5" t="n">
        <v>-20.77</v>
      </c>
      <c r="U1161" s="3" t="str">
        <f aca="false">IF(T1161&lt;0,"Loss",IF(T1161=0,"Break-even","Profit"))</f>
        <v>Loss</v>
      </c>
      <c r="V1161" s="3" t="str">
        <f aca="false">IF(Q1161&lt;100,"Low",IF(Q1161&lt;=500,"Medium","High"))</f>
        <v>Medium</v>
      </c>
      <c r="W1161" s="3" t="n">
        <f aca="false">D1161-C1161</f>
        <v>4</v>
      </c>
      <c r="X1161" s="3" t="str">
        <f aca="false">TEXT(C1161,"mmmm")</f>
        <v>March</v>
      </c>
      <c r="Y1161" s="3" t="str">
        <f aca="false">LEFT(G1161,1)&amp;MID(G1161,FIND(" ",G1161)+1,1)</f>
        <v>CR</v>
      </c>
    </row>
    <row r="1162" customFormat="false" ht="15" hidden="false" customHeight="false" outlineLevel="0" collapsed="false">
      <c r="A1162" s="3" t="n">
        <v>1161</v>
      </c>
      <c r="B1162" s="3" t="s">
        <v>2755</v>
      </c>
      <c r="C1162" s="4" t="s">
        <v>2736</v>
      </c>
      <c r="D1162" s="4" t="s">
        <v>2756</v>
      </c>
      <c r="E1162" s="3" t="s">
        <v>28</v>
      </c>
      <c r="F1162" s="3" t="s">
        <v>1095</v>
      </c>
      <c r="G1162" s="3" t="s">
        <v>1096</v>
      </c>
      <c r="H1162" s="3" t="s">
        <v>56</v>
      </c>
      <c r="I1162" s="3" t="s">
        <v>32</v>
      </c>
      <c r="J1162" s="3" t="s">
        <v>87</v>
      </c>
      <c r="K1162" s="3" t="s">
        <v>68</v>
      </c>
      <c r="L1162" s="3" t="s">
        <v>69</v>
      </c>
      <c r="M1162" s="3" t="s">
        <v>470</v>
      </c>
      <c r="N1162" s="3" t="s">
        <v>49</v>
      </c>
      <c r="O1162" s="3" t="s">
        <v>159</v>
      </c>
      <c r="P1162" s="3" t="s">
        <v>471</v>
      </c>
      <c r="Q1162" s="5" t="n">
        <v>300.01</v>
      </c>
      <c r="R1162" s="3" t="n">
        <v>3</v>
      </c>
      <c r="S1162" s="6" t="n">
        <v>0</v>
      </c>
      <c r="T1162" s="5" t="n">
        <v>-4.91</v>
      </c>
      <c r="U1162" s="3" t="str">
        <f aca="false">IF(T1162&lt;0,"Loss",IF(T1162=0,"Break-even","Profit"))</f>
        <v>Loss</v>
      </c>
      <c r="V1162" s="3" t="str">
        <f aca="false">IF(Q1162&lt;100,"Low",IF(Q1162&lt;=500,"Medium","High"))</f>
        <v>Medium</v>
      </c>
      <c r="W1162" s="3" t="n">
        <f aca="false">D1162-C1162</f>
        <v>5</v>
      </c>
      <c r="X1162" s="3" t="str">
        <f aca="false">TEXT(C1162,"mmmm")</f>
        <v>March</v>
      </c>
      <c r="Y1162" s="3" t="str">
        <f aca="false">LEFT(G1162,1)&amp;MID(G1162,FIND(" ",G1162)+1,1)</f>
        <v>JS</v>
      </c>
    </row>
    <row r="1163" customFormat="false" ht="15" hidden="false" customHeight="false" outlineLevel="0" collapsed="false">
      <c r="A1163" s="3" t="n">
        <v>1162</v>
      </c>
      <c r="B1163" s="3" t="s">
        <v>2757</v>
      </c>
      <c r="C1163" s="4" t="s">
        <v>2752</v>
      </c>
      <c r="D1163" s="4" t="s">
        <v>2758</v>
      </c>
      <c r="E1163" s="3" t="s">
        <v>28</v>
      </c>
      <c r="F1163" s="3" t="s">
        <v>153</v>
      </c>
      <c r="G1163" s="3" t="s">
        <v>154</v>
      </c>
      <c r="H1163" s="3" t="s">
        <v>45</v>
      </c>
      <c r="I1163" s="3" t="s">
        <v>32</v>
      </c>
      <c r="J1163" s="3" t="s">
        <v>112</v>
      </c>
      <c r="K1163" s="3" t="s">
        <v>113</v>
      </c>
      <c r="L1163" s="3" t="s">
        <v>69</v>
      </c>
      <c r="M1163" s="3" t="s">
        <v>404</v>
      </c>
      <c r="N1163" s="3" t="s">
        <v>89</v>
      </c>
      <c r="O1163" s="3" t="s">
        <v>166</v>
      </c>
      <c r="P1163" s="3" t="s">
        <v>405</v>
      </c>
      <c r="Q1163" s="5" t="n">
        <v>587.12</v>
      </c>
      <c r="R1163" s="3" t="n">
        <v>14</v>
      </c>
      <c r="S1163" s="6" t="n">
        <v>0.4</v>
      </c>
      <c r="T1163" s="5" t="n">
        <v>-97.1</v>
      </c>
      <c r="U1163" s="3" t="str">
        <f aca="false">IF(T1163&lt;0,"Loss",IF(T1163=0,"Break-even","Profit"))</f>
        <v>Loss</v>
      </c>
      <c r="V1163" s="3" t="str">
        <f aca="false">IF(Q1163&lt;100,"Low",IF(Q1163&lt;=500,"Medium","High"))</f>
        <v>High</v>
      </c>
      <c r="W1163" s="3" t="n">
        <f aca="false">D1163-C1163</f>
        <v>4</v>
      </c>
      <c r="X1163" s="3" t="str">
        <f aca="false">TEXT(C1163,"mmmm")</f>
        <v>March</v>
      </c>
      <c r="Y1163" s="3" t="str">
        <f aca="false">LEFT(G1163,1)&amp;MID(G1163,FIND(" ",G1163)+1,1)</f>
        <v>SK</v>
      </c>
    </row>
    <row r="1164" customFormat="false" ht="15" hidden="false" customHeight="false" outlineLevel="0" collapsed="false">
      <c r="A1164" s="3" t="n">
        <v>1163</v>
      </c>
      <c r="B1164" s="3" t="s">
        <v>2759</v>
      </c>
      <c r="C1164" s="4" t="s">
        <v>2752</v>
      </c>
      <c r="D1164" s="4" t="s">
        <v>2756</v>
      </c>
      <c r="E1164" s="3" t="s">
        <v>28</v>
      </c>
      <c r="F1164" s="3" t="s">
        <v>338</v>
      </c>
      <c r="G1164" s="3" t="s">
        <v>469</v>
      </c>
      <c r="H1164" s="3" t="s">
        <v>56</v>
      </c>
      <c r="I1164" s="3" t="s">
        <v>32</v>
      </c>
      <c r="J1164" s="3" t="s">
        <v>95</v>
      </c>
      <c r="K1164" s="3" t="s">
        <v>96</v>
      </c>
      <c r="L1164" s="3" t="s">
        <v>59</v>
      </c>
      <c r="M1164" s="3" t="s">
        <v>219</v>
      </c>
      <c r="N1164" s="3" t="s">
        <v>49</v>
      </c>
      <c r="O1164" s="3" t="s">
        <v>220</v>
      </c>
      <c r="P1164" s="3" t="s">
        <v>221</v>
      </c>
      <c r="Q1164" s="5" t="n">
        <v>31.61</v>
      </c>
      <c r="R1164" s="3" t="n">
        <v>7</v>
      </c>
      <c r="S1164" s="6" t="n">
        <v>0</v>
      </c>
      <c r="T1164" s="5" t="n">
        <v>1.98</v>
      </c>
      <c r="U1164" s="3" t="str">
        <f aca="false">IF(T1164&lt;0,"Loss",IF(T1164=0,"Break-even","Profit"))</f>
        <v>Profit</v>
      </c>
      <c r="V1164" s="3" t="str">
        <f aca="false">IF(Q1164&lt;100,"Low",IF(Q1164&lt;=500,"Medium","High"))</f>
        <v>Low</v>
      </c>
      <c r="W1164" s="3" t="n">
        <f aca="false">D1164-C1164</f>
        <v>3</v>
      </c>
      <c r="X1164" s="3" t="str">
        <f aca="false">TEXT(C1164,"mmmm")</f>
        <v>March</v>
      </c>
      <c r="Y1164" s="3" t="str">
        <f aca="false">LEFT(G1164,1)&amp;MID(G1164,FIND(" ",G1164)+1,1)</f>
        <v>WJ</v>
      </c>
    </row>
    <row r="1165" customFormat="false" ht="15" hidden="false" customHeight="false" outlineLevel="0" collapsed="false">
      <c r="A1165" s="3" t="n">
        <v>1164</v>
      </c>
      <c r="B1165" s="3" t="s">
        <v>2760</v>
      </c>
      <c r="C1165" s="4" t="s">
        <v>2754</v>
      </c>
      <c r="D1165" s="4" t="s">
        <v>2754</v>
      </c>
      <c r="E1165" s="3" t="s">
        <v>53</v>
      </c>
      <c r="F1165" s="3" t="s">
        <v>592</v>
      </c>
      <c r="G1165" s="3" t="s">
        <v>593</v>
      </c>
      <c r="H1165" s="3" t="s">
        <v>31</v>
      </c>
      <c r="I1165" s="3" t="s">
        <v>32</v>
      </c>
      <c r="J1165" s="3" t="s">
        <v>46</v>
      </c>
      <c r="K1165" s="3" t="s">
        <v>47</v>
      </c>
      <c r="L1165" s="3" t="s">
        <v>35</v>
      </c>
      <c r="M1165" s="3" t="s">
        <v>121</v>
      </c>
      <c r="N1165" s="3" t="s">
        <v>49</v>
      </c>
      <c r="O1165" s="3" t="s">
        <v>50</v>
      </c>
      <c r="P1165" s="3" t="s">
        <v>122</v>
      </c>
      <c r="Q1165" s="5" t="n">
        <v>52.85</v>
      </c>
      <c r="R1165" s="3" t="n">
        <v>11</v>
      </c>
      <c r="S1165" s="6" t="n">
        <v>0.1</v>
      </c>
      <c r="T1165" s="5" t="n">
        <v>14.75</v>
      </c>
      <c r="U1165" s="3" t="str">
        <f aca="false">IF(T1165&lt;0,"Loss",IF(T1165=0,"Break-even","Profit"))</f>
        <v>Profit</v>
      </c>
      <c r="V1165" s="3" t="str">
        <f aca="false">IF(Q1165&lt;100,"Low",IF(Q1165&lt;=500,"Medium","High"))</f>
        <v>Low</v>
      </c>
      <c r="W1165" s="3" t="n">
        <f aca="false">D1165-C1165</f>
        <v>0</v>
      </c>
      <c r="X1165" s="3" t="str">
        <f aca="false">TEXT(C1165,"mmmm")</f>
        <v>March</v>
      </c>
      <c r="Y1165" s="3" t="str">
        <f aca="false">LEFT(G1165,1)&amp;MID(G1165,FIND(" ",G1165)+1,1)</f>
        <v>PB</v>
      </c>
    </row>
    <row r="1166" customFormat="false" ht="15" hidden="false" customHeight="false" outlineLevel="0" collapsed="false">
      <c r="A1166" s="3" t="n">
        <v>1165</v>
      </c>
      <c r="B1166" s="3" t="s">
        <v>2761</v>
      </c>
      <c r="C1166" s="4" t="s">
        <v>2754</v>
      </c>
      <c r="D1166" s="4" t="s">
        <v>2762</v>
      </c>
      <c r="E1166" s="3" t="s">
        <v>84</v>
      </c>
      <c r="F1166" s="3" t="s">
        <v>1206</v>
      </c>
      <c r="G1166" s="3" t="s">
        <v>1207</v>
      </c>
      <c r="H1166" s="3" t="s">
        <v>31</v>
      </c>
      <c r="I1166" s="3" t="s">
        <v>32</v>
      </c>
      <c r="J1166" s="3" t="s">
        <v>299</v>
      </c>
      <c r="K1166" s="3" t="s">
        <v>189</v>
      </c>
      <c r="L1166" s="3" t="s">
        <v>59</v>
      </c>
      <c r="M1166" s="3" t="s">
        <v>79</v>
      </c>
      <c r="N1166" s="3" t="s">
        <v>49</v>
      </c>
      <c r="O1166" s="3" t="s">
        <v>80</v>
      </c>
      <c r="P1166" s="3" t="s">
        <v>81</v>
      </c>
      <c r="Q1166" s="5" t="n">
        <v>1085.41</v>
      </c>
      <c r="R1166" s="3" t="n">
        <v>13</v>
      </c>
      <c r="S1166" s="6" t="n">
        <v>0.2</v>
      </c>
      <c r="T1166" s="5" t="n">
        <v>172.24</v>
      </c>
      <c r="U1166" s="3" t="str">
        <f aca="false">IF(T1166&lt;0,"Loss",IF(T1166=0,"Break-even","Profit"))</f>
        <v>Profit</v>
      </c>
      <c r="V1166" s="3" t="str">
        <f aca="false">IF(Q1166&lt;100,"Low",IF(Q1166&lt;=500,"Medium","High"))</f>
        <v>High</v>
      </c>
      <c r="W1166" s="3" t="n">
        <f aca="false">D1166-C1166</f>
        <v>4</v>
      </c>
      <c r="X1166" s="3" t="str">
        <f aca="false">TEXT(C1166,"mmmm")</f>
        <v>March</v>
      </c>
      <c r="Y1166" s="3" t="str">
        <f aca="false">LEFT(G1166,1)&amp;MID(G1166,FIND(" ",G1166)+1,1)</f>
        <v>LN</v>
      </c>
    </row>
    <row r="1167" customFormat="false" ht="15" hidden="false" customHeight="false" outlineLevel="0" collapsed="false">
      <c r="A1167" s="3" t="n">
        <v>1166</v>
      </c>
      <c r="B1167" s="3" t="s">
        <v>2763</v>
      </c>
      <c r="C1167" s="4" t="s">
        <v>2749</v>
      </c>
      <c r="D1167" s="4" t="s">
        <v>2764</v>
      </c>
      <c r="E1167" s="3" t="s">
        <v>28</v>
      </c>
      <c r="F1167" s="3" t="s">
        <v>1772</v>
      </c>
      <c r="G1167" s="3" t="s">
        <v>1773</v>
      </c>
      <c r="H1167" s="3" t="s">
        <v>31</v>
      </c>
      <c r="I1167" s="3" t="s">
        <v>32</v>
      </c>
      <c r="J1167" s="3" t="s">
        <v>285</v>
      </c>
      <c r="K1167" s="3" t="s">
        <v>202</v>
      </c>
      <c r="L1167" s="3" t="s">
        <v>35</v>
      </c>
      <c r="M1167" s="3" t="s">
        <v>149</v>
      </c>
      <c r="N1167" s="3" t="s">
        <v>49</v>
      </c>
      <c r="O1167" s="3" t="s">
        <v>150</v>
      </c>
      <c r="P1167" s="3" t="s">
        <v>151</v>
      </c>
      <c r="Q1167" s="5" t="n">
        <v>352.94</v>
      </c>
      <c r="R1167" s="3" t="n">
        <v>4</v>
      </c>
      <c r="S1167" s="6" t="n">
        <v>0.2</v>
      </c>
      <c r="T1167" s="5" t="n">
        <v>96.99</v>
      </c>
      <c r="U1167" s="3" t="str">
        <f aca="false">IF(T1167&lt;0,"Loss",IF(T1167=0,"Break-even","Profit"))</f>
        <v>Profit</v>
      </c>
      <c r="V1167" s="3" t="str">
        <f aca="false">IF(Q1167&lt;100,"Low",IF(Q1167&lt;=500,"Medium","High"))</f>
        <v>Medium</v>
      </c>
      <c r="W1167" s="3" t="n">
        <f aca="false">D1167-C1167</f>
        <v>6</v>
      </c>
      <c r="X1167" s="3" t="str">
        <f aca="false">TEXT(C1167,"mmmm")</f>
        <v>March</v>
      </c>
      <c r="Y1167" s="3" t="str">
        <f aca="false">LEFT(G1167,1)&amp;MID(G1167,FIND(" ",G1167)+1,1)</f>
        <v>RC</v>
      </c>
    </row>
    <row r="1168" customFormat="false" ht="15" hidden="false" customHeight="false" outlineLevel="0" collapsed="false">
      <c r="A1168" s="3" t="n">
        <v>1167</v>
      </c>
      <c r="B1168" s="3" t="s">
        <v>2765</v>
      </c>
      <c r="C1168" s="4" t="s">
        <v>2749</v>
      </c>
      <c r="D1168" s="4" t="s">
        <v>2756</v>
      </c>
      <c r="E1168" s="3" t="s">
        <v>42</v>
      </c>
      <c r="F1168" s="3" t="s">
        <v>1174</v>
      </c>
      <c r="G1168" s="3" t="s">
        <v>1175</v>
      </c>
      <c r="H1168" s="3" t="s">
        <v>45</v>
      </c>
      <c r="I1168" s="3" t="s">
        <v>32</v>
      </c>
      <c r="J1168" s="3" t="s">
        <v>386</v>
      </c>
      <c r="K1168" s="3" t="s">
        <v>387</v>
      </c>
      <c r="L1168" s="3" t="s">
        <v>35</v>
      </c>
      <c r="M1168" s="3" t="s">
        <v>280</v>
      </c>
      <c r="N1168" s="3" t="s">
        <v>89</v>
      </c>
      <c r="O1168" s="3" t="s">
        <v>166</v>
      </c>
      <c r="P1168" s="3" t="s">
        <v>281</v>
      </c>
      <c r="Q1168" s="5" t="n">
        <v>1520.03</v>
      </c>
      <c r="R1168" s="3" t="n">
        <v>4</v>
      </c>
      <c r="S1168" s="6" t="n">
        <v>0.2</v>
      </c>
      <c r="T1168" s="5" t="n">
        <v>-380.51</v>
      </c>
      <c r="U1168" s="3" t="str">
        <f aca="false">IF(T1168&lt;0,"Loss",IF(T1168=0,"Break-even","Profit"))</f>
        <v>Loss</v>
      </c>
      <c r="V1168" s="3" t="str">
        <f aca="false">IF(Q1168&lt;100,"Low",IF(Q1168&lt;=500,"Medium","High"))</f>
        <v>High</v>
      </c>
      <c r="W1168" s="3" t="n">
        <f aca="false">D1168-C1168</f>
        <v>1</v>
      </c>
      <c r="X1168" s="3" t="str">
        <f aca="false">TEXT(C1168,"mmmm")</f>
        <v>March</v>
      </c>
      <c r="Y1168" s="3" t="str">
        <f aca="false">LEFT(G1168,1)&amp;MID(G1168,FIND(" ",G1168)+1,1)</f>
        <v>AB</v>
      </c>
    </row>
    <row r="1169" customFormat="false" ht="15" hidden="false" customHeight="false" outlineLevel="0" collapsed="false">
      <c r="A1169" s="3" t="n">
        <v>1168</v>
      </c>
      <c r="B1169" s="3" t="s">
        <v>2766</v>
      </c>
      <c r="C1169" s="4" t="s">
        <v>2749</v>
      </c>
      <c r="D1169" s="4" t="s">
        <v>2764</v>
      </c>
      <c r="E1169" s="3" t="s">
        <v>28</v>
      </c>
      <c r="F1169" s="3" t="s">
        <v>1081</v>
      </c>
      <c r="G1169" s="3" t="s">
        <v>1082</v>
      </c>
      <c r="H1169" s="3" t="s">
        <v>56</v>
      </c>
      <c r="I1169" s="3" t="s">
        <v>32</v>
      </c>
      <c r="J1169" s="3" t="s">
        <v>67</v>
      </c>
      <c r="K1169" s="3" t="s">
        <v>68</v>
      </c>
      <c r="L1169" s="3" t="s">
        <v>69</v>
      </c>
      <c r="M1169" s="3" t="s">
        <v>237</v>
      </c>
      <c r="N1169" s="3" t="s">
        <v>49</v>
      </c>
      <c r="O1169" s="3" t="s">
        <v>220</v>
      </c>
      <c r="P1169" s="3" t="s">
        <v>238</v>
      </c>
      <c r="Q1169" s="5" t="n">
        <v>629.53</v>
      </c>
      <c r="R1169" s="3" t="n">
        <v>8</v>
      </c>
      <c r="S1169" s="6" t="n">
        <v>0.1</v>
      </c>
      <c r="T1169" s="5" t="n">
        <v>-167.36</v>
      </c>
      <c r="U1169" s="3" t="str">
        <f aca="false">IF(T1169&lt;0,"Loss",IF(T1169=0,"Break-even","Profit"))</f>
        <v>Loss</v>
      </c>
      <c r="V1169" s="3" t="str">
        <f aca="false">IF(Q1169&lt;100,"Low",IF(Q1169&lt;=500,"Medium","High"))</f>
        <v>High</v>
      </c>
      <c r="W1169" s="3" t="n">
        <f aca="false">D1169-C1169</f>
        <v>6</v>
      </c>
      <c r="X1169" s="3" t="str">
        <f aca="false">TEXT(C1169,"mmmm")</f>
        <v>March</v>
      </c>
      <c r="Y1169" s="3" t="str">
        <f aca="false">LEFT(G1169,1)&amp;MID(G1169,FIND(" ",G1169)+1,1)</f>
        <v>SB</v>
      </c>
    </row>
    <row r="1170" customFormat="false" ht="15" hidden="false" customHeight="false" outlineLevel="0" collapsed="false">
      <c r="A1170" s="3" t="n">
        <v>1169</v>
      </c>
      <c r="B1170" s="3" t="s">
        <v>2767</v>
      </c>
      <c r="C1170" s="4" t="s">
        <v>2756</v>
      </c>
      <c r="D1170" s="4" t="s">
        <v>2768</v>
      </c>
      <c r="E1170" s="3" t="s">
        <v>28</v>
      </c>
      <c r="F1170" s="3" t="s">
        <v>65</v>
      </c>
      <c r="G1170" s="3" t="s">
        <v>66</v>
      </c>
      <c r="H1170" s="3" t="s">
        <v>56</v>
      </c>
      <c r="I1170" s="3" t="s">
        <v>32</v>
      </c>
      <c r="J1170" s="3" t="s">
        <v>188</v>
      </c>
      <c r="K1170" s="3" t="s">
        <v>189</v>
      </c>
      <c r="L1170" s="3" t="s">
        <v>59</v>
      </c>
      <c r="M1170" s="3" t="s">
        <v>269</v>
      </c>
      <c r="N1170" s="3" t="s">
        <v>89</v>
      </c>
      <c r="O1170" s="3" t="s">
        <v>174</v>
      </c>
      <c r="P1170" s="3" t="s">
        <v>270</v>
      </c>
      <c r="Q1170" s="5" t="n">
        <v>6560.57</v>
      </c>
      <c r="R1170" s="3" t="n">
        <v>9</v>
      </c>
      <c r="S1170" s="6" t="n">
        <v>0.1</v>
      </c>
      <c r="T1170" s="5" t="n">
        <v>2061.38</v>
      </c>
      <c r="U1170" s="3" t="str">
        <f aca="false">IF(T1170&lt;0,"Loss",IF(T1170=0,"Break-even","Profit"))</f>
        <v>Profit</v>
      </c>
      <c r="V1170" s="3" t="str">
        <f aca="false">IF(Q1170&lt;100,"Low",IF(Q1170&lt;=500,"Medium","High"))</f>
        <v>High</v>
      </c>
      <c r="W1170" s="3" t="n">
        <f aca="false">D1170-C1170</f>
        <v>6</v>
      </c>
      <c r="X1170" s="3" t="str">
        <f aca="false">TEXT(C1170,"mmmm")</f>
        <v>March</v>
      </c>
      <c r="Y1170" s="3" t="str">
        <f aca="false">LEFT(G1170,1)&amp;MID(G1170,FIND(" ",G1170)+1,1)</f>
        <v>MM</v>
      </c>
    </row>
    <row r="1171" customFormat="false" ht="15" hidden="false" customHeight="false" outlineLevel="0" collapsed="false">
      <c r="A1171" s="3" t="n">
        <v>1170</v>
      </c>
      <c r="B1171" s="3" t="s">
        <v>2769</v>
      </c>
      <c r="C1171" s="4" t="s">
        <v>2756</v>
      </c>
      <c r="D1171" s="4" t="s">
        <v>2770</v>
      </c>
      <c r="E1171" s="3" t="s">
        <v>84</v>
      </c>
      <c r="F1171" s="3" t="s">
        <v>602</v>
      </c>
      <c r="G1171" s="3" t="s">
        <v>603</v>
      </c>
      <c r="H1171" s="3" t="s">
        <v>56</v>
      </c>
      <c r="I1171" s="3" t="s">
        <v>32</v>
      </c>
      <c r="J1171" s="3" t="s">
        <v>188</v>
      </c>
      <c r="K1171" s="3" t="s">
        <v>189</v>
      </c>
      <c r="L1171" s="3" t="s">
        <v>59</v>
      </c>
      <c r="M1171" s="3" t="s">
        <v>142</v>
      </c>
      <c r="N1171" s="3" t="s">
        <v>49</v>
      </c>
      <c r="O1171" s="3" t="s">
        <v>143</v>
      </c>
      <c r="P1171" s="3" t="s">
        <v>144</v>
      </c>
      <c r="Q1171" s="5" t="n">
        <v>530.01</v>
      </c>
      <c r="R1171" s="3" t="n">
        <v>11</v>
      </c>
      <c r="S1171" s="6" t="n">
        <v>0</v>
      </c>
      <c r="T1171" s="5" t="n">
        <v>157.64</v>
      </c>
      <c r="U1171" s="3" t="str">
        <f aca="false">IF(T1171&lt;0,"Loss",IF(T1171=0,"Break-even","Profit"))</f>
        <v>Profit</v>
      </c>
      <c r="V1171" s="3" t="str">
        <f aca="false">IF(Q1171&lt;100,"Low",IF(Q1171&lt;=500,"Medium","High"))</f>
        <v>High</v>
      </c>
      <c r="W1171" s="3" t="n">
        <f aca="false">D1171-C1171</f>
        <v>3</v>
      </c>
      <c r="X1171" s="3" t="str">
        <f aca="false">TEXT(C1171,"mmmm")</f>
        <v>March</v>
      </c>
      <c r="Y1171" s="3" t="str">
        <f aca="false">LEFT(G1171,1)&amp;MID(G1171,FIND(" ",G1171)+1,1)</f>
        <v>SR</v>
      </c>
    </row>
    <row r="1172" customFormat="false" ht="15" hidden="false" customHeight="false" outlineLevel="0" collapsed="false">
      <c r="A1172" s="3" t="n">
        <v>1171</v>
      </c>
      <c r="B1172" s="3" t="s">
        <v>2771</v>
      </c>
      <c r="C1172" s="4" t="s">
        <v>2756</v>
      </c>
      <c r="D1172" s="4" t="s">
        <v>2768</v>
      </c>
      <c r="E1172" s="3" t="s">
        <v>28</v>
      </c>
      <c r="F1172" s="3" t="s">
        <v>1689</v>
      </c>
      <c r="G1172" s="3" t="s">
        <v>1690</v>
      </c>
      <c r="H1172" s="3" t="s">
        <v>56</v>
      </c>
      <c r="I1172" s="3" t="s">
        <v>32</v>
      </c>
      <c r="J1172" s="3" t="s">
        <v>476</v>
      </c>
      <c r="K1172" s="3" t="s">
        <v>366</v>
      </c>
      <c r="L1172" s="3" t="s">
        <v>157</v>
      </c>
      <c r="M1172" s="3" t="s">
        <v>121</v>
      </c>
      <c r="N1172" s="3" t="s">
        <v>49</v>
      </c>
      <c r="O1172" s="3" t="s">
        <v>50</v>
      </c>
      <c r="P1172" s="3" t="s">
        <v>122</v>
      </c>
      <c r="Q1172" s="5" t="n">
        <v>271.93</v>
      </c>
      <c r="R1172" s="3" t="n">
        <v>5</v>
      </c>
      <c r="S1172" s="6" t="n">
        <v>0</v>
      </c>
      <c r="T1172" s="5" t="n">
        <v>-5.01</v>
      </c>
      <c r="U1172" s="3" t="str">
        <f aca="false">IF(T1172&lt;0,"Loss",IF(T1172=0,"Break-even","Profit"))</f>
        <v>Loss</v>
      </c>
      <c r="V1172" s="3" t="str">
        <f aca="false">IF(Q1172&lt;100,"Low",IF(Q1172&lt;=500,"Medium","High"))</f>
        <v>Medium</v>
      </c>
      <c r="W1172" s="3" t="n">
        <f aca="false">D1172-C1172</f>
        <v>6</v>
      </c>
      <c r="X1172" s="3" t="str">
        <f aca="false">TEXT(C1172,"mmmm")</f>
        <v>March</v>
      </c>
      <c r="Y1172" s="3" t="str">
        <f aca="false">LEFT(G1172,1)&amp;MID(G1172,FIND(" ",G1172)+1,1)</f>
        <v>CK</v>
      </c>
    </row>
    <row r="1173" customFormat="false" ht="15" hidden="false" customHeight="false" outlineLevel="0" collapsed="false">
      <c r="A1173" s="3" t="n">
        <v>1172</v>
      </c>
      <c r="B1173" s="3" t="s">
        <v>2772</v>
      </c>
      <c r="C1173" s="4" t="s">
        <v>2756</v>
      </c>
      <c r="D1173" s="4" t="s">
        <v>2762</v>
      </c>
      <c r="E1173" s="3" t="s">
        <v>84</v>
      </c>
      <c r="F1173" s="3" t="s">
        <v>182</v>
      </c>
      <c r="G1173" s="3" t="s">
        <v>183</v>
      </c>
      <c r="H1173" s="3" t="s">
        <v>45</v>
      </c>
      <c r="I1173" s="3" t="s">
        <v>32</v>
      </c>
      <c r="J1173" s="3" t="s">
        <v>386</v>
      </c>
      <c r="K1173" s="3" t="s">
        <v>387</v>
      </c>
      <c r="L1173" s="3" t="s">
        <v>35</v>
      </c>
      <c r="M1173" s="3" t="s">
        <v>322</v>
      </c>
      <c r="N1173" s="3" t="s">
        <v>89</v>
      </c>
      <c r="O1173" s="3" t="s">
        <v>323</v>
      </c>
      <c r="P1173" s="3" t="s">
        <v>324</v>
      </c>
      <c r="Q1173" s="5" t="n">
        <v>3176.39</v>
      </c>
      <c r="R1173" s="3" t="n">
        <v>13</v>
      </c>
      <c r="S1173" s="6" t="n">
        <v>0.4</v>
      </c>
      <c r="T1173" s="5" t="n">
        <v>-606.24</v>
      </c>
      <c r="U1173" s="3" t="str">
        <f aca="false">IF(T1173&lt;0,"Loss",IF(T1173=0,"Break-even","Profit"))</f>
        <v>Loss</v>
      </c>
      <c r="V1173" s="3" t="str">
        <f aca="false">IF(Q1173&lt;100,"Low",IF(Q1173&lt;=500,"Medium","High"))</f>
        <v>High</v>
      </c>
      <c r="W1173" s="3" t="n">
        <f aca="false">D1173-C1173</f>
        <v>2</v>
      </c>
      <c r="X1173" s="3" t="str">
        <f aca="false">TEXT(C1173,"mmmm")</f>
        <v>March</v>
      </c>
      <c r="Y1173" s="3" t="str">
        <f aca="false">LEFT(G1173,1)&amp;MID(G1173,FIND(" ",G1173)+1,1)</f>
        <v>CN</v>
      </c>
    </row>
    <row r="1174" customFormat="false" ht="15" hidden="false" customHeight="false" outlineLevel="0" collapsed="false">
      <c r="A1174" s="3" t="n">
        <v>1173</v>
      </c>
      <c r="B1174" s="3" t="s">
        <v>2773</v>
      </c>
      <c r="C1174" s="4" t="s">
        <v>2758</v>
      </c>
      <c r="D1174" s="4" t="s">
        <v>2764</v>
      </c>
      <c r="E1174" s="3" t="s">
        <v>84</v>
      </c>
      <c r="F1174" s="3" t="s">
        <v>241</v>
      </c>
      <c r="G1174" s="3" t="s">
        <v>242</v>
      </c>
      <c r="H1174" s="3" t="s">
        <v>56</v>
      </c>
      <c r="I1174" s="3" t="s">
        <v>32</v>
      </c>
      <c r="J1174" s="3" t="s">
        <v>46</v>
      </c>
      <c r="K1174" s="3" t="s">
        <v>47</v>
      </c>
      <c r="L1174" s="3" t="s">
        <v>35</v>
      </c>
      <c r="M1174" s="3" t="s">
        <v>149</v>
      </c>
      <c r="N1174" s="3" t="s">
        <v>49</v>
      </c>
      <c r="O1174" s="3" t="s">
        <v>150</v>
      </c>
      <c r="P1174" s="3" t="s">
        <v>151</v>
      </c>
      <c r="Q1174" s="5" t="n">
        <v>109.63</v>
      </c>
      <c r="R1174" s="3" t="n">
        <v>8</v>
      </c>
      <c r="S1174" s="6" t="n">
        <v>0.1</v>
      </c>
      <c r="T1174" s="5" t="n">
        <v>13.08</v>
      </c>
      <c r="U1174" s="3" t="str">
        <f aca="false">IF(T1174&lt;0,"Loss",IF(T1174=0,"Break-even","Profit"))</f>
        <v>Profit</v>
      </c>
      <c r="V1174" s="3" t="str">
        <f aca="false">IF(Q1174&lt;100,"Low",IF(Q1174&lt;=500,"Medium","High"))</f>
        <v>Medium</v>
      </c>
      <c r="W1174" s="3" t="n">
        <f aca="false">D1174-C1174</f>
        <v>4</v>
      </c>
      <c r="X1174" s="3" t="str">
        <f aca="false">TEXT(C1174,"mmmm")</f>
        <v>March</v>
      </c>
      <c r="Y1174" s="3" t="str">
        <f aca="false">LEFT(G1174,1)&amp;MID(G1174,FIND(" ",G1174)+1,1)</f>
        <v>AC</v>
      </c>
    </row>
    <row r="1175" customFormat="false" ht="15" hidden="false" customHeight="false" outlineLevel="0" collapsed="false">
      <c r="A1175" s="3" t="n">
        <v>1174</v>
      </c>
      <c r="B1175" s="3" t="s">
        <v>2774</v>
      </c>
      <c r="C1175" s="4" t="s">
        <v>2762</v>
      </c>
      <c r="D1175" s="4" t="s">
        <v>2775</v>
      </c>
      <c r="E1175" s="3" t="s">
        <v>84</v>
      </c>
      <c r="F1175" s="3" t="s">
        <v>1310</v>
      </c>
      <c r="G1175" s="3" t="s">
        <v>1311</v>
      </c>
      <c r="H1175" s="3" t="s">
        <v>56</v>
      </c>
      <c r="I1175" s="3" t="s">
        <v>32</v>
      </c>
      <c r="J1175" s="3" t="s">
        <v>46</v>
      </c>
      <c r="K1175" s="3" t="s">
        <v>47</v>
      </c>
      <c r="L1175" s="3" t="s">
        <v>35</v>
      </c>
      <c r="M1175" s="3" t="s">
        <v>470</v>
      </c>
      <c r="N1175" s="3" t="s">
        <v>49</v>
      </c>
      <c r="O1175" s="3" t="s">
        <v>159</v>
      </c>
      <c r="P1175" s="3" t="s">
        <v>471</v>
      </c>
      <c r="Q1175" s="5" t="n">
        <v>47.89</v>
      </c>
      <c r="R1175" s="3" t="n">
        <v>1</v>
      </c>
      <c r="S1175" s="6" t="n">
        <v>0</v>
      </c>
      <c r="T1175" s="5" t="n">
        <v>11.17</v>
      </c>
      <c r="U1175" s="3" t="str">
        <f aca="false">IF(T1175&lt;0,"Loss",IF(T1175=0,"Break-even","Profit"))</f>
        <v>Profit</v>
      </c>
      <c r="V1175" s="3" t="str">
        <f aca="false">IF(Q1175&lt;100,"Low",IF(Q1175&lt;=500,"Medium","High"))</f>
        <v>Low</v>
      </c>
      <c r="W1175" s="3" t="n">
        <f aca="false">D1175-C1175</f>
        <v>2</v>
      </c>
      <c r="X1175" s="3" t="str">
        <f aca="false">TEXT(C1175,"mmmm")</f>
        <v>March</v>
      </c>
      <c r="Y1175" s="3" t="str">
        <f aca="false">LEFT(G1175,1)&amp;MID(G1175,FIND(" ",G1175)+1,1)</f>
        <v>DM</v>
      </c>
    </row>
    <row r="1176" customFormat="false" ht="15" hidden="false" customHeight="false" outlineLevel="0" collapsed="false">
      <c r="A1176" s="3" t="n">
        <v>1175</v>
      </c>
      <c r="B1176" s="3" t="s">
        <v>2776</v>
      </c>
      <c r="C1176" s="4" t="s">
        <v>2775</v>
      </c>
      <c r="D1176" s="4" t="s">
        <v>2777</v>
      </c>
      <c r="E1176" s="3" t="s">
        <v>28</v>
      </c>
      <c r="F1176" s="3" t="s">
        <v>550</v>
      </c>
      <c r="G1176" s="3" t="s">
        <v>1978</v>
      </c>
      <c r="H1176" s="3" t="s">
        <v>31</v>
      </c>
      <c r="I1176" s="3" t="s">
        <v>32</v>
      </c>
      <c r="J1176" s="3" t="s">
        <v>386</v>
      </c>
      <c r="K1176" s="3" t="s">
        <v>387</v>
      </c>
      <c r="L1176" s="3" t="s">
        <v>35</v>
      </c>
      <c r="M1176" s="3" t="s">
        <v>280</v>
      </c>
      <c r="N1176" s="3" t="s">
        <v>89</v>
      </c>
      <c r="O1176" s="3" t="s">
        <v>166</v>
      </c>
      <c r="P1176" s="3" t="s">
        <v>281</v>
      </c>
      <c r="Q1176" s="5" t="n">
        <v>763.49</v>
      </c>
      <c r="R1176" s="3" t="n">
        <v>2</v>
      </c>
      <c r="S1176" s="6" t="n">
        <v>0.4</v>
      </c>
      <c r="T1176" s="5" t="n">
        <v>-40.21</v>
      </c>
      <c r="U1176" s="3" t="str">
        <f aca="false">IF(T1176&lt;0,"Loss",IF(T1176=0,"Break-even","Profit"))</f>
        <v>Loss</v>
      </c>
      <c r="V1176" s="3" t="str">
        <f aca="false">IF(Q1176&lt;100,"Low",IF(Q1176&lt;=500,"Medium","High"))</f>
        <v>High</v>
      </c>
      <c r="W1176" s="3" t="n">
        <f aca="false">D1176-C1176</f>
        <v>7</v>
      </c>
      <c r="X1176" s="3" t="str">
        <f aca="false">TEXT(C1176,"mmmm")</f>
        <v>March</v>
      </c>
      <c r="Y1176" s="3" t="str">
        <f aca="false">LEFT(G1176,1)&amp;MID(G1176,FIND(" ",G1176)+1,1)</f>
        <v>JC</v>
      </c>
    </row>
    <row r="1177" customFormat="false" ht="15" hidden="false" customHeight="false" outlineLevel="0" collapsed="false">
      <c r="A1177" s="3" t="n">
        <v>1176</v>
      </c>
      <c r="B1177" s="3" t="s">
        <v>2778</v>
      </c>
      <c r="C1177" s="4" t="s">
        <v>2775</v>
      </c>
      <c r="D1177" s="4" t="s">
        <v>2768</v>
      </c>
      <c r="E1177" s="3" t="s">
        <v>42</v>
      </c>
      <c r="F1177" s="3" t="s">
        <v>1788</v>
      </c>
      <c r="G1177" s="3" t="s">
        <v>1789</v>
      </c>
      <c r="H1177" s="3" t="s">
        <v>31</v>
      </c>
      <c r="I1177" s="3" t="s">
        <v>32</v>
      </c>
      <c r="J1177" s="3" t="s">
        <v>33</v>
      </c>
      <c r="K1177" s="3" t="s">
        <v>34</v>
      </c>
      <c r="L1177" s="3" t="s">
        <v>35</v>
      </c>
      <c r="M1177" s="3" t="s">
        <v>79</v>
      </c>
      <c r="N1177" s="3" t="s">
        <v>49</v>
      </c>
      <c r="O1177" s="3" t="s">
        <v>80</v>
      </c>
      <c r="P1177" s="3" t="s">
        <v>81</v>
      </c>
      <c r="Q1177" s="5" t="n">
        <v>114.6</v>
      </c>
      <c r="R1177" s="3" t="n">
        <v>3</v>
      </c>
      <c r="S1177" s="6" t="n">
        <v>0.5</v>
      </c>
      <c r="T1177" s="5" t="n">
        <v>-25.93</v>
      </c>
      <c r="U1177" s="3" t="str">
        <f aca="false">IF(T1177&lt;0,"Loss",IF(T1177=0,"Break-even","Profit"))</f>
        <v>Loss</v>
      </c>
      <c r="V1177" s="3" t="str">
        <f aca="false">IF(Q1177&lt;100,"Low",IF(Q1177&lt;=500,"Medium","High"))</f>
        <v>Medium</v>
      </c>
      <c r="W1177" s="3" t="n">
        <f aca="false">D1177-C1177</f>
        <v>2</v>
      </c>
      <c r="X1177" s="3" t="str">
        <f aca="false">TEXT(C1177,"mmmm")</f>
        <v>March</v>
      </c>
      <c r="Y1177" s="3" t="str">
        <f aca="false">LEFT(G1177,1)&amp;MID(G1177,FIND(" ",G1177)+1,1)</f>
        <v>EJ</v>
      </c>
    </row>
    <row r="1178" customFormat="false" ht="15" hidden="false" customHeight="false" outlineLevel="0" collapsed="false">
      <c r="A1178" s="3" t="n">
        <v>1177</v>
      </c>
      <c r="B1178" s="3" t="s">
        <v>2779</v>
      </c>
      <c r="C1178" s="4" t="s">
        <v>2764</v>
      </c>
      <c r="D1178" s="4" t="s">
        <v>2780</v>
      </c>
      <c r="E1178" s="3" t="s">
        <v>84</v>
      </c>
      <c r="F1178" s="3" t="s">
        <v>776</v>
      </c>
      <c r="G1178" s="3" t="s">
        <v>777</v>
      </c>
      <c r="H1178" s="3" t="s">
        <v>31</v>
      </c>
      <c r="I1178" s="3" t="s">
        <v>32</v>
      </c>
      <c r="J1178" s="3" t="s">
        <v>873</v>
      </c>
      <c r="K1178" s="3" t="s">
        <v>387</v>
      </c>
      <c r="L1178" s="3" t="s">
        <v>35</v>
      </c>
      <c r="M1178" s="3" t="s">
        <v>300</v>
      </c>
      <c r="N1178" s="3" t="s">
        <v>49</v>
      </c>
      <c r="O1178" s="3" t="s">
        <v>143</v>
      </c>
      <c r="P1178" s="3" t="s">
        <v>301</v>
      </c>
      <c r="Q1178" s="5" t="n">
        <v>290.97</v>
      </c>
      <c r="R1178" s="3" t="n">
        <v>4</v>
      </c>
      <c r="S1178" s="6" t="n">
        <v>0</v>
      </c>
      <c r="T1178" s="5" t="n">
        <v>-43.15</v>
      </c>
      <c r="U1178" s="3" t="str">
        <f aca="false">IF(T1178&lt;0,"Loss",IF(T1178=0,"Break-even","Profit"))</f>
        <v>Loss</v>
      </c>
      <c r="V1178" s="3" t="str">
        <f aca="false">IF(Q1178&lt;100,"Low",IF(Q1178&lt;=500,"Medium","High"))</f>
        <v>Medium</v>
      </c>
      <c r="W1178" s="3" t="n">
        <f aca="false">D1178-C1178</f>
        <v>4</v>
      </c>
      <c r="X1178" s="3" t="str">
        <f aca="false">TEXT(C1178,"mmmm")</f>
        <v>March</v>
      </c>
      <c r="Y1178" s="3" t="str">
        <f aca="false">LEFT(G1178,1)&amp;MID(G1178,FIND(" ",G1178)+1,1)</f>
        <v>AM</v>
      </c>
    </row>
    <row r="1179" customFormat="false" ht="15" hidden="false" customHeight="false" outlineLevel="0" collapsed="false">
      <c r="A1179" s="3" t="n">
        <v>1178</v>
      </c>
      <c r="B1179" s="3" t="s">
        <v>2781</v>
      </c>
      <c r="C1179" s="4" t="s">
        <v>2764</v>
      </c>
      <c r="D1179" s="4" t="s">
        <v>2780</v>
      </c>
      <c r="E1179" s="3" t="s">
        <v>28</v>
      </c>
      <c r="F1179" s="3" t="s">
        <v>75</v>
      </c>
      <c r="G1179" s="3" t="s">
        <v>76</v>
      </c>
      <c r="H1179" s="3" t="s">
        <v>56</v>
      </c>
      <c r="I1179" s="3" t="s">
        <v>32</v>
      </c>
      <c r="J1179" s="3" t="s">
        <v>299</v>
      </c>
      <c r="K1179" s="3" t="s">
        <v>189</v>
      </c>
      <c r="L1179" s="3" t="s">
        <v>59</v>
      </c>
      <c r="M1179" s="3" t="s">
        <v>420</v>
      </c>
      <c r="N1179" s="3" t="s">
        <v>49</v>
      </c>
      <c r="O1179" s="3" t="s">
        <v>80</v>
      </c>
      <c r="P1179" s="3" t="s">
        <v>421</v>
      </c>
      <c r="Q1179" s="5" t="n">
        <v>23.27</v>
      </c>
      <c r="R1179" s="3" t="n">
        <v>1</v>
      </c>
      <c r="S1179" s="6" t="n">
        <v>0</v>
      </c>
      <c r="T1179" s="5" t="n">
        <v>-3.43</v>
      </c>
      <c r="U1179" s="3" t="str">
        <f aca="false">IF(T1179&lt;0,"Loss",IF(T1179=0,"Break-even","Profit"))</f>
        <v>Loss</v>
      </c>
      <c r="V1179" s="3" t="str">
        <f aca="false">IF(Q1179&lt;100,"Low",IF(Q1179&lt;=500,"Medium","High"))</f>
        <v>Low</v>
      </c>
      <c r="W1179" s="3" t="n">
        <f aca="false">D1179-C1179</f>
        <v>4</v>
      </c>
      <c r="X1179" s="3" t="str">
        <f aca="false">TEXT(C1179,"mmmm")</f>
        <v>March</v>
      </c>
      <c r="Y1179" s="3" t="str">
        <f aca="false">LEFT(G1179,1)&amp;MID(G1179,FIND(" ",G1179)+1,1)</f>
        <v>LM</v>
      </c>
    </row>
    <row r="1180" customFormat="false" ht="15" hidden="false" customHeight="false" outlineLevel="0" collapsed="false">
      <c r="A1180" s="3" t="n">
        <v>1179</v>
      </c>
      <c r="B1180" s="3" t="s">
        <v>2782</v>
      </c>
      <c r="C1180" s="4" t="s">
        <v>2764</v>
      </c>
      <c r="D1180" s="4" t="s">
        <v>2783</v>
      </c>
      <c r="E1180" s="3" t="s">
        <v>28</v>
      </c>
      <c r="F1180" s="3" t="s">
        <v>310</v>
      </c>
      <c r="G1180" s="3" t="s">
        <v>311</v>
      </c>
      <c r="H1180" s="3" t="s">
        <v>31</v>
      </c>
      <c r="I1180" s="3" t="s">
        <v>32</v>
      </c>
      <c r="J1180" s="3" t="s">
        <v>476</v>
      </c>
      <c r="K1180" s="3" t="s">
        <v>366</v>
      </c>
      <c r="L1180" s="3" t="s">
        <v>157</v>
      </c>
      <c r="M1180" s="3" t="s">
        <v>105</v>
      </c>
      <c r="N1180" s="3" t="s">
        <v>49</v>
      </c>
      <c r="O1180" s="3" t="s">
        <v>106</v>
      </c>
      <c r="P1180" s="3" t="s">
        <v>107</v>
      </c>
      <c r="Q1180" s="5" t="n">
        <v>103.25</v>
      </c>
      <c r="R1180" s="3" t="n">
        <v>1</v>
      </c>
      <c r="S1180" s="6" t="n">
        <v>0</v>
      </c>
      <c r="T1180" s="5" t="n">
        <v>23.99</v>
      </c>
      <c r="U1180" s="3" t="str">
        <f aca="false">IF(T1180&lt;0,"Loss",IF(T1180=0,"Break-even","Profit"))</f>
        <v>Profit</v>
      </c>
      <c r="V1180" s="3" t="str">
        <f aca="false">IF(Q1180&lt;100,"Low",IF(Q1180&lt;=500,"Medium","High"))</f>
        <v>Medium</v>
      </c>
      <c r="W1180" s="3" t="n">
        <f aca="false">D1180-C1180</f>
        <v>3</v>
      </c>
      <c r="X1180" s="3" t="str">
        <f aca="false">TEXT(C1180,"mmmm")</f>
        <v>March</v>
      </c>
      <c r="Y1180" s="3" t="str">
        <f aca="false">LEFT(G1180,1)&amp;MID(G1180,FIND(" ",G1180)+1,1)</f>
        <v>FD</v>
      </c>
    </row>
    <row r="1181" customFormat="false" ht="15" hidden="false" customHeight="false" outlineLevel="0" collapsed="false">
      <c r="A1181" s="3" t="n">
        <v>1180</v>
      </c>
      <c r="B1181" s="3" t="s">
        <v>2784</v>
      </c>
      <c r="C1181" s="4" t="s">
        <v>2764</v>
      </c>
      <c r="D1181" s="4" t="s">
        <v>2777</v>
      </c>
      <c r="E1181" s="3" t="s">
        <v>28</v>
      </c>
      <c r="F1181" s="3" t="s">
        <v>390</v>
      </c>
      <c r="G1181" s="3" t="s">
        <v>391</v>
      </c>
      <c r="H1181" s="3" t="s">
        <v>56</v>
      </c>
      <c r="I1181" s="3" t="s">
        <v>32</v>
      </c>
      <c r="J1181" s="3" t="s">
        <v>306</v>
      </c>
      <c r="K1181" s="3" t="s">
        <v>307</v>
      </c>
      <c r="L1181" s="3" t="s">
        <v>69</v>
      </c>
      <c r="M1181" s="3" t="s">
        <v>347</v>
      </c>
      <c r="N1181" s="3" t="s">
        <v>49</v>
      </c>
      <c r="O1181" s="3" t="s">
        <v>220</v>
      </c>
      <c r="P1181" s="3" t="s">
        <v>348</v>
      </c>
      <c r="Q1181" s="5" t="n">
        <v>101.46</v>
      </c>
      <c r="R1181" s="3" t="n">
        <v>1</v>
      </c>
      <c r="S1181" s="6" t="n">
        <v>0</v>
      </c>
      <c r="T1181" s="5" t="n">
        <v>-12.03</v>
      </c>
      <c r="U1181" s="3" t="str">
        <f aca="false">IF(T1181&lt;0,"Loss",IF(T1181=0,"Break-even","Profit"))</f>
        <v>Loss</v>
      </c>
      <c r="V1181" s="3" t="str">
        <f aca="false">IF(Q1181&lt;100,"Low",IF(Q1181&lt;=500,"Medium","High"))</f>
        <v>Medium</v>
      </c>
      <c r="W1181" s="3" t="n">
        <f aca="false">D1181-C1181</f>
        <v>6</v>
      </c>
      <c r="X1181" s="3" t="str">
        <f aca="false">TEXT(C1181,"mmmm")</f>
        <v>March</v>
      </c>
      <c r="Y1181" s="3" t="str">
        <f aca="false">LEFT(G1181,1)&amp;MID(G1181,FIND(" ",G1181)+1,1)</f>
        <v>MA</v>
      </c>
    </row>
    <row r="1182" customFormat="false" ht="15" hidden="false" customHeight="false" outlineLevel="0" collapsed="false">
      <c r="A1182" s="3" t="n">
        <v>1181</v>
      </c>
      <c r="B1182" s="3" t="s">
        <v>2785</v>
      </c>
      <c r="C1182" s="4" t="s">
        <v>2768</v>
      </c>
      <c r="D1182" s="4" t="s">
        <v>2777</v>
      </c>
      <c r="E1182" s="3" t="s">
        <v>28</v>
      </c>
      <c r="F1182" s="3" t="s">
        <v>536</v>
      </c>
      <c r="G1182" s="3" t="s">
        <v>537</v>
      </c>
      <c r="H1182" s="3" t="s">
        <v>45</v>
      </c>
      <c r="I1182" s="3" t="s">
        <v>32</v>
      </c>
      <c r="J1182" s="3" t="s">
        <v>616</v>
      </c>
      <c r="K1182" s="3" t="s">
        <v>156</v>
      </c>
      <c r="L1182" s="3" t="s">
        <v>157</v>
      </c>
      <c r="M1182" s="3" t="s">
        <v>259</v>
      </c>
      <c r="N1182" s="3" t="s">
        <v>89</v>
      </c>
      <c r="O1182" s="3" t="s">
        <v>174</v>
      </c>
      <c r="P1182" s="3" t="s">
        <v>260</v>
      </c>
      <c r="Q1182" s="5" t="n">
        <v>1597.88</v>
      </c>
      <c r="R1182" s="3" t="n">
        <v>4</v>
      </c>
      <c r="S1182" s="6" t="n">
        <v>0.3</v>
      </c>
      <c r="T1182" s="5" t="n">
        <v>-307.99</v>
      </c>
      <c r="U1182" s="3" t="str">
        <f aca="false">IF(T1182&lt;0,"Loss",IF(T1182=0,"Break-even","Profit"))</f>
        <v>Loss</v>
      </c>
      <c r="V1182" s="3" t="str">
        <f aca="false">IF(Q1182&lt;100,"Low",IF(Q1182&lt;=500,"Medium","High"))</f>
        <v>High</v>
      </c>
      <c r="W1182" s="3" t="n">
        <f aca="false">D1182-C1182</f>
        <v>5</v>
      </c>
      <c r="X1182" s="3" t="str">
        <f aca="false">TEXT(C1182,"mmmm")</f>
        <v>April</v>
      </c>
      <c r="Y1182" s="3" t="str">
        <f aca="false">LEFT(G1182,1)&amp;MID(G1182,FIND(" ",G1182)+1,1)</f>
        <v>EB</v>
      </c>
    </row>
    <row r="1183" customFormat="false" ht="15" hidden="false" customHeight="false" outlineLevel="0" collapsed="false">
      <c r="A1183" s="3" t="n">
        <v>1182</v>
      </c>
      <c r="B1183" s="3" t="s">
        <v>2786</v>
      </c>
      <c r="C1183" s="4" t="s">
        <v>2768</v>
      </c>
      <c r="D1183" s="4" t="s">
        <v>2787</v>
      </c>
      <c r="E1183" s="3" t="s">
        <v>28</v>
      </c>
      <c r="F1183" s="3" t="s">
        <v>716</v>
      </c>
      <c r="G1183" s="3" t="s">
        <v>717</v>
      </c>
      <c r="H1183" s="3" t="s">
        <v>56</v>
      </c>
      <c r="I1183" s="3" t="s">
        <v>32</v>
      </c>
      <c r="J1183" s="3" t="s">
        <v>548</v>
      </c>
      <c r="K1183" s="3" t="s">
        <v>244</v>
      </c>
      <c r="L1183" s="3" t="s">
        <v>157</v>
      </c>
      <c r="M1183" s="3" t="s">
        <v>470</v>
      </c>
      <c r="N1183" s="3" t="s">
        <v>49</v>
      </c>
      <c r="O1183" s="3" t="s">
        <v>159</v>
      </c>
      <c r="P1183" s="3" t="s">
        <v>471</v>
      </c>
      <c r="Q1183" s="5" t="n">
        <v>1138.1</v>
      </c>
      <c r="R1183" s="3" t="n">
        <v>13</v>
      </c>
      <c r="S1183" s="6" t="n">
        <v>0.4</v>
      </c>
      <c r="T1183" s="5" t="n">
        <v>-254.28</v>
      </c>
      <c r="U1183" s="3" t="str">
        <f aca="false">IF(T1183&lt;0,"Loss",IF(T1183=0,"Break-even","Profit"))</f>
        <v>Loss</v>
      </c>
      <c r="V1183" s="3" t="str">
        <f aca="false">IF(Q1183&lt;100,"Low",IF(Q1183&lt;=500,"Medium","High"))</f>
        <v>High</v>
      </c>
      <c r="W1183" s="3" t="n">
        <f aca="false">D1183-C1183</f>
        <v>6</v>
      </c>
      <c r="X1183" s="3" t="str">
        <f aca="false">TEXT(C1183,"mmmm")</f>
        <v>April</v>
      </c>
      <c r="Y1183" s="3" t="str">
        <f aca="false">LEFT(G1183,1)&amp;MID(G1183,FIND(" ",G1183)+1,1)</f>
        <v>WS</v>
      </c>
    </row>
    <row r="1184" customFormat="false" ht="15" hidden="false" customHeight="false" outlineLevel="0" collapsed="false">
      <c r="A1184" s="3" t="n">
        <v>1183</v>
      </c>
      <c r="B1184" s="3" t="s">
        <v>2788</v>
      </c>
      <c r="C1184" s="4" t="s">
        <v>2768</v>
      </c>
      <c r="D1184" s="4" t="s">
        <v>2789</v>
      </c>
      <c r="E1184" s="3" t="s">
        <v>42</v>
      </c>
      <c r="F1184" s="3" t="s">
        <v>1321</v>
      </c>
      <c r="G1184" s="3" t="s">
        <v>1322</v>
      </c>
      <c r="H1184" s="3" t="s">
        <v>56</v>
      </c>
      <c r="I1184" s="3" t="s">
        <v>32</v>
      </c>
      <c r="J1184" s="3" t="s">
        <v>171</v>
      </c>
      <c r="K1184" s="3" t="s">
        <v>172</v>
      </c>
      <c r="L1184" s="3" t="s">
        <v>157</v>
      </c>
      <c r="M1184" s="3" t="s">
        <v>158</v>
      </c>
      <c r="N1184" s="3" t="s">
        <v>49</v>
      </c>
      <c r="O1184" s="3" t="s">
        <v>159</v>
      </c>
      <c r="P1184" s="3" t="s">
        <v>160</v>
      </c>
      <c r="Q1184" s="5" t="n">
        <v>130.11</v>
      </c>
      <c r="R1184" s="3" t="n">
        <v>7</v>
      </c>
      <c r="S1184" s="6" t="n">
        <v>0</v>
      </c>
      <c r="T1184" s="5" t="n">
        <v>-5.7</v>
      </c>
      <c r="U1184" s="3" t="str">
        <f aca="false">IF(T1184&lt;0,"Loss",IF(T1184=0,"Break-even","Profit"))</f>
        <v>Loss</v>
      </c>
      <c r="V1184" s="3" t="str">
        <f aca="false">IF(Q1184&lt;100,"Low",IF(Q1184&lt;=500,"Medium","High"))</f>
        <v>Medium</v>
      </c>
      <c r="W1184" s="3" t="n">
        <f aca="false">D1184-C1184</f>
        <v>1</v>
      </c>
      <c r="X1184" s="3" t="str">
        <f aca="false">TEXT(C1184,"mmmm")</f>
        <v>April</v>
      </c>
      <c r="Y1184" s="3" t="str">
        <f aca="false">LEFT(G1184,1)&amp;MID(G1184,FIND(" ",G1184)+1,1)</f>
        <v>CA</v>
      </c>
    </row>
    <row r="1185" customFormat="false" ht="15" hidden="false" customHeight="false" outlineLevel="0" collapsed="false">
      <c r="A1185" s="3" t="n">
        <v>1184</v>
      </c>
      <c r="B1185" s="3" t="s">
        <v>2790</v>
      </c>
      <c r="C1185" s="4" t="s">
        <v>2768</v>
      </c>
      <c r="D1185" s="4" t="s">
        <v>2783</v>
      </c>
      <c r="E1185" s="3" t="s">
        <v>84</v>
      </c>
      <c r="F1185" s="3" t="s">
        <v>2791</v>
      </c>
      <c r="G1185" s="3" t="s">
        <v>2792</v>
      </c>
      <c r="H1185" s="3" t="s">
        <v>31</v>
      </c>
      <c r="I1185" s="3" t="s">
        <v>32</v>
      </c>
      <c r="J1185" s="3" t="s">
        <v>87</v>
      </c>
      <c r="K1185" s="3" t="s">
        <v>68</v>
      </c>
      <c r="L1185" s="3" t="s">
        <v>69</v>
      </c>
      <c r="M1185" s="3" t="s">
        <v>121</v>
      </c>
      <c r="N1185" s="3" t="s">
        <v>49</v>
      </c>
      <c r="O1185" s="3" t="s">
        <v>50</v>
      </c>
      <c r="P1185" s="3" t="s">
        <v>122</v>
      </c>
      <c r="Q1185" s="5" t="n">
        <v>937.51</v>
      </c>
      <c r="R1185" s="3" t="n">
        <v>14</v>
      </c>
      <c r="S1185" s="6" t="n">
        <v>0</v>
      </c>
      <c r="T1185" s="5" t="n">
        <v>15.66</v>
      </c>
      <c r="U1185" s="3" t="str">
        <f aca="false">IF(T1185&lt;0,"Loss",IF(T1185=0,"Break-even","Profit"))</f>
        <v>Profit</v>
      </c>
      <c r="V1185" s="3" t="str">
        <f aca="false">IF(Q1185&lt;100,"Low",IF(Q1185&lt;=500,"Medium","High"))</f>
        <v>High</v>
      </c>
      <c r="W1185" s="3" t="n">
        <f aca="false">D1185-C1185</f>
        <v>2</v>
      </c>
      <c r="X1185" s="3" t="str">
        <f aca="false">TEXT(C1185,"mmmm")</f>
        <v>April</v>
      </c>
      <c r="Y1185" s="3" t="str">
        <f aca="false">LEFT(G1185,1)&amp;MID(G1185,FIND(" ",G1185)+1,1)</f>
        <v>LG</v>
      </c>
    </row>
    <row r="1186" customFormat="false" ht="15" hidden="false" customHeight="false" outlineLevel="0" collapsed="false">
      <c r="A1186" s="3" t="n">
        <v>1185</v>
      </c>
      <c r="B1186" s="3" t="s">
        <v>2793</v>
      </c>
      <c r="C1186" s="4" t="s">
        <v>2789</v>
      </c>
      <c r="D1186" s="4" t="s">
        <v>2787</v>
      </c>
      <c r="E1186" s="3" t="s">
        <v>28</v>
      </c>
      <c r="F1186" s="3" t="s">
        <v>206</v>
      </c>
      <c r="G1186" s="3" t="s">
        <v>207</v>
      </c>
      <c r="H1186" s="3" t="s">
        <v>31</v>
      </c>
      <c r="I1186" s="3" t="s">
        <v>32</v>
      </c>
      <c r="J1186" s="3" t="s">
        <v>873</v>
      </c>
      <c r="K1186" s="3" t="s">
        <v>387</v>
      </c>
      <c r="L1186" s="3" t="s">
        <v>35</v>
      </c>
      <c r="M1186" s="3" t="s">
        <v>316</v>
      </c>
      <c r="N1186" s="3" t="s">
        <v>49</v>
      </c>
      <c r="O1186" s="3" t="s">
        <v>143</v>
      </c>
      <c r="P1186" s="3" t="s">
        <v>317</v>
      </c>
      <c r="Q1186" s="5" t="n">
        <v>254.73</v>
      </c>
      <c r="R1186" s="3" t="n">
        <v>9</v>
      </c>
      <c r="S1186" s="6" t="n">
        <v>0.2</v>
      </c>
      <c r="T1186" s="5" t="n">
        <v>-61.15</v>
      </c>
      <c r="U1186" s="3" t="str">
        <f aca="false">IF(T1186&lt;0,"Loss",IF(T1186=0,"Break-even","Profit"))</f>
        <v>Loss</v>
      </c>
      <c r="V1186" s="3" t="str">
        <f aca="false">IF(Q1186&lt;100,"Low",IF(Q1186&lt;=500,"Medium","High"))</f>
        <v>Medium</v>
      </c>
      <c r="W1186" s="3" t="n">
        <f aca="false">D1186-C1186</f>
        <v>5</v>
      </c>
      <c r="X1186" s="3" t="str">
        <f aca="false">TEXT(C1186,"mmmm")</f>
        <v>April</v>
      </c>
      <c r="Y1186" s="3" t="str">
        <f aca="false">LEFT(G1186,1)&amp;MID(G1186,FIND(" ",G1186)+1,1)</f>
        <v>DJ</v>
      </c>
    </row>
    <row r="1187" customFormat="false" ht="15" hidden="false" customHeight="false" outlineLevel="0" collapsed="false">
      <c r="A1187" s="3" t="n">
        <v>1186</v>
      </c>
      <c r="B1187" s="3" t="s">
        <v>2794</v>
      </c>
      <c r="C1187" s="4" t="s">
        <v>2789</v>
      </c>
      <c r="D1187" s="4" t="s">
        <v>2795</v>
      </c>
      <c r="E1187" s="3" t="s">
        <v>84</v>
      </c>
      <c r="F1187" s="3" t="s">
        <v>1475</v>
      </c>
      <c r="G1187" s="3" t="s">
        <v>1476</v>
      </c>
      <c r="H1187" s="3" t="s">
        <v>56</v>
      </c>
      <c r="I1187" s="3" t="s">
        <v>32</v>
      </c>
      <c r="J1187" s="3" t="s">
        <v>663</v>
      </c>
      <c r="K1187" s="3" t="s">
        <v>307</v>
      </c>
      <c r="L1187" s="3" t="s">
        <v>69</v>
      </c>
      <c r="M1187" s="3" t="s">
        <v>142</v>
      </c>
      <c r="N1187" s="3" t="s">
        <v>49</v>
      </c>
      <c r="O1187" s="3" t="s">
        <v>143</v>
      </c>
      <c r="P1187" s="3" t="s">
        <v>144</v>
      </c>
      <c r="Q1187" s="5" t="n">
        <v>745.48</v>
      </c>
      <c r="R1187" s="3" t="n">
        <v>8</v>
      </c>
      <c r="S1187" s="6" t="n">
        <v>0.2</v>
      </c>
      <c r="T1187" s="5" t="n">
        <v>-118.94</v>
      </c>
      <c r="U1187" s="3" t="str">
        <f aca="false">IF(T1187&lt;0,"Loss",IF(T1187=0,"Break-even","Profit"))</f>
        <v>Loss</v>
      </c>
      <c r="V1187" s="3" t="str">
        <f aca="false">IF(Q1187&lt;100,"Low",IF(Q1187&lt;=500,"Medium","High"))</f>
        <v>High</v>
      </c>
      <c r="W1187" s="3" t="n">
        <f aca="false">D1187-C1187</f>
        <v>3</v>
      </c>
      <c r="X1187" s="3" t="str">
        <f aca="false">TEXT(C1187,"mmmm")</f>
        <v>April</v>
      </c>
      <c r="Y1187" s="3" t="str">
        <f aca="false">LEFT(G1187,1)&amp;MID(G1187,FIND(" ",G1187)+1,1)</f>
        <v>FK</v>
      </c>
    </row>
    <row r="1188" customFormat="false" ht="15" hidden="false" customHeight="false" outlineLevel="0" collapsed="false">
      <c r="A1188" s="3" t="n">
        <v>1187</v>
      </c>
      <c r="B1188" s="3" t="s">
        <v>2796</v>
      </c>
      <c r="C1188" s="4" t="s">
        <v>2789</v>
      </c>
      <c r="D1188" s="4" t="s">
        <v>2777</v>
      </c>
      <c r="E1188" s="3" t="s">
        <v>28</v>
      </c>
      <c r="F1188" s="3" t="s">
        <v>1375</v>
      </c>
      <c r="G1188" s="3" t="s">
        <v>1376</v>
      </c>
      <c r="H1188" s="3" t="s">
        <v>56</v>
      </c>
      <c r="I1188" s="3" t="s">
        <v>32</v>
      </c>
      <c r="J1188" s="3" t="s">
        <v>148</v>
      </c>
      <c r="K1188" s="3" t="s">
        <v>78</v>
      </c>
      <c r="L1188" s="3" t="s">
        <v>59</v>
      </c>
      <c r="M1188" s="3" t="s">
        <v>36</v>
      </c>
      <c r="N1188" s="3" t="s">
        <v>37</v>
      </c>
      <c r="O1188" s="3" t="s">
        <v>38</v>
      </c>
      <c r="P1188" s="3" t="s">
        <v>39</v>
      </c>
      <c r="Q1188" s="5" t="n">
        <v>5552.04</v>
      </c>
      <c r="R1188" s="3" t="n">
        <v>6</v>
      </c>
      <c r="S1188" s="6" t="n">
        <v>0.2</v>
      </c>
      <c r="T1188" s="5" t="n">
        <v>1353.83</v>
      </c>
      <c r="U1188" s="3" t="str">
        <f aca="false">IF(T1188&lt;0,"Loss",IF(T1188=0,"Break-even","Profit"))</f>
        <v>Profit</v>
      </c>
      <c r="V1188" s="3" t="str">
        <f aca="false">IF(Q1188&lt;100,"Low",IF(Q1188&lt;=500,"Medium","High"))</f>
        <v>High</v>
      </c>
      <c r="W1188" s="3" t="n">
        <f aca="false">D1188-C1188</f>
        <v>4</v>
      </c>
      <c r="X1188" s="3" t="str">
        <f aca="false">TEXT(C1188,"mmmm")</f>
        <v>April</v>
      </c>
      <c r="Y1188" s="3" t="str">
        <f aca="false">LEFT(G1188,1)&amp;MID(G1188,FIND(" ",G1188)+1,1)</f>
        <v>JK</v>
      </c>
    </row>
    <row r="1189" customFormat="false" ht="15" hidden="false" customHeight="false" outlineLevel="0" collapsed="false">
      <c r="A1189" s="3" t="n">
        <v>1188</v>
      </c>
      <c r="B1189" s="3" t="s">
        <v>2797</v>
      </c>
      <c r="C1189" s="4" t="s">
        <v>2789</v>
      </c>
      <c r="D1189" s="4" t="s">
        <v>2798</v>
      </c>
      <c r="E1189" s="3" t="s">
        <v>28</v>
      </c>
      <c r="F1189" s="3" t="s">
        <v>1881</v>
      </c>
      <c r="G1189" s="3" t="s">
        <v>1882</v>
      </c>
      <c r="H1189" s="3" t="s">
        <v>56</v>
      </c>
      <c r="I1189" s="3" t="s">
        <v>32</v>
      </c>
      <c r="J1189" s="3" t="s">
        <v>120</v>
      </c>
      <c r="K1189" s="3" t="s">
        <v>113</v>
      </c>
      <c r="L1189" s="3" t="s">
        <v>69</v>
      </c>
      <c r="M1189" s="3" t="s">
        <v>461</v>
      </c>
      <c r="N1189" s="3" t="s">
        <v>37</v>
      </c>
      <c r="O1189" s="3" t="s">
        <v>71</v>
      </c>
      <c r="P1189" s="3" t="s">
        <v>462</v>
      </c>
      <c r="Q1189" s="5" t="n">
        <v>16894.72</v>
      </c>
      <c r="R1189" s="3" t="n">
        <v>14</v>
      </c>
      <c r="S1189" s="6" t="n">
        <v>0</v>
      </c>
      <c r="T1189" s="5" t="n">
        <v>-394.18</v>
      </c>
      <c r="U1189" s="3" t="str">
        <f aca="false">IF(T1189&lt;0,"Loss",IF(T1189=0,"Break-even","Profit"))</f>
        <v>Loss</v>
      </c>
      <c r="V1189" s="3" t="str">
        <f aca="false">IF(Q1189&lt;100,"Low",IF(Q1189&lt;=500,"Medium","High"))</f>
        <v>High</v>
      </c>
      <c r="W1189" s="3" t="n">
        <f aca="false">D1189-C1189</f>
        <v>7</v>
      </c>
      <c r="X1189" s="3" t="str">
        <f aca="false">TEXT(C1189,"mmmm")</f>
        <v>April</v>
      </c>
      <c r="Y1189" s="3" t="str">
        <f aca="false">LEFT(G1189,1)&amp;MID(G1189,FIND(" ",G1189)+1,1)</f>
        <v>SD</v>
      </c>
    </row>
    <row r="1190" customFormat="false" ht="15" hidden="false" customHeight="false" outlineLevel="0" collapsed="false">
      <c r="A1190" s="3" t="n">
        <v>1189</v>
      </c>
      <c r="B1190" s="3" t="s">
        <v>2799</v>
      </c>
      <c r="C1190" s="4" t="s">
        <v>2789</v>
      </c>
      <c r="D1190" s="4" t="s">
        <v>2800</v>
      </c>
      <c r="E1190" s="3" t="s">
        <v>28</v>
      </c>
      <c r="F1190" s="3" t="s">
        <v>592</v>
      </c>
      <c r="G1190" s="3" t="s">
        <v>593</v>
      </c>
      <c r="H1190" s="3" t="s">
        <v>31</v>
      </c>
      <c r="I1190" s="3" t="s">
        <v>32</v>
      </c>
      <c r="J1190" s="3" t="s">
        <v>616</v>
      </c>
      <c r="K1190" s="3" t="s">
        <v>156</v>
      </c>
      <c r="L1190" s="3" t="s">
        <v>157</v>
      </c>
      <c r="M1190" s="3" t="s">
        <v>79</v>
      </c>
      <c r="N1190" s="3" t="s">
        <v>49</v>
      </c>
      <c r="O1190" s="3" t="s">
        <v>80</v>
      </c>
      <c r="P1190" s="3" t="s">
        <v>81</v>
      </c>
      <c r="Q1190" s="5" t="n">
        <v>595.33</v>
      </c>
      <c r="R1190" s="3" t="n">
        <v>13</v>
      </c>
      <c r="S1190" s="6" t="n">
        <v>0.4</v>
      </c>
      <c r="T1190" s="5" t="n">
        <v>-167.88</v>
      </c>
      <c r="U1190" s="3" t="str">
        <f aca="false">IF(T1190&lt;0,"Loss",IF(T1190=0,"Break-even","Profit"))</f>
        <v>Loss</v>
      </c>
      <c r="V1190" s="3" t="str">
        <f aca="false">IF(Q1190&lt;100,"Low",IF(Q1190&lt;=500,"Medium","High"))</f>
        <v>High</v>
      </c>
      <c r="W1190" s="3" t="n">
        <f aca="false">D1190-C1190</f>
        <v>6</v>
      </c>
      <c r="X1190" s="3" t="str">
        <f aca="false">TEXT(C1190,"mmmm")</f>
        <v>April</v>
      </c>
      <c r="Y1190" s="3" t="str">
        <f aca="false">LEFT(G1190,1)&amp;MID(G1190,FIND(" ",G1190)+1,1)</f>
        <v>PB</v>
      </c>
    </row>
    <row r="1191" customFormat="false" ht="15" hidden="false" customHeight="false" outlineLevel="0" collapsed="false">
      <c r="A1191" s="3" t="n">
        <v>1190</v>
      </c>
      <c r="B1191" s="3" t="s">
        <v>2801</v>
      </c>
      <c r="C1191" s="4" t="s">
        <v>2783</v>
      </c>
      <c r="D1191" s="4" t="s">
        <v>2800</v>
      </c>
      <c r="E1191" s="3" t="s">
        <v>28</v>
      </c>
      <c r="F1191" s="3" t="s">
        <v>1233</v>
      </c>
      <c r="G1191" s="3" t="s">
        <v>1234</v>
      </c>
      <c r="H1191" s="3" t="s">
        <v>56</v>
      </c>
      <c r="I1191" s="3" t="s">
        <v>32</v>
      </c>
      <c r="J1191" s="3" t="s">
        <v>112</v>
      </c>
      <c r="K1191" s="3" t="s">
        <v>113</v>
      </c>
      <c r="L1191" s="3" t="s">
        <v>69</v>
      </c>
      <c r="M1191" s="3" t="s">
        <v>347</v>
      </c>
      <c r="N1191" s="3" t="s">
        <v>49</v>
      </c>
      <c r="O1191" s="3" t="s">
        <v>220</v>
      </c>
      <c r="P1191" s="3" t="s">
        <v>348</v>
      </c>
      <c r="Q1191" s="5" t="n">
        <v>647.41</v>
      </c>
      <c r="R1191" s="3" t="n">
        <v>13</v>
      </c>
      <c r="S1191" s="6" t="n">
        <v>0</v>
      </c>
      <c r="T1191" s="5" t="n">
        <v>-158.75</v>
      </c>
      <c r="U1191" s="3" t="str">
        <f aca="false">IF(T1191&lt;0,"Loss",IF(T1191=0,"Break-even","Profit"))</f>
        <v>Loss</v>
      </c>
      <c r="V1191" s="3" t="str">
        <f aca="false">IF(Q1191&lt;100,"Low",IF(Q1191&lt;=500,"Medium","High"))</f>
        <v>High</v>
      </c>
      <c r="W1191" s="3" t="n">
        <f aca="false">D1191-C1191</f>
        <v>5</v>
      </c>
      <c r="X1191" s="3" t="str">
        <f aca="false">TEXT(C1191,"mmmm")</f>
        <v>April</v>
      </c>
      <c r="Y1191" s="3" t="str">
        <f aca="false">LEFT(G1191,1)&amp;MID(G1191,FIND(" ",G1191)+1,1)</f>
        <v>WJ</v>
      </c>
    </row>
    <row r="1192" customFormat="false" ht="15" hidden="false" customHeight="false" outlineLevel="0" collapsed="false">
      <c r="A1192" s="3" t="n">
        <v>1191</v>
      </c>
      <c r="B1192" s="3" t="s">
        <v>2802</v>
      </c>
      <c r="C1192" s="4" t="s">
        <v>2780</v>
      </c>
      <c r="D1192" s="4" t="s">
        <v>2798</v>
      </c>
      <c r="E1192" s="3" t="s">
        <v>28</v>
      </c>
      <c r="F1192" s="3" t="s">
        <v>1493</v>
      </c>
      <c r="G1192" s="3" t="s">
        <v>1494</v>
      </c>
      <c r="H1192" s="3" t="s">
        <v>45</v>
      </c>
      <c r="I1192" s="3" t="s">
        <v>32</v>
      </c>
      <c r="J1192" s="3" t="s">
        <v>548</v>
      </c>
      <c r="K1192" s="3" t="s">
        <v>244</v>
      </c>
      <c r="L1192" s="3" t="s">
        <v>157</v>
      </c>
      <c r="M1192" s="3" t="s">
        <v>461</v>
      </c>
      <c r="N1192" s="3" t="s">
        <v>37</v>
      </c>
      <c r="O1192" s="3" t="s">
        <v>71</v>
      </c>
      <c r="P1192" s="3" t="s">
        <v>462</v>
      </c>
      <c r="Q1192" s="5" t="n">
        <v>6560.39</v>
      </c>
      <c r="R1192" s="3" t="n">
        <v>10</v>
      </c>
      <c r="S1192" s="6" t="n">
        <v>0.5</v>
      </c>
      <c r="T1192" s="5" t="n">
        <v>-66.5</v>
      </c>
      <c r="U1192" s="3" t="str">
        <f aca="false">IF(T1192&lt;0,"Loss",IF(T1192=0,"Break-even","Profit"))</f>
        <v>Loss</v>
      </c>
      <c r="V1192" s="3" t="str">
        <f aca="false">IF(Q1192&lt;100,"Low",IF(Q1192&lt;=500,"Medium","High"))</f>
        <v>High</v>
      </c>
      <c r="W1192" s="3" t="n">
        <f aca="false">D1192-C1192</f>
        <v>5</v>
      </c>
      <c r="X1192" s="3" t="str">
        <f aca="false">TEXT(C1192,"mmmm")</f>
        <v>April</v>
      </c>
      <c r="Y1192" s="3" t="str">
        <f aca="false">LEFT(G1192,1)&amp;MID(G1192,FIND(" ",G1192)+1,1)</f>
        <v>DG</v>
      </c>
    </row>
    <row r="1193" customFormat="false" ht="15" hidden="false" customHeight="false" outlineLevel="0" collapsed="false">
      <c r="A1193" s="3" t="n">
        <v>1192</v>
      </c>
      <c r="B1193" s="3" t="s">
        <v>2803</v>
      </c>
      <c r="C1193" s="4" t="s">
        <v>2780</v>
      </c>
      <c r="D1193" s="4" t="s">
        <v>2777</v>
      </c>
      <c r="E1193" s="3" t="s">
        <v>42</v>
      </c>
      <c r="F1193" s="3" t="s">
        <v>732</v>
      </c>
      <c r="G1193" s="3" t="s">
        <v>733</v>
      </c>
      <c r="H1193" s="3" t="s">
        <v>56</v>
      </c>
      <c r="I1193" s="3" t="s">
        <v>32</v>
      </c>
      <c r="J1193" s="3" t="s">
        <v>33</v>
      </c>
      <c r="K1193" s="3" t="s">
        <v>34</v>
      </c>
      <c r="L1193" s="3" t="s">
        <v>35</v>
      </c>
      <c r="M1193" s="3" t="s">
        <v>149</v>
      </c>
      <c r="N1193" s="3" t="s">
        <v>49</v>
      </c>
      <c r="O1193" s="3" t="s">
        <v>150</v>
      </c>
      <c r="P1193" s="3" t="s">
        <v>151</v>
      </c>
      <c r="Q1193" s="5" t="n">
        <v>81.33</v>
      </c>
      <c r="R1193" s="3" t="n">
        <v>1</v>
      </c>
      <c r="S1193" s="6" t="n">
        <v>0</v>
      </c>
      <c r="T1193" s="5" t="n">
        <v>16.57</v>
      </c>
      <c r="U1193" s="3" t="str">
        <f aca="false">IF(T1193&lt;0,"Loss",IF(T1193=0,"Break-even","Profit"))</f>
        <v>Profit</v>
      </c>
      <c r="V1193" s="3" t="str">
        <f aca="false">IF(Q1193&lt;100,"Low",IF(Q1193&lt;=500,"Medium","High"))</f>
        <v>Low</v>
      </c>
      <c r="W1193" s="3" t="n">
        <f aca="false">D1193-C1193</f>
        <v>2</v>
      </c>
      <c r="X1193" s="3" t="str">
        <f aca="false">TEXT(C1193,"mmmm")</f>
        <v>April</v>
      </c>
      <c r="Y1193" s="3" t="str">
        <f aca="false">LEFT(G1193,1)&amp;MID(G1193,FIND(" ",G1193)+1,1)</f>
        <v>LM</v>
      </c>
    </row>
    <row r="1194" customFormat="false" ht="15" hidden="false" customHeight="false" outlineLevel="0" collapsed="false">
      <c r="A1194" s="3" t="n">
        <v>1193</v>
      </c>
      <c r="B1194" s="3" t="s">
        <v>2804</v>
      </c>
      <c r="C1194" s="4" t="s">
        <v>2777</v>
      </c>
      <c r="D1194" s="4" t="s">
        <v>2805</v>
      </c>
      <c r="E1194" s="3" t="s">
        <v>28</v>
      </c>
      <c r="F1194" s="3" t="s">
        <v>789</v>
      </c>
      <c r="G1194" s="3" t="s">
        <v>790</v>
      </c>
      <c r="H1194" s="3" t="s">
        <v>45</v>
      </c>
      <c r="I1194" s="3" t="s">
        <v>32</v>
      </c>
      <c r="J1194" s="3" t="s">
        <v>737</v>
      </c>
      <c r="K1194" s="3" t="s">
        <v>307</v>
      </c>
      <c r="L1194" s="3" t="s">
        <v>69</v>
      </c>
      <c r="M1194" s="3" t="s">
        <v>280</v>
      </c>
      <c r="N1194" s="3" t="s">
        <v>89</v>
      </c>
      <c r="O1194" s="3" t="s">
        <v>166</v>
      </c>
      <c r="P1194" s="3" t="s">
        <v>281</v>
      </c>
      <c r="Q1194" s="5" t="n">
        <v>1758.82</v>
      </c>
      <c r="R1194" s="3" t="n">
        <v>3</v>
      </c>
      <c r="S1194" s="6" t="n">
        <v>0.4</v>
      </c>
      <c r="T1194" s="5" t="n">
        <v>-515.06</v>
      </c>
      <c r="U1194" s="3" t="str">
        <f aca="false">IF(T1194&lt;0,"Loss",IF(T1194=0,"Break-even","Profit"))</f>
        <v>Loss</v>
      </c>
      <c r="V1194" s="3" t="str">
        <f aca="false">IF(Q1194&lt;100,"Low",IF(Q1194&lt;=500,"Medium","High"))</f>
        <v>High</v>
      </c>
      <c r="W1194" s="3" t="n">
        <f aca="false">D1194-C1194</f>
        <v>4</v>
      </c>
      <c r="X1194" s="3" t="str">
        <f aca="false">TEXT(C1194,"mmmm")</f>
        <v>April</v>
      </c>
      <c r="Y1194" s="3" t="str">
        <f aca="false">LEFT(G1194,1)&amp;MID(G1194,FIND(" ",G1194)+1,1)</f>
        <v>LB</v>
      </c>
    </row>
    <row r="1195" customFormat="false" ht="15" hidden="false" customHeight="false" outlineLevel="0" collapsed="false">
      <c r="A1195" s="3" t="n">
        <v>1194</v>
      </c>
      <c r="B1195" s="3" t="s">
        <v>2806</v>
      </c>
      <c r="C1195" s="4" t="s">
        <v>2777</v>
      </c>
      <c r="D1195" s="4" t="s">
        <v>2807</v>
      </c>
      <c r="E1195" s="3" t="s">
        <v>28</v>
      </c>
      <c r="F1195" s="3" t="s">
        <v>438</v>
      </c>
      <c r="G1195" s="3" t="s">
        <v>439</v>
      </c>
      <c r="H1195" s="3" t="s">
        <v>31</v>
      </c>
      <c r="I1195" s="3" t="s">
        <v>32</v>
      </c>
      <c r="J1195" s="3" t="s">
        <v>548</v>
      </c>
      <c r="K1195" s="3" t="s">
        <v>244</v>
      </c>
      <c r="L1195" s="3" t="s">
        <v>157</v>
      </c>
      <c r="M1195" s="3" t="s">
        <v>165</v>
      </c>
      <c r="N1195" s="3" t="s">
        <v>89</v>
      </c>
      <c r="O1195" s="3" t="s">
        <v>166</v>
      </c>
      <c r="P1195" s="3" t="s">
        <v>167</v>
      </c>
      <c r="Q1195" s="5" t="n">
        <v>3267.64</v>
      </c>
      <c r="R1195" s="3" t="n">
        <v>11</v>
      </c>
      <c r="S1195" s="6" t="n">
        <v>0.4</v>
      </c>
      <c r="T1195" s="5" t="n">
        <v>-600.28</v>
      </c>
      <c r="U1195" s="3" t="str">
        <f aca="false">IF(T1195&lt;0,"Loss",IF(T1195=0,"Break-even","Profit"))</f>
        <v>Loss</v>
      </c>
      <c r="V1195" s="3" t="str">
        <f aca="false">IF(Q1195&lt;100,"Low",IF(Q1195&lt;=500,"Medium","High"))</f>
        <v>High</v>
      </c>
      <c r="W1195" s="3" t="n">
        <f aca="false">D1195-C1195</f>
        <v>5</v>
      </c>
      <c r="X1195" s="3" t="str">
        <f aca="false">TEXT(C1195,"mmmm")</f>
        <v>April</v>
      </c>
      <c r="Y1195" s="3" t="str">
        <f aca="false">LEFT(G1195,1)&amp;MID(G1195,FIND(" ",G1195)+1,1)</f>
        <v>JB</v>
      </c>
    </row>
    <row r="1196" customFormat="false" ht="15" hidden="false" customHeight="false" outlineLevel="0" collapsed="false">
      <c r="A1196" s="3" t="n">
        <v>1195</v>
      </c>
      <c r="B1196" s="3" t="s">
        <v>2808</v>
      </c>
      <c r="C1196" s="4" t="s">
        <v>2800</v>
      </c>
      <c r="D1196" s="4" t="s">
        <v>2805</v>
      </c>
      <c r="E1196" s="3" t="s">
        <v>84</v>
      </c>
      <c r="F1196" s="3" t="s">
        <v>288</v>
      </c>
      <c r="G1196" s="3" t="s">
        <v>289</v>
      </c>
      <c r="H1196" s="3" t="s">
        <v>31</v>
      </c>
      <c r="I1196" s="3" t="s">
        <v>32</v>
      </c>
      <c r="J1196" s="3" t="s">
        <v>215</v>
      </c>
      <c r="K1196" s="3" t="s">
        <v>34</v>
      </c>
      <c r="L1196" s="3" t="s">
        <v>35</v>
      </c>
      <c r="M1196" s="3" t="s">
        <v>404</v>
      </c>
      <c r="N1196" s="3" t="s">
        <v>89</v>
      </c>
      <c r="O1196" s="3" t="s">
        <v>166</v>
      </c>
      <c r="P1196" s="3" t="s">
        <v>405</v>
      </c>
      <c r="Q1196" s="5" t="n">
        <v>1665.43</v>
      </c>
      <c r="R1196" s="3" t="n">
        <v>5</v>
      </c>
      <c r="S1196" s="6" t="n">
        <v>0.3</v>
      </c>
      <c r="T1196" s="5" t="n">
        <v>-137.44</v>
      </c>
      <c r="U1196" s="3" t="str">
        <f aca="false">IF(T1196&lt;0,"Loss",IF(T1196=0,"Break-even","Profit"))</f>
        <v>Loss</v>
      </c>
      <c r="V1196" s="3" t="str">
        <f aca="false">IF(Q1196&lt;100,"Low",IF(Q1196&lt;=500,"Medium","High"))</f>
        <v>High</v>
      </c>
      <c r="W1196" s="3" t="n">
        <f aca="false">D1196-C1196</f>
        <v>2</v>
      </c>
      <c r="X1196" s="3" t="str">
        <f aca="false">TEXT(C1196,"mmmm")</f>
        <v>April</v>
      </c>
      <c r="Y1196" s="3" t="str">
        <f aca="false">LEFT(G1196,1)&amp;MID(G1196,FIND(" ",G1196)+1,1)</f>
        <v>JJ</v>
      </c>
    </row>
    <row r="1197" customFormat="false" ht="15" hidden="false" customHeight="false" outlineLevel="0" collapsed="false">
      <c r="A1197" s="3" t="n">
        <v>1196</v>
      </c>
      <c r="B1197" s="3" t="s">
        <v>2809</v>
      </c>
      <c r="C1197" s="4" t="s">
        <v>2798</v>
      </c>
      <c r="D1197" s="4" t="s">
        <v>2810</v>
      </c>
      <c r="E1197" s="3" t="s">
        <v>28</v>
      </c>
      <c r="F1197" s="3" t="s">
        <v>65</v>
      </c>
      <c r="G1197" s="3" t="s">
        <v>66</v>
      </c>
      <c r="H1197" s="3" t="s">
        <v>56</v>
      </c>
      <c r="I1197" s="3" t="s">
        <v>32</v>
      </c>
      <c r="J1197" s="3" t="s">
        <v>365</v>
      </c>
      <c r="K1197" s="3" t="s">
        <v>366</v>
      </c>
      <c r="L1197" s="3" t="s">
        <v>157</v>
      </c>
      <c r="M1197" s="3" t="s">
        <v>79</v>
      </c>
      <c r="N1197" s="3" t="s">
        <v>49</v>
      </c>
      <c r="O1197" s="3" t="s">
        <v>80</v>
      </c>
      <c r="P1197" s="3" t="s">
        <v>81</v>
      </c>
      <c r="Q1197" s="5" t="n">
        <v>418.06</v>
      </c>
      <c r="R1197" s="3" t="n">
        <v>4</v>
      </c>
      <c r="S1197" s="6" t="n">
        <v>0.2</v>
      </c>
      <c r="T1197" s="5" t="n">
        <v>21.92</v>
      </c>
      <c r="U1197" s="3" t="str">
        <f aca="false">IF(T1197&lt;0,"Loss",IF(T1197=0,"Break-even","Profit"))</f>
        <v>Profit</v>
      </c>
      <c r="V1197" s="3" t="str">
        <f aca="false">IF(Q1197&lt;100,"Low",IF(Q1197&lt;=500,"Medium","High"))</f>
        <v>Medium</v>
      </c>
      <c r="W1197" s="3" t="n">
        <f aca="false">D1197-C1197</f>
        <v>6</v>
      </c>
      <c r="X1197" s="3" t="str">
        <f aca="false">TEXT(C1197,"mmmm")</f>
        <v>April</v>
      </c>
      <c r="Y1197" s="3" t="str">
        <f aca="false">LEFT(G1197,1)&amp;MID(G1197,FIND(" ",G1197)+1,1)</f>
        <v>MM</v>
      </c>
    </row>
    <row r="1198" customFormat="false" ht="15" hidden="false" customHeight="false" outlineLevel="0" collapsed="false">
      <c r="A1198" s="3" t="n">
        <v>1197</v>
      </c>
      <c r="B1198" s="3" t="s">
        <v>2811</v>
      </c>
      <c r="C1198" s="4" t="s">
        <v>2805</v>
      </c>
      <c r="D1198" s="4" t="s">
        <v>2810</v>
      </c>
      <c r="E1198" s="3" t="s">
        <v>28</v>
      </c>
      <c r="F1198" s="3" t="s">
        <v>2720</v>
      </c>
      <c r="G1198" s="3" t="s">
        <v>2721</v>
      </c>
      <c r="H1198" s="3" t="s">
        <v>45</v>
      </c>
      <c r="I1198" s="3" t="s">
        <v>32</v>
      </c>
      <c r="J1198" s="3" t="s">
        <v>171</v>
      </c>
      <c r="K1198" s="3" t="s">
        <v>172</v>
      </c>
      <c r="L1198" s="3" t="s">
        <v>157</v>
      </c>
      <c r="M1198" s="3" t="s">
        <v>316</v>
      </c>
      <c r="N1198" s="3" t="s">
        <v>49</v>
      </c>
      <c r="O1198" s="3" t="s">
        <v>143</v>
      </c>
      <c r="P1198" s="3" t="s">
        <v>317</v>
      </c>
      <c r="Q1198" s="5" t="n">
        <v>124.89</v>
      </c>
      <c r="R1198" s="3" t="n">
        <v>14</v>
      </c>
      <c r="S1198" s="6" t="n">
        <v>0</v>
      </c>
      <c r="T1198" s="5" t="n">
        <v>3.75</v>
      </c>
      <c r="U1198" s="3" t="str">
        <f aca="false">IF(T1198&lt;0,"Loss",IF(T1198=0,"Break-even","Profit"))</f>
        <v>Profit</v>
      </c>
      <c r="V1198" s="3" t="str">
        <f aca="false">IF(Q1198&lt;100,"Low",IF(Q1198&lt;=500,"Medium","High"))</f>
        <v>Medium</v>
      </c>
      <c r="W1198" s="3" t="n">
        <f aca="false">D1198-C1198</f>
        <v>5</v>
      </c>
      <c r="X1198" s="3" t="str">
        <f aca="false">TEXT(C1198,"mmmm")</f>
        <v>April</v>
      </c>
      <c r="Y1198" s="3" t="str">
        <f aca="false">LEFT(G1198,1)&amp;MID(G1198,FIND(" ",G1198)+1,1)</f>
        <v>RR</v>
      </c>
    </row>
    <row r="1199" customFormat="false" ht="15" hidden="false" customHeight="false" outlineLevel="0" collapsed="false">
      <c r="A1199" s="3" t="n">
        <v>1198</v>
      </c>
      <c r="B1199" s="3" t="s">
        <v>2812</v>
      </c>
      <c r="C1199" s="4" t="s">
        <v>2807</v>
      </c>
      <c r="D1199" s="4" t="s">
        <v>2810</v>
      </c>
      <c r="E1199" s="3" t="s">
        <v>84</v>
      </c>
      <c r="F1199" s="3" t="s">
        <v>362</v>
      </c>
      <c r="G1199" s="3" t="s">
        <v>363</v>
      </c>
      <c r="H1199" s="3" t="s">
        <v>56</v>
      </c>
      <c r="I1199" s="3" t="s">
        <v>32</v>
      </c>
      <c r="J1199" s="3" t="s">
        <v>306</v>
      </c>
      <c r="K1199" s="3" t="s">
        <v>307</v>
      </c>
      <c r="L1199" s="3" t="s">
        <v>69</v>
      </c>
      <c r="M1199" s="3" t="s">
        <v>121</v>
      </c>
      <c r="N1199" s="3" t="s">
        <v>49</v>
      </c>
      <c r="O1199" s="3" t="s">
        <v>50</v>
      </c>
      <c r="P1199" s="3" t="s">
        <v>122</v>
      </c>
      <c r="Q1199" s="5" t="n">
        <v>631.13</v>
      </c>
      <c r="R1199" s="3" t="n">
        <v>8</v>
      </c>
      <c r="S1199" s="6" t="n">
        <v>0.1</v>
      </c>
      <c r="T1199" s="5" t="n">
        <v>50.16</v>
      </c>
      <c r="U1199" s="3" t="str">
        <f aca="false">IF(T1199&lt;0,"Loss",IF(T1199=0,"Break-even","Profit"))</f>
        <v>Profit</v>
      </c>
      <c r="V1199" s="3" t="str">
        <f aca="false">IF(Q1199&lt;100,"Low",IF(Q1199&lt;=500,"Medium","High"))</f>
        <v>High</v>
      </c>
      <c r="W1199" s="3" t="n">
        <f aca="false">D1199-C1199</f>
        <v>4</v>
      </c>
      <c r="X1199" s="3" t="str">
        <f aca="false">TEXT(C1199,"mmmm")</f>
        <v>April</v>
      </c>
      <c r="Y1199" s="3" t="str">
        <f aca="false">LEFT(G1199,1)&amp;MID(G1199,FIND(" ",G1199)+1,1)</f>
        <v>WB</v>
      </c>
    </row>
    <row r="1200" customFormat="false" ht="15" hidden="false" customHeight="false" outlineLevel="0" collapsed="false">
      <c r="A1200" s="3" t="n">
        <v>1199</v>
      </c>
      <c r="B1200" s="3" t="s">
        <v>2813</v>
      </c>
      <c r="C1200" s="4" t="s">
        <v>2814</v>
      </c>
      <c r="D1200" s="4" t="s">
        <v>2815</v>
      </c>
      <c r="E1200" s="3" t="s">
        <v>28</v>
      </c>
      <c r="F1200" s="3" t="s">
        <v>647</v>
      </c>
      <c r="G1200" s="3" t="s">
        <v>648</v>
      </c>
      <c r="H1200" s="3" t="s">
        <v>45</v>
      </c>
      <c r="I1200" s="3" t="s">
        <v>32</v>
      </c>
      <c r="J1200" s="3" t="s">
        <v>386</v>
      </c>
      <c r="K1200" s="3" t="s">
        <v>387</v>
      </c>
      <c r="L1200" s="3" t="s">
        <v>35</v>
      </c>
      <c r="M1200" s="3" t="s">
        <v>461</v>
      </c>
      <c r="N1200" s="3" t="s">
        <v>37</v>
      </c>
      <c r="O1200" s="3" t="s">
        <v>71</v>
      </c>
      <c r="P1200" s="3" t="s">
        <v>462</v>
      </c>
      <c r="Q1200" s="5" t="n">
        <v>1329.34</v>
      </c>
      <c r="R1200" s="3" t="n">
        <v>3</v>
      </c>
      <c r="S1200" s="6" t="n">
        <v>0.4</v>
      </c>
      <c r="T1200" s="5" t="n">
        <v>-104.96</v>
      </c>
      <c r="U1200" s="3" t="str">
        <f aca="false">IF(T1200&lt;0,"Loss",IF(T1200=0,"Break-even","Profit"))</f>
        <v>Loss</v>
      </c>
      <c r="V1200" s="3" t="str">
        <f aca="false">IF(Q1200&lt;100,"Low",IF(Q1200&lt;=500,"Medium","High"))</f>
        <v>High</v>
      </c>
      <c r="W1200" s="3" t="n">
        <f aca="false">D1200-C1200</f>
        <v>5</v>
      </c>
      <c r="X1200" s="3" t="str">
        <f aca="false">TEXT(C1200,"mmmm")</f>
        <v>April</v>
      </c>
      <c r="Y1200" s="3" t="str">
        <f aca="false">LEFT(G1200,1)&amp;MID(G1200,FIND(" ",G1200)+1,1)</f>
        <v>MS</v>
      </c>
    </row>
    <row r="1201" customFormat="false" ht="15" hidden="false" customHeight="false" outlineLevel="0" collapsed="false">
      <c r="A1201" s="3" t="n">
        <v>1200</v>
      </c>
      <c r="B1201" s="3" t="s">
        <v>2816</v>
      </c>
      <c r="C1201" s="4" t="s">
        <v>2817</v>
      </c>
      <c r="D1201" s="4" t="s">
        <v>2818</v>
      </c>
      <c r="E1201" s="3" t="s">
        <v>28</v>
      </c>
      <c r="F1201" s="3" t="s">
        <v>1063</v>
      </c>
      <c r="G1201" s="3" t="s">
        <v>1064</v>
      </c>
      <c r="H1201" s="3" t="s">
        <v>56</v>
      </c>
      <c r="I1201" s="3" t="s">
        <v>32</v>
      </c>
      <c r="J1201" s="3" t="s">
        <v>46</v>
      </c>
      <c r="K1201" s="3" t="s">
        <v>47</v>
      </c>
      <c r="L1201" s="3" t="s">
        <v>35</v>
      </c>
      <c r="M1201" s="3" t="s">
        <v>290</v>
      </c>
      <c r="N1201" s="3" t="s">
        <v>37</v>
      </c>
      <c r="O1201" s="3" t="s">
        <v>38</v>
      </c>
      <c r="P1201" s="3" t="s">
        <v>291</v>
      </c>
      <c r="Q1201" s="5" t="n">
        <v>481.72</v>
      </c>
      <c r="R1201" s="3" t="n">
        <v>7</v>
      </c>
      <c r="S1201" s="6" t="n">
        <v>0</v>
      </c>
      <c r="T1201" s="5" t="n">
        <v>141.56</v>
      </c>
      <c r="U1201" s="3" t="str">
        <f aca="false">IF(T1201&lt;0,"Loss",IF(T1201=0,"Break-even","Profit"))</f>
        <v>Profit</v>
      </c>
      <c r="V1201" s="3" t="str">
        <f aca="false">IF(Q1201&lt;100,"Low",IF(Q1201&lt;=500,"Medium","High"))</f>
        <v>Medium</v>
      </c>
      <c r="W1201" s="3" t="n">
        <f aca="false">D1201-C1201</f>
        <v>6</v>
      </c>
      <c r="X1201" s="3" t="str">
        <f aca="false">TEXT(C1201,"mmmm")</f>
        <v>April</v>
      </c>
      <c r="Y1201" s="3" t="str">
        <f aca="false">LEFT(G1201,1)&amp;MID(G1201,FIND(" ",G1201)+1,1)</f>
        <v>AB</v>
      </c>
    </row>
    <row r="1202" customFormat="false" ht="15" hidden="false" customHeight="false" outlineLevel="0" collapsed="false">
      <c r="A1202" s="3" t="n">
        <v>1201</v>
      </c>
      <c r="B1202" s="3" t="s">
        <v>2819</v>
      </c>
      <c r="C1202" s="4" t="s">
        <v>2810</v>
      </c>
      <c r="D1202" s="4" t="s">
        <v>2820</v>
      </c>
      <c r="E1202" s="3" t="s">
        <v>84</v>
      </c>
      <c r="F1202" s="3" t="s">
        <v>102</v>
      </c>
      <c r="G1202" s="3" t="s">
        <v>103</v>
      </c>
      <c r="H1202" s="3" t="s">
        <v>56</v>
      </c>
      <c r="I1202" s="3" t="s">
        <v>32</v>
      </c>
      <c r="J1202" s="3" t="s">
        <v>814</v>
      </c>
      <c r="K1202" s="3" t="s">
        <v>156</v>
      </c>
      <c r="L1202" s="3" t="s">
        <v>157</v>
      </c>
      <c r="M1202" s="3" t="s">
        <v>105</v>
      </c>
      <c r="N1202" s="3" t="s">
        <v>49</v>
      </c>
      <c r="O1202" s="3" t="s">
        <v>106</v>
      </c>
      <c r="P1202" s="3" t="s">
        <v>107</v>
      </c>
      <c r="Q1202" s="5" t="n">
        <v>223.8</v>
      </c>
      <c r="R1202" s="3" t="n">
        <v>11</v>
      </c>
      <c r="S1202" s="6" t="n">
        <v>0.3</v>
      </c>
      <c r="T1202" s="5" t="n">
        <v>-55.93</v>
      </c>
      <c r="U1202" s="3" t="str">
        <f aca="false">IF(T1202&lt;0,"Loss",IF(T1202=0,"Break-even","Profit"))</f>
        <v>Loss</v>
      </c>
      <c r="V1202" s="3" t="str">
        <f aca="false">IF(Q1202&lt;100,"Low",IF(Q1202&lt;=500,"Medium","High"))</f>
        <v>Medium</v>
      </c>
      <c r="W1202" s="3" t="n">
        <f aca="false">D1202-C1202</f>
        <v>4</v>
      </c>
      <c r="X1202" s="3" t="str">
        <f aca="false">TEXT(C1202,"mmmm")</f>
        <v>April</v>
      </c>
      <c r="Y1202" s="3" t="str">
        <f aca="false">LEFT(G1202,1)&amp;MID(G1202,FIND(" ",G1202)+1,1)</f>
        <v>LA</v>
      </c>
    </row>
    <row r="1203" customFormat="false" ht="15" hidden="false" customHeight="false" outlineLevel="0" collapsed="false">
      <c r="A1203" s="3" t="n">
        <v>1202</v>
      </c>
      <c r="B1203" s="3" t="s">
        <v>2821</v>
      </c>
      <c r="C1203" s="4" t="s">
        <v>2822</v>
      </c>
      <c r="D1203" s="4" t="s">
        <v>2823</v>
      </c>
      <c r="E1203" s="3" t="s">
        <v>28</v>
      </c>
      <c r="F1203" s="3" t="s">
        <v>2102</v>
      </c>
      <c r="G1203" s="3" t="s">
        <v>2103</v>
      </c>
      <c r="H1203" s="3" t="s">
        <v>45</v>
      </c>
      <c r="I1203" s="3" t="s">
        <v>32</v>
      </c>
      <c r="J1203" s="3" t="s">
        <v>148</v>
      </c>
      <c r="K1203" s="3" t="s">
        <v>78</v>
      </c>
      <c r="L1203" s="3" t="s">
        <v>59</v>
      </c>
      <c r="M1203" s="3" t="s">
        <v>60</v>
      </c>
      <c r="N1203" s="3" t="s">
        <v>49</v>
      </c>
      <c r="O1203" s="3" t="s">
        <v>61</v>
      </c>
      <c r="P1203" s="3" t="s">
        <v>62</v>
      </c>
      <c r="Q1203" s="5" t="n">
        <v>704.39</v>
      </c>
      <c r="R1203" s="3" t="n">
        <v>6</v>
      </c>
      <c r="S1203" s="6" t="n">
        <v>0</v>
      </c>
      <c r="T1203" s="5" t="n">
        <v>95.19</v>
      </c>
      <c r="U1203" s="3" t="str">
        <f aca="false">IF(T1203&lt;0,"Loss",IF(T1203=0,"Break-even","Profit"))</f>
        <v>Profit</v>
      </c>
      <c r="V1203" s="3" t="str">
        <f aca="false">IF(Q1203&lt;100,"Low",IF(Q1203&lt;=500,"Medium","High"))</f>
        <v>High</v>
      </c>
      <c r="W1203" s="3" t="n">
        <f aca="false">D1203-C1203</f>
        <v>6</v>
      </c>
      <c r="X1203" s="3" t="str">
        <f aca="false">TEXT(C1203,"mmmm")</f>
        <v>April</v>
      </c>
      <c r="Y1203" s="3" t="str">
        <f aca="false">LEFT(G1203,1)&amp;MID(G1203,FIND(" ",G1203)+1,1)</f>
        <v>PJ</v>
      </c>
    </row>
    <row r="1204" customFormat="false" ht="15" hidden="false" customHeight="false" outlineLevel="0" collapsed="false">
      <c r="A1204" s="3" t="n">
        <v>1203</v>
      </c>
      <c r="B1204" s="3" t="s">
        <v>2824</v>
      </c>
      <c r="C1204" s="4" t="s">
        <v>2815</v>
      </c>
      <c r="D1204" s="4" t="s">
        <v>2823</v>
      </c>
      <c r="E1204" s="3" t="s">
        <v>28</v>
      </c>
      <c r="F1204" s="3" t="s">
        <v>267</v>
      </c>
      <c r="G1204" s="3" t="s">
        <v>268</v>
      </c>
      <c r="H1204" s="3" t="s">
        <v>45</v>
      </c>
      <c r="I1204" s="3" t="s">
        <v>32</v>
      </c>
      <c r="J1204" s="3" t="s">
        <v>386</v>
      </c>
      <c r="K1204" s="3" t="s">
        <v>387</v>
      </c>
      <c r="L1204" s="3" t="s">
        <v>35</v>
      </c>
      <c r="M1204" s="3" t="s">
        <v>70</v>
      </c>
      <c r="N1204" s="3" t="s">
        <v>37</v>
      </c>
      <c r="O1204" s="3" t="s">
        <v>71</v>
      </c>
      <c r="P1204" s="3" t="s">
        <v>72</v>
      </c>
      <c r="Q1204" s="5" t="n">
        <v>2934.13</v>
      </c>
      <c r="R1204" s="3" t="n">
        <v>4</v>
      </c>
      <c r="S1204" s="6" t="n">
        <v>0.4</v>
      </c>
      <c r="T1204" s="5" t="n">
        <v>-1.72</v>
      </c>
      <c r="U1204" s="3" t="str">
        <f aca="false">IF(T1204&lt;0,"Loss",IF(T1204=0,"Break-even","Profit"))</f>
        <v>Loss</v>
      </c>
      <c r="V1204" s="3" t="str">
        <f aca="false">IF(Q1204&lt;100,"Low",IF(Q1204&lt;=500,"Medium","High"))</f>
        <v>High</v>
      </c>
      <c r="W1204" s="3" t="n">
        <f aca="false">D1204-C1204</f>
        <v>5</v>
      </c>
      <c r="X1204" s="3" t="str">
        <f aca="false">TEXT(C1204,"mmmm")</f>
        <v>April</v>
      </c>
      <c r="Y1204" s="3" t="str">
        <f aca="false">LEFT(G1204,1)&amp;MID(G1204,FIND(" ",G1204)+1,1)</f>
        <v>MA</v>
      </c>
    </row>
    <row r="1205" customFormat="false" ht="15" hidden="false" customHeight="false" outlineLevel="0" collapsed="false">
      <c r="A1205" s="3" t="n">
        <v>1204</v>
      </c>
      <c r="B1205" s="3" t="s">
        <v>2825</v>
      </c>
      <c r="C1205" s="4" t="s">
        <v>2815</v>
      </c>
      <c r="D1205" s="4" t="s">
        <v>2820</v>
      </c>
      <c r="E1205" s="3" t="s">
        <v>42</v>
      </c>
      <c r="F1205" s="3" t="s">
        <v>1748</v>
      </c>
      <c r="G1205" s="3" t="s">
        <v>1749</v>
      </c>
      <c r="H1205" s="3" t="s">
        <v>56</v>
      </c>
      <c r="I1205" s="3" t="s">
        <v>32</v>
      </c>
      <c r="J1205" s="3" t="s">
        <v>476</v>
      </c>
      <c r="K1205" s="3" t="s">
        <v>366</v>
      </c>
      <c r="L1205" s="3" t="s">
        <v>157</v>
      </c>
      <c r="M1205" s="3" t="s">
        <v>683</v>
      </c>
      <c r="N1205" s="3" t="s">
        <v>37</v>
      </c>
      <c r="O1205" s="3" t="s">
        <v>136</v>
      </c>
      <c r="P1205" s="3" t="s">
        <v>684</v>
      </c>
      <c r="Q1205" s="5" t="n">
        <v>215.99</v>
      </c>
      <c r="R1205" s="3" t="n">
        <v>1</v>
      </c>
      <c r="S1205" s="6" t="n">
        <v>0.1</v>
      </c>
      <c r="T1205" s="5" t="n">
        <v>6.56</v>
      </c>
      <c r="U1205" s="3" t="str">
        <f aca="false">IF(T1205&lt;0,"Loss",IF(T1205=0,"Break-even","Profit"))</f>
        <v>Profit</v>
      </c>
      <c r="V1205" s="3" t="str">
        <f aca="false">IF(Q1205&lt;100,"Low",IF(Q1205&lt;=500,"Medium","High"))</f>
        <v>Medium</v>
      </c>
      <c r="W1205" s="3" t="n">
        <f aca="false">D1205-C1205</f>
        <v>2</v>
      </c>
      <c r="X1205" s="3" t="str">
        <f aca="false">TEXT(C1205,"mmmm")</f>
        <v>April</v>
      </c>
      <c r="Y1205" s="3" t="str">
        <f aca="false">LEFT(G1205,1)&amp;MID(G1205,FIND(" ",G1205)+1,1)</f>
        <v>MN</v>
      </c>
    </row>
    <row r="1206" customFormat="false" ht="15" hidden="false" customHeight="false" outlineLevel="0" collapsed="false">
      <c r="A1206" s="3" t="n">
        <v>1205</v>
      </c>
      <c r="B1206" s="3" t="s">
        <v>2826</v>
      </c>
      <c r="C1206" s="4" t="s">
        <v>2815</v>
      </c>
      <c r="D1206" s="4" t="s">
        <v>2827</v>
      </c>
      <c r="E1206" s="3" t="s">
        <v>28</v>
      </c>
      <c r="F1206" s="3" t="s">
        <v>2079</v>
      </c>
      <c r="G1206" s="3" t="s">
        <v>2080</v>
      </c>
      <c r="H1206" s="3" t="s">
        <v>56</v>
      </c>
      <c r="I1206" s="3" t="s">
        <v>32</v>
      </c>
      <c r="J1206" s="3" t="s">
        <v>46</v>
      </c>
      <c r="K1206" s="3" t="s">
        <v>47</v>
      </c>
      <c r="L1206" s="3" t="s">
        <v>35</v>
      </c>
      <c r="M1206" s="3" t="s">
        <v>48</v>
      </c>
      <c r="N1206" s="3" t="s">
        <v>49</v>
      </c>
      <c r="O1206" s="3" t="s">
        <v>50</v>
      </c>
      <c r="P1206" s="3" t="s">
        <v>51</v>
      </c>
      <c r="Q1206" s="5" t="n">
        <v>733.94</v>
      </c>
      <c r="R1206" s="3" t="n">
        <v>8</v>
      </c>
      <c r="S1206" s="6" t="n">
        <v>0</v>
      </c>
      <c r="T1206" s="5" t="n">
        <v>237.16</v>
      </c>
      <c r="U1206" s="3" t="str">
        <f aca="false">IF(T1206&lt;0,"Loss",IF(T1206=0,"Break-even","Profit"))</f>
        <v>Profit</v>
      </c>
      <c r="V1206" s="3" t="str">
        <f aca="false">IF(Q1206&lt;100,"Low",IF(Q1206&lt;=500,"Medium","High"))</f>
        <v>High</v>
      </c>
      <c r="W1206" s="3" t="n">
        <f aca="false">D1206-C1206</f>
        <v>4</v>
      </c>
      <c r="X1206" s="3" t="str">
        <f aca="false">TEXT(C1206,"mmmm")</f>
        <v>April</v>
      </c>
      <c r="Y1206" s="3" t="str">
        <f aca="false">LEFT(G1206,1)&amp;MID(G1206,FIND(" ",G1206)+1,1)</f>
        <v>LD</v>
      </c>
    </row>
    <row r="1207" customFormat="false" ht="15" hidden="false" customHeight="false" outlineLevel="0" collapsed="false">
      <c r="A1207" s="3" t="n">
        <v>1206</v>
      </c>
      <c r="B1207" s="3" t="s">
        <v>2828</v>
      </c>
      <c r="C1207" s="4" t="s">
        <v>2815</v>
      </c>
      <c r="D1207" s="4" t="s">
        <v>2823</v>
      </c>
      <c r="E1207" s="3" t="s">
        <v>28</v>
      </c>
      <c r="F1207" s="3" t="s">
        <v>851</v>
      </c>
      <c r="G1207" s="3" t="s">
        <v>852</v>
      </c>
      <c r="H1207" s="3" t="s">
        <v>31</v>
      </c>
      <c r="I1207" s="3" t="s">
        <v>32</v>
      </c>
      <c r="J1207" s="3" t="s">
        <v>112</v>
      </c>
      <c r="K1207" s="3" t="s">
        <v>113</v>
      </c>
      <c r="L1207" s="3" t="s">
        <v>69</v>
      </c>
      <c r="M1207" s="3" t="s">
        <v>121</v>
      </c>
      <c r="N1207" s="3" t="s">
        <v>49</v>
      </c>
      <c r="O1207" s="3" t="s">
        <v>50</v>
      </c>
      <c r="P1207" s="3" t="s">
        <v>122</v>
      </c>
      <c r="Q1207" s="5" t="n">
        <v>636.08</v>
      </c>
      <c r="R1207" s="3" t="n">
        <v>14</v>
      </c>
      <c r="S1207" s="6" t="n">
        <v>0.1</v>
      </c>
      <c r="T1207" s="5" t="n">
        <v>-108.08</v>
      </c>
      <c r="U1207" s="3" t="str">
        <f aca="false">IF(T1207&lt;0,"Loss",IF(T1207=0,"Break-even","Profit"))</f>
        <v>Loss</v>
      </c>
      <c r="V1207" s="3" t="str">
        <f aca="false">IF(Q1207&lt;100,"Low",IF(Q1207&lt;=500,"Medium","High"))</f>
        <v>High</v>
      </c>
      <c r="W1207" s="3" t="n">
        <f aca="false">D1207-C1207</f>
        <v>5</v>
      </c>
      <c r="X1207" s="3" t="str">
        <f aca="false">TEXT(C1207,"mmmm")</f>
        <v>April</v>
      </c>
      <c r="Y1207" s="3" t="str">
        <f aca="false">LEFT(G1207,1)&amp;MID(G1207,FIND(" ",G1207)+1,1)</f>
        <v>AT</v>
      </c>
    </row>
    <row r="1208" customFormat="false" ht="15" hidden="false" customHeight="false" outlineLevel="0" collapsed="false">
      <c r="A1208" s="3" t="n">
        <v>1207</v>
      </c>
      <c r="B1208" s="3" t="s">
        <v>2829</v>
      </c>
      <c r="C1208" s="4" t="s">
        <v>2830</v>
      </c>
      <c r="D1208" s="4" t="s">
        <v>2823</v>
      </c>
      <c r="E1208" s="3" t="s">
        <v>84</v>
      </c>
      <c r="F1208" s="3" t="s">
        <v>412</v>
      </c>
      <c r="G1208" s="3" t="s">
        <v>413</v>
      </c>
      <c r="H1208" s="3" t="s">
        <v>45</v>
      </c>
      <c r="I1208" s="3" t="s">
        <v>32</v>
      </c>
      <c r="J1208" s="3" t="s">
        <v>243</v>
      </c>
      <c r="K1208" s="3" t="s">
        <v>244</v>
      </c>
      <c r="L1208" s="3" t="s">
        <v>157</v>
      </c>
      <c r="M1208" s="3" t="s">
        <v>121</v>
      </c>
      <c r="N1208" s="3" t="s">
        <v>49</v>
      </c>
      <c r="O1208" s="3" t="s">
        <v>50</v>
      </c>
      <c r="P1208" s="3" t="s">
        <v>122</v>
      </c>
      <c r="Q1208" s="5" t="n">
        <v>175.58</v>
      </c>
      <c r="R1208" s="3" t="n">
        <v>6</v>
      </c>
      <c r="S1208" s="6" t="n">
        <v>0</v>
      </c>
      <c r="T1208" s="5" t="n">
        <v>6.42</v>
      </c>
      <c r="U1208" s="3" t="str">
        <f aca="false">IF(T1208&lt;0,"Loss",IF(T1208=0,"Break-even","Profit"))</f>
        <v>Profit</v>
      </c>
      <c r="V1208" s="3" t="str">
        <f aca="false">IF(Q1208&lt;100,"Low",IF(Q1208&lt;=500,"Medium","High"))</f>
        <v>Medium</v>
      </c>
      <c r="W1208" s="3" t="n">
        <f aca="false">D1208-C1208</f>
        <v>4</v>
      </c>
      <c r="X1208" s="3" t="str">
        <f aca="false">TEXT(C1208,"mmmm")</f>
        <v>April</v>
      </c>
      <c r="Y1208" s="3" t="str">
        <f aca="false">LEFT(G1208,1)&amp;MID(G1208,FIND(" ",G1208)+1,1)</f>
        <v>LS</v>
      </c>
    </row>
    <row r="1209" customFormat="false" ht="15" hidden="false" customHeight="false" outlineLevel="0" collapsed="false">
      <c r="A1209" s="3" t="n">
        <v>1208</v>
      </c>
      <c r="B1209" s="3" t="s">
        <v>2831</v>
      </c>
      <c r="C1209" s="4" t="s">
        <v>2827</v>
      </c>
      <c r="D1209" s="4" t="s">
        <v>2832</v>
      </c>
      <c r="E1209" s="3" t="s">
        <v>28</v>
      </c>
      <c r="F1209" s="3" t="s">
        <v>908</v>
      </c>
      <c r="G1209" s="3" t="s">
        <v>909</v>
      </c>
      <c r="H1209" s="3" t="s">
        <v>31</v>
      </c>
      <c r="I1209" s="3" t="s">
        <v>32</v>
      </c>
      <c r="J1209" s="3" t="s">
        <v>188</v>
      </c>
      <c r="K1209" s="3" t="s">
        <v>189</v>
      </c>
      <c r="L1209" s="3" t="s">
        <v>59</v>
      </c>
      <c r="M1209" s="3" t="s">
        <v>121</v>
      </c>
      <c r="N1209" s="3" t="s">
        <v>49</v>
      </c>
      <c r="O1209" s="3" t="s">
        <v>50</v>
      </c>
      <c r="P1209" s="3" t="s">
        <v>122</v>
      </c>
      <c r="Q1209" s="5" t="n">
        <v>265.89</v>
      </c>
      <c r="R1209" s="3" t="n">
        <v>7</v>
      </c>
      <c r="S1209" s="6" t="n">
        <v>0.1</v>
      </c>
      <c r="T1209" s="5" t="n">
        <v>83.07</v>
      </c>
      <c r="U1209" s="3" t="str">
        <f aca="false">IF(T1209&lt;0,"Loss",IF(T1209=0,"Break-even","Profit"))</f>
        <v>Profit</v>
      </c>
      <c r="V1209" s="3" t="str">
        <f aca="false">IF(Q1209&lt;100,"Low",IF(Q1209&lt;=500,"Medium","High"))</f>
        <v>Medium</v>
      </c>
      <c r="W1209" s="3" t="n">
        <f aca="false">D1209-C1209</f>
        <v>5</v>
      </c>
      <c r="X1209" s="3" t="str">
        <f aca="false">TEXT(C1209,"mmmm")</f>
        <v>April</v>
      </c>
      <c r="Y1209" s="3" t="str">
        <f aca="false">LEFT(G1209,1)&amp;MID(G1209,FIND(" ",G1209)+1,1)</f>
        <v>JM</v>
      </c>
    </row>
    <row r="1210" customFormat="false" ht="15" hidden="false" customHeight="false" outlineLevel="0" collapsed="false">
      <c r="A1210" s="3" t="n">
        <v>1209</v>
      </c>
      <c r="B1210" s="3" t="s">
        <v>2833</v>
      </c>
      <c r="C1210" s="4" t="s">
        <v>2823</v>
      </c>
      <c r="D1210" s="4" t="s">
        <v>2832</v>
      </c>
      <c r="E1210" s="3" t="s">
        <v>84</v>
      </c>
      <c r="F1210" s="3" t="s">
        <v>1509</v>
      </c>
      <c r="G1210" s="3" t="s">
        <v>1510</v>
      </c>
      <c r="H1210" s="3" t="s">
        <v>56</v>
      </c>
      <c r="I1210" s="3" t="s">
        <v>32</v>
      </c>
      <c r="J1210" s="3" t="s">
        <v>133</v>
      </c>
      <c r="K1210" s="3" t="s">
        <v>134</v>
      </c>
      <c r="L1210" s="3" t="s">
        <v>69</v>
      </c>
      <c r="M1210" s="3" t="s">
        <v>280</v>
      </c>
      <c r="N1210" s="3" t="s">
        <v>89</v>
      </c>
      <c r="O1210" s="3" t="s">
        <v>166</v>
      </c>
      <c r="P1210" s="3" t="s">
        <v>281</v>
      </c>
      <c r="Q1210" s="5" t="n">
        <v>253.9</v>
      </c>
      <c r="R1210" s="3" t="n">
        <v>3</v>
      </c>
      <c r="S1210" s="6" t="n">
        <v>0.2</v>
      </c>
      <c r="T1210" s="5" t="n">
        <v>42.6</v>
      </c>
      <c r="U1210" s="3" t="str">
        <f aca="false">IF(T1210&lt;0,"Loss",IF(T1210=0,"Break-even","Profit"))</f>
        <v>Profit</v>
      </c>
      <c r="V1210" s="3" t="str">
        <f aca="false">IF(Q1210&lt;100,"Low",IF(Q1210&lt;=500,"Medium","High"))</f>
        <v>Medium</v>
      </c>
      <c r="W1210" s="3" t="n">
        <f aca="false">D1210-C1210</f>
        <v>4</v>
      </c>
      <c r="X1210" s="3" t="str">
        <f aca="false">TEXT(C1210,"mmmm")</f>
        <v>April</v>
      </c>
      <c r="Y1210" s="3" t="str">
        <f aca="false">LEFT(G1210,1)&amp;MID(G1210,FIND(" ",G1210)+1,1)</f>
        <v>EC</v>
      </c>
    </row>
    <row r="1211" customFormat="false" ht="15" hidden="false" customHeight="false" outlineLevel="0" collapsed="false">
      <c r="A1211" s="3" t="n">
        <v>1210</v>
      </c>
      <c r="B1211" s="3" t="s">
        <v>2834</v>
      </c>
      <c r="C1211" s="4" t="s">
        <v>2823</v>
      </c>
      <c r="D1211" s="4" t="s">
        <v>2835</v>
      </c>
      <c r="E1211" s="3" t="s">
        <v>28</v>
      </c>
      <c r="F1211" s="3" t="s">
        <v>75</v>
      </c>
      <c r="G1211" s="3" t="s">
        <v>76</v>
      </c>
      <c r="H1211" s="3" t="s">
        <v>56</v>
      </c>
      <c r="I1211" s="3" t="s">
        <v>32</v>
      </c>
      <c r="J1211" s="3" t="s">
        <v>179</v>
      </c>
      <c r="K1211" s="3" t="s">
        <v>47</v>
      </c>
      <c r="L1211" s="3" t="s">
        <v>35</v>
      </c>
      <c r="M1211" s="3" t="s">
        <v>447</v>
      </c>
      <c r="N1211" s="3" t="s">
        <v>89</v>
      </c>
      <c r="O1211" s="3" t="s">
        <v>323</v>
      </c>
      <c r="P1211" s="3" t="s">
        <v>448</v>
      </c>
      <c r="Q1211" s="5" t="n">
        <v>8910.56</v>
      </c>
      <c r="R1211" s="3" t="n">
        <v>10</v>
      </c>
      <c r="S1211" s="6" t="n">
        <v>0</v>
      </c>
      <c r="T1211" s="5" t="n">
        <v>980.2</v>
      </c>
      <c r="U1211" s="3" t="str">
        <f aca="false">IF(T1211&lt;0,"Loss",IF(T1211=0,"Break-even","Profit"))</f>
        <v>Profit</v>
      </c>
      <c r="V1211" s="3" t="str">
        <f aca="false">IF(Q1211&lt;100,"Low",IF(Q1211&lt;=500,"Medium","High"))</f>
        <v>High</v>
      </c>
      <c r="W1211" s="3" t="n">
        <f aca="false">D1211-C1211</f>
        <v>3</v>
      </c>
      <c r="X1211" s="3" t="str">
        <f aca="false">TEXT(C1211,"mmmm")</f>
        <v>April</v>
      </c>
      <c r="Y1211" s="3" t="str">
        <f aca="false">LEFT(G1211,1)&amp;MID(G1211,FIND(" ",G1211)+1,1)</f>
        <v>LM</v>
      </c>
    </row>
    <row r="1212" customFormat="false" ht="15" hidden="false" customHeight="false" outlineLevel="0" collapsed="false">
      <c r="A1212" s="3" t="n">
        <v>1211</v>
      </c>
      <c r="B1212" s="3" t="s">
        <v>2836</v>
      </c>
      <c r="C1212" s="4" t="s">
        <v>2823</v>
      </c>
      <c r="D1212" s="4" t="s">
        <v>2832</v>
      </c>
      <c r="E1212" s="3" t="s">
        <v>84</v>
      </c>
      <c r="F1212" s="3" t="s">
        <v>246</v>
      </c>
      <c r="G1212" s="3" t="s">
        <v>247</v>
      </c>
      <c r="H1212" s="3" t="s">
        <v>56</v>
      </c>
      <c r="I1212" s="3" t="s">
        <v>32</v>
      </c>
      <c r="J1212" s="3" t="s">
        <v>386</v>
      </c>
      <c r="K1212" s="3" t="s">
        <v>387</v>
      </c>
      <c r="L1212" s="3" t="s">
        <v>35</v>
      </c>
      <c r="M1212" s="3" t="s">
        <v>127</v>
      </c>
      <c r="N1212" s="3" t="s">
        <v>49</v>
      </c>
      <c r="O1212" s="3" t="s">
        <v>61</v>
      </c>
      <c r="P1212" s="3" t="s">
        <v>128</v>
      </c>
      <c r="Q1212" s="5" t="n">
        <v>92.61</v>
      </c>
      <c r="R1212" s="3" t="n">
        <v>10</v>
      </c>
      <c r="S1212" s="6" t="n">
        <v>0</v>
      </c>
      <c r="T1212" s="5" t="n">
        <v>15.01</v>
      </c>
      <c r="U1212" s="3" t="str">
        <f aca="false">IF(T1212&lt;0,"Loss",IF(T1212=0,"Break-even","Profit"))</f>
        <v>Profit</v>
      </c>
      <c r="V1212" s="3" t="str">
        <f aca="false">IF(Q1212&lt;100,"Low",IF(Q1212&lt;=500,"Medium","High"))</f>
        <v>Low</v>
      </c>
      <c r="W1212" s="3" t="n">
        <f aca="false">D1212-C1212</f>
        <v>4</v>
      </c>
      <c r="X1212" s="3" t="str">
        <f aca="false">TEXT(C1212,"mmmm")</f>
        <v>April</v>
      </c>
      <c r="Y1212" s="3" t="str">
        <f aca="false">LEFT(G1212,1)&amp;MID(G1212,FIND(" ",G1212)+1,1)</f>
        <v>JN</v>
      </c>
    </row>
    <row r="1213" customFormat="false" ht="15" hidden="false" customHeight="false" outlineLevel="0" collapsed="false">
      <c r="A1213" s="3" t="n">
        <v>1212</v>
      </c>
      <c r="B1213" s="3" t="s">
        <v>2837</v>
      </c>
      <c r="C1213" s="4" t="s">
        <v>2823</v>
      </c>
      <c r="D1213" s="4" t="s">
        <v>2832</v>
      </c>
      <c r="E1213" s="3" t="s">
        <v>84</v>
      </c>
      <c r="F1213" s="3" t="s">
        <v>2462</v>
      </c>
      <c r="G1213" s="3" t="s">
        <v>2463</v>
      </c>
      <c r="H1213" s="3" t="s">
        <v>45</v>
      </c>
      <c r="I1213" s="3" t="s">
        <v>32</v>
      </c>
      <c r="J1213" s="3" t="s">
        <v>87</v>
      </c>
      <c r="K1213" s="3" t="s">
        <v>68</v>
      </c>
      <c r="L1213" s="3" t="s">
        <v>69</v>
      </c>
      <c r="M1213" s="3" t="s">
        <v>142</v>
      </c>
      <c r="N1213" s="3" t="s">
        <v>49</v>
      </c>
      <c r="O1213" s="3" t="s">
        <v>143</v>
      </c>
      <c r="P1213" s="3" t="s">
        <v>144</v>
      </c>
      <c r="Q1213" s="5" t="n">
        <v>49.85</v>
      </c>
      <c r="R1213" s="3" t="n">
        <v>12</v>
      </c>
      <c r="S1213" s="6" t="n">
        <v>0.3</v>
      </c>
      <c r="T1213" s="5" t="n">
        <v>-2.31</v>
      </c>
      <c r="U1213" s="3" t="str">
        <f aca="false">IF(T1213&lt;0,"Loss",IF(T1213=0,"Break-even","Profit"))</f>
        <v>Loss</v>
      </c>
      <c r="V1213" s="3" t="str">
        <f aca="false">IF(Q1213&lt;100,"Low",IF(Q1213&lt;=500,"Medium","High"))</f>
        <v>Low</v>
      </c>
      <c r="W1213" s="3" t="n">
        <f aca="false">D1213-C1213</f>
        <v>4</v>
      </c>
      <c r="X1213" s="3" t="str">
        <f aca="false">TEXT(C1213,"mmmm")</f>
        <v>April</v>
      </c>
      <c r="Y1213" s="3" t="str">
        <f aca="false">LEFT(G1213,1)&amp;MID(G1213,FIND(" ",G1213)+1,1)</f>
        <v>LS</v>
      </c>
    </row>
    <row r="1214" customFormat="false" ht="15" hidden="false" customHeight="false" outlineLevel="0" collapsed="false">
      <c r="A1214" s="3" t="n">
        <v>1213</v>
      </c>
      <c r="B1214" s="3" t="s">
        <v>2685</v>
      </c>
      <c r="C1214" s="4" t="s">
        <v>2838</v>
      </c>
      <c r="D1214" s="4" t="s">
        <v>2839</v>
      </c>
      <c r="E1214" s="3" t="s">
        <v>28</v>
      </c>
      <c r="F1214" s="3" t="s">
        <v>29</v>
      </c>
      <c r="G1214" s="3" t="s">
        <v>30</v>
      </c>
      <c r="H1214" s="3" t="s">
        <v>56</v>
      </c>
      <c r="I1214" s="3" t="s">
        <v>32</v>
      </c>
      <c r="J1214" s="3" t="s">
        <v>215</v>
      </c>
      <c r="K1214" s="3" t="s">
        <v>34</v>
      </c>
      <c r="L1214" s="3" t="s">
        <v>35</v>
      </c>
      <c r="M1214" s="3" t="s">
        <v>190</v>
      </c>
      <c r="N1214" s="3" t="s">
        <v>49</v>
      </c>
      <c r="O1214" s="3" t="s">
        <v>150</v>
      </c>
      <c r="P1214" s="3" t="s">
        <v>191</v>
      </c>
      <c r="Q1214" s="5" t="n">
        <v>521.26</v>
      </c>
      <c r="R1214" s="3" t="n">
        <v>12</v>
      </c>
      <c r="S1214" s="6" t="n">
        <v>0</v>
      </c>
      <c r="T1214" s="5" t="n">
        <v>-58.58</v>
      </c>
      <c r="U1214" s="3" t="str">
        <f aca="false">IF(T1214&lt;0,"Loss",IF(T1214=0,"Break-even","Profit"))</f>
        <v>Loss</v>
      </c>
      <c r="V1214" s="3" t="str">
        <f aca="false">IF(Q1214&lt;100,"Low",IF(Q1214&lt;=500,"Medium","High"))</f>
        <v>High</v>
      </c>
      <c r="W1214" s="3" t="n">
        <f aca="false">D1214-C1214</f>
        <v>5</v>
      </c>
      <c r="X1214" s="3" t="str">
        <f aca="false">TEXT(C1214,"mmmm")</f>
        <v>April</v>
      </c>
      <c r="Y1214" s="3" t="str">
        <f aca="false">LEFT(G1214,1)&amp;MID(G1214,FIND(" ",G1214)+1,1)</f>
        <v>MK</v>
      </c>
    </row>
    <row r="1215" customFormat="false" ht="15" hidden="false" customHeight="false" outlineLevel="0" collapsed="false">
      <c r="A1215" s="3" t="n">
        <v>1214</v>
      </c>
      <c r="B1215" s="3" t="s">
        <v>2840</v>
      </c>
      <c r="C1215" s="4" t="s">
        <v>2838</v>
      </c>
      <c r="D1215" s="4" t="s">
        <v>2832</v>
      </c>
      <c r="E1215" s="3" t="s">
        <v>84</v>
      </c>
      <c r="F1215" s="3" t="s">
        <v>320</v>
      </c>
      <c r="G1215" s="3" t="s">
        <v>321</v>
      </c>
      <c r="H1215" s="3" t="s">
        <v>45</v>
      </c>
      <c r="I1215" s="3" t="s">
        <v>32</v>
      </c>
      <c r="J1215" s="3" t="s">
        <v>33</v>
      </c>
      <c r="K1215" s="3" t="s">
        <v>34</v>
      </c>
      <c r="L1215" s="3" t="s">
        <v>35</v>
      </c>
      <c r="M1215" s="3" t="s">
        <v>559</v>
      </c>
      <c r="N1215" s="3" t="s">
        <v>37</v>
      </c>
      <c r="O1215" s="3" t="s">
        <v>38</v>
      </c>
      <c r="P1215" s="3" t="s">
        <v>560</v>
      </c>
      <c r="Q1215" s="5" t="n">
        <v>20624.14</v>
      </c>
      <c r="R1215" s="3" t="n">
        <v>13</v>
      </c>
      <c r="S1215" s="6" t="n">
        <v>0.2</v>
      </c>
      <c r="T1215" s="5" t="n">
        <v>-2729</v>
      </c>
      <c r="U1215" s="3" t="str">
        <f aca="false">IF(T1215&lt;0,"Loss",IF(T1215=0,"Break-even","Profit"))</f>
        <v>Loss</v>
      </c>
      <c r="V1215" s="3" t="str">
        <f aca="false">IF(Q1215&lt;100,"Low",IF(Q1215&lt;=500,"Medium","High"))</f>
        <v>High</v>
      </c>
      <c r="W1215" s="3" t="n">
        <f aca="false">D1215-C1215</f>
        <v>3</v>
      </c>
      <c r="X1215" s="3" t="str">
        <f aca="false">TEXT(C1215,"mmmm")</f>
        <v>April</v>
      </c>
      <c r="Y1215" s="3" t="str">
        <f aca="false">LEFT(G1215,1)&amp;MID(G1215,FIND(" ",G1215)+1,1)</f>
        <v>OW</v>
      </c>
    </row>
    <row r="1216" customFormat="false" ht="15" hidden="false" customHeight="false" outlineLevel="0" collapsed="false">
      <c r="A1216" s="3" t="n">
        <v>1215</v>
      </c>
      <c r="B1216" s="3" t="s">
        <v>2841</v>
      </c>
      <c r="C1216" s="4" t="s">
        <v>2842</v>
      </c>
      <c r="D1216" s="4" t="s">
        <v>2843</v>
      </c>
      <c r="E1216" s="3" t="s">
        <v>28</v>
      </c>
      <c r="F1216" s="3" t="s">
        <v>934</v>
      </c>
      <c r="G1216" s="3" t="s">
        <v>935</v>
      </c>
      <c r="H1216" s="3" t="s">
        <v>56</v>
      </c>
      <c r="I1216" s="3" t="s">
        <v>32</v>
      </c>
      <c r="J1216" s="3" t="s">
        <v>616</v>
      </c>
      <c r="K1216" s="3" t="s">
        <v>156</v>
      </c>
      <c r="L1216" s="3" t="s">
        <v>157</v>
      </c>
      <c r="M1216" s="3" t="s">
        <v>322</v>
      </c>
      <c r="N1216" s="3" t="s">
        <v>89</v>
      </c>
      <c r="O1216" s="3" t="s">
        <v>323</v>
      </c>
      <c r="P1216" s="3" t="s">
        <v>324</v>
      </c>
      <c r="Q1216" s="5" t="n">
        <v>1058.93</v>
      </c>
      <c r="R1216" s="3" t="n">
        <v>8</v>
      </c>
      <c r="S1216" s="6" t="n">
        <v>0</v>
      </c>
      <c r="T1216" s="5" t="n">
        <v>-46.98</v>
      </c>
      <c r="U1216" s="3" t="str">
        <f aca="false">IF(T1216&lt;0,"Loss",IF(T1216=0,"Break-even","Profit"))</f>
        <v>Loss</v>
      </c>
      <c r="V1216" s="3" t="str">
        <f aca="false">IF(Q1216&lt;100,"Low",IF(Q1216&lt;=500,"Medium","High"))</f>
        <v>High</v>
      </c>
      <c r="W1216" s="3" t="n">
        <f aca="false">D1216-C1216</f>
        <v>6</v>
      </c>
      <c r="X1216" s="3" t="str">
        <f aca="false">TEXT(C1216,"mmmm")</f>
        <v>April</v>
      </c>
      <c r="Y1216" s="3" t="str">
        <f aca="false">LEFT(G1216,1)&amp;MID(G1216,FIND(" ",G1216)+1,1)</f>
        <v>PN</v>
      </c>
    </row>
    <row r="1217" customFormat="false" ht="15" hidden="false" customHeight="false" outlineLevel="0" collapsed="false">
      <c r="A1217" s="3" t="n">
        <v>1216</v>
      </c>
      <c r="B1217" s="3" t="s">
        <v>2763</v>
      </c>
      <c r="C1217" s="4" t="s">
        <v>2835</v>
      </c>
      <c r="D1217" s="4" t="s">
        <v>2832</v>
      </c>
      <c r="E1217" s="3" t="s">
        <v>42</v>
      </c>
      <c r="F1217" s="3" t="s">
        <v>572</v>
      </c>
      <c r="G1217" s="3" t="s">
        <v>573</v>
      </c>
      <c r="H1217" s="3" t="s">
        <v>45</v>
      </c>
      <c r="I1217" s="3" t="s">
        <v>32</v>
      </c>
      <c r="J1217" s="3" t="s">
        <v>201</v>
      </c>
      <c r="K1217" s="3" t="s">
        <v>202</v>
      </c>
      <c r="L1217" s="3" t="s">
        <v>35</v>
      </c>
      <c r="M1217" s="3" t="s">
        <v>114</v>
      </c>
      <c r="N1217" s="3" t="s">
        <v>49</v>
      </c>
      <c r="O1217" s="3" t="s">
        <v>61</v>
      </c>
      <c r="P1217" s="3" t="s">
        <v>115</v>
      </c>
      <c r="Q1217" s="5" t="n">
        <v>79.36</v>
      </c>
      <c r="R1217" s="3" t="n">
        <v>14</v>
      </c>
      <c r="S1217" s="6" t="n">
        <v>0.1</v>
      </c>
      <c r="T1217" s="5" t="n">
        <v>-19.78</v>
      </c>
      <c r="U1217" s="3" t="str">
        <f aca="false">IF(T1217&lt;0,"Loss",IF(T1217=0,"Break-even","Profit"))</f>
        <v>Loss</v>
      </c>
      <c r="V1217" s="3" t="str">
        <f aca="false">IF(Q1217&lt;100,"Low",IF(Q1217&lt;=500,"Medium","High"))</f>
        <v>Low</v>
      </c>
      <c r="W1217" s="3" t="n">
        <f aca="false">D1217-C1217</f>
        <v>1</v>
      </c>
      <c r="X1217" s="3" t="str">
        <f aca="false">TEXT(C1217,"mmmm")</f>
        <v>April</v>
      </c>
      <c r="Y1217" s="3" t="str">
        <f aca="false">LEFT(G1217,1)&amp;MID(G1217,FIND(" ",G1217)+1,1)</f>
        <v>PM</v>
      </c>
    </row>
    <row r="1218" customFormat="false" ht="15" hidden="false" customHeight="false" outlineLevel="0" collapsed="false">
      <c r="A1218" s="3" t="n">
        <v>1217</v>
      </c>
      <c r="B1218" s="3" t="s">
        <v>2844</v>
      </c>
      <c r="C1218" s="4" t="s">
        <v>2832</v>
      </c>
      <c r="D1218" s="4" t="s">
        <v>2839</v>
      </c>
      <c r="E1218" s="3" t="s">
        <v>42</v>
      </c>
      <c r="F1218" s="3" t="s">
        <v>641</v>
      </c>
      <c r="G1218" s="3" t="s">
        <v>642</v>
      </c>
      <c r="H1218" s="3" t="s">
        <v>56</v>
      </c>
      <c r="I1218" s="3" t="s">
        <v>32</v>
      </c>
      <c r="J1218" s="3" t="s">
        <v>381</v>
      </c>
      <c r="K1218" s="3" t="s">
        <v>58</v>
      </c>
      <c r="L1218" s="3" t="s">
        <v>59</v>
      </c>
      <c r="M1218" s="3" t="s">
        <v>88</v>
      </c>
      <c r="N1218" s="3" t="s">
        <v>89</v>
      </c>
      <c r="O1218" s="3" t="s">
        <v>90</v>
      </c>
      <c r="P1218" s="3" t="s">
        <v>91</v>
      </c>
      <c r="Q1218" s="5" t="n">
        <v>4492.28</v>
      </c>
      <c r="R1218" s="3" t="n">
        <v>8</v>
      </c>
      <c r="S1218" s="6" t="n">
        <v>0</v>
      </c>
      <c r="T1218" s="5" t="n">
        <v>534.3</v>
      </c>
      <c r="U1218" s="3" t="str">
        <f aca="false">IF(T1218&lt;0,"Loss",IF(T1218=0,"Break-even","Profit"))</f>
        <v>Profit</v>
      </c>
      <c r="V1218" s="3" t="str">
        <f aca="false">IF(Q1218&lt;100,"Low",IF(Q1218&lt;=500,"Medium","High"))</f>
        <v>High</v>
      </c>
      <c r="W1218" s="3" t="n">
        <f aca="false">D1218-C1218</f>
        <v>2</v>
      </c>
      <c r="X1218" s="3" t="str">
        <f aca="false">TEXT(C1218,"mmmm")</f>
        <v>April</v>
      </c>
      <c r="Y1218" s="3" t="str">
        <f aca="false">LEFT(G1218,1)&amp;MID(G1218,FIND(" ",G1218)+1,1)</f>
        <v>PC</v>
      </c>
    </row>
    <row r="1219" customFormat="false" ht="15" hidden="false" customHeight="false" outlineLevel="0" collapsed="false">
      <c r="A1219" s="3" t="n">
        <v>1218</v>
      </c>
      <c r="B1219" s="3" t="s">
        <v>2845</v>
      </c>
      <c r="C1219" s="4" t="s">
        <v>2832</v>
      </c>
      <c r="D1219" s="4" t="s">
        <v>2843</v>
      </c>
      <c r="E1219" s="3" t="s">
        <v>84</v>
      </c>
      <c r="F1219" s="3" t="s">
        <v>246</v>
      </c>
      <c r="G1219" s="3" t="s">
        <v>247</v>
      </c>
      <c r="H1219" s="3" t="s">
        <v>56</v>
      </c>
      <c r="I1219" s="3" t="s">
        <v>32</v>
      </c>
      <c r="J1219" s="3" t="s">
        <v>299</v>
      </c>
      <c r="K1219" s="3" t="s">
        <v>189</v>
      </c>
      <c r="L1219" s="3" t="s">
        <v>59</v>
      </c>
      <c r="M1219" s="3" t="s">
        <v>404</v>
      </c>
      <c r="N1219" s="3" t="s">
        <v>89</v>
      </c>
      <c r="O1219" s="3" t="s">
        <v>166</v>
      </c>
      <c r="P1219" s="3" t="s">
        <v>405</v>
      </c>
      <c r="Q1219" s="5" t="n">
        <v>4179.29</v>
      </c>
      <c r="R1219" s="3" t="n">
        <v>13</v>
      </c>
      <c r="S1219" s="6" t="n">
        <v>0</v>
      </c>
      <c r="T1219" s="5" t="n">
        <v>-951.15</v>
      </c>
      <c r="U1219" s="3" t="str">
        <f aca="false">IF(T1219&lt;0,"Loss",IF(T1219=0,"Break-even","Profit"))</f>
        <v>Loss</v>
      </c>
      <c r="V1219" s="3" t="str">
        <f aca="false">IF(Q1219&lt;100,"Low",IF(Q1219&lt;=500,"Medium","High"))</f>
        <v>High</v>
      </c>
      <c r="W1219" s="3" t="n">
        <f aca="false">D1219-C1219</f>
        <v>4</v>
      </c>
      <c r="X1219" s="3" t="str">
        <f aca="false">TEXT(C1219,"mmmm")</f>
        <v>April</v>
      </c>
      <c r="Y1219" s="3" t="str">
        <f aca="false">LEFT(G1219,1)&amp;MID(G1219,FIND(" ",G1219)+1,1)</f>
        <v>JN</v>
      </c>
    </row>
    <row r="1220" customFormat="false" ht="15" hidden="false" customHeight="false" outlineLevel="0" collapsed="false">
      <c r="A1220" s="3" t="n">
        <v>1219</v>
      </c>
      <c r="B1220" s="3" t="s">
        <v>2846</v>
      </c>
      <c r="C1220" s="4" t="s">
        <v>2847</v>
      </c>
      <c r="D1220" s="4" t="s">
        <v>2848</v>
      </c>
      <c r="E1220" s="3" t="s">
        <v>42</v>
      </c>
      <c r="F1220" s="3" t="s">
        <v>912</v>
      </c>
      <c r="G1220" s="3" t="s">
        <v>913</v>
      </c>
      <c r="H1220" s="3" t="s">
        <v>31</v>
      </c>
      <c r="I1220" s="3" t="s">
        <v>32</v>
      </c>
      <c r="J1220" s="3" t="s">
        <v>381</v>
      </c>
      <c r="K1220" s="3" t="s">
        <v>58</v>
      </c>
      <c r="L1220" s="3" t="s">
        <v>59</v>
      </c>
      <c r="M1220" s="3" t="s">
        <v>79</v>
      </c>
      <c r="N1220" s="3" t="s">
        <v>49</v>
      </c>
      <c r="O1220" s="3" t="s">
        <v>80</v>
      </c>
      <c r="P1220" s="3" t="s">
        <v>81</v>
      </c>
      <c r="Q1220" s="5" t="n">
        <v>641.39</v>
      </c>
      <c r="R1220" s="3" t="n">
        <v>10</v>
      </c>
      <c r="S1220" s="6" t="n">
        <v>0.4</v>
      </c>
      <c r="T1220" s="5" t="n">
        <v>-192.4</v>
      </c>
      <c r="U1220" s="3" t="str">
        <f aca="false">IF(T1220&lt;0,"Loss",IF(T1220=0,"Break-even","Profit"))</f>
        <v>Loss</v>
      </c>
      <c r="V1220" s="3" t="str">
        <f aca="false">IF(Q1220&lt;100,"Low",IF(Q1220&lt;=500,"Medium","High"))</f>
        <v>High</v>
      </c>
      <c r="W1220" s="3" t="n">
        <f aca="false">D1220-C1220</f>
        <v>2</v>
      </c>
      <c r="X1220" s="3" t="str">
        <f aca="false">TEXT(C1220,"mmmm")</f>
        <v>April</v>
      </c>
      <c r="Y1220" s="3" t="str">
        <f aca="false">LEFT(G1220,1)&amp;MID(G1220,FIND(" ",G1220)+1,1)</f>
        <v>AB</v>
      </c>
    </row>
    <row r="1221" customFormat="false" ht="15" hidden="false" customHeight="false" outlineLevel="0" collapsed="false">
      <c r="A1221" s="3" t="n">
        <v>1220</v>
      </c>
      <c r="B1221" s="3" t="s">
        <v>2849</v>
      </c>
      <c r="C1221" s="4" t="s">
        <v>2839</v>
      </c>
      <c r="D1221" s="4" t="s">
        <v>2850</v>
      </c>
      <c r="E1221" s="3" t="s">
        <v>28</v>
      </c>
      <c r="F1221" s="3" t="s">
        <v>1502</v>
      </c>
      <c r="G1221" s="3" t="s">
        <v>1503</v>
      </c>
      <c r="H1221" s="3" t="s">
        <v>31</v>
      </c>
      <c r="I1221" s="3" t="s">
        <v>32</v>
      </c>
      <c r="J1221" s="3" t="s">
        <v>252</v>
      </c>
      <c r="K1221" s="3" t="s">
        <v>172</v>
      </c>
      <c r="L1221" s="3" t="s">
        <v>157</v>
      </c>
      <c r="M1221" s="3" t="s">
        <v>447</v>
      </c>
      <c r="N1221" s="3" t="s">
        <v>89</v>
      </c>
      <c r="O1221" s="3" t="s">
        <v>323</v>
      </c>
      <c r="P1221" s="3" t="s">
        <v>448</v>
      </c>
      <c r="Q1221" s="5" t="n">
        <v>4474.89</v>
      </c>
      <c r="R1221" s="3" t="n">
        <v>14</v>
      </c>
      <c r="S1221" s="6" t="n">
        <v>0.1</v>
      </c>
      <c r="T1221" s="5" t="n">
        <v>1229.33</v>
      </c>
      <c r="U1221" s="3" t="str">
        <f aca="false">IF(T1221&lt;0,"Loss",IF(T1221=0,"Break-even","Profit"))</f>
        <v>Profit</v>
      </c>
      <c r="V1221" s="3" t="str">
        <f aca="false">IF(Q1221&lt;100,"Low",IF(Q1221&lt;=500,"Medium","High"))</f>
        <v>High</v>
      </c>
      <c r="W1221" s="3" t="n">
        <f aca="false">D1221-C1221</f>
        <v>3</v>
      </c>
      <c r="X1221" s="3" t="str">
        <f aca="false">TEXT(C1221,"mmmm")</f>
        <v>April</v>
      </c>
      <c r="Y1221" s="3" t="str">
        <f aca="false">LEFT(G1221,1)&amp;MID(G1221,FIND(" ",G1221)+1,1)</f>
        <v>LN</v>
      </c>
    </row>
    <row r="1222" customFormat="false" ht="15" hidden="false" customHeight="false" outlineLevel="0" collapsed="false">
      <c r="A1222" s="3" t="n">
        <v>1221</v>
      </c>
      <c r="B1222" s="3" t="s">
        <v>2851</v>
      </c>
      <c r="C1222" s="4" t="s">
        <v>2839</v>
      </c>
      <c r="D1222" s="4" t="s">
        <v>2848</v>
      </c>
      <c r="E1222" s="3" t="s">
        <v>42</v>
      </c>
      <c r="F1222" s="3" t="s">
        <v>550</v>
      </c>
      <c r="G1222" s="3" t="s">
        <v>551</v>
      </c>
      <c r="H1222" s="3" t="s">
        <v>56</v>
      </c>
      <c r="I1222" s="3" t="s">
        <v>32</v>
      </c>
      <c r="J1222" s="3" t="s">
        <v>67</v>
      </c>
      <c r="K1222" s="3" t="s">
        <v>68</v>
      </c>
      <c r="L1222" s="3" t="s">
        <v>69</v>
      </c>
      <c r="M1222" s="3" t="s">
        <v>559</v>
      </c>
      <c r="N1222" s="3" t="s">
        <v>37</v>
      </c>
      <c r="O1222" s="3" t="s">
        <v>38</v>
      </c>
      <c r="P1222" s="3" t="s">
        <v>560</v>
      </c>
      <c r="Q1222" s="5" t="n">
        <v>516.92</v>
      </c>
      <c r="R1222" s="3" t="n">
        <v>5</v>
      </c>
      <c r="S1222" s="6" t="n">
        <v>0.1</v>
      </c>
      <c r="T1222" s="5" t="n">
        <v>66.76</v>
      </c>
      <c r="U1222" s="3" t="str">
        <f aca="false">IF(T1222&lt;0,"Loss",IF(T1222=0,"Break-even","Profit"))</f>
        <v>Profit</v>
      </c>
      <c r="V1222" s="3" t="str">
        <f aca="false">IF(Q1222&lt;100,"Low",IF(Q1222&lt;=500,"Medium","High"))</f>
        <v>High</v>
      </c>
      <c r="W1222" s="3" t="n">
        <f aca="false">D1222-C1222</f>
        <v>1</v>
      </c>
      <c r="X1222" s="3" t="str">
        <f aca="false">TEXT(C1222,"mmmm")</f>
        <v>April</v>
      </c>
      <c r="Y1222" s="3" t="str">
        <f aca="false">LEFT(G1222,1)&amp;MID(G1222,FIND(" ",G1222)+1,1)</f>
        <v>EM</v>
      </c>
    </row>
    <row r="1223" customFormat="false" ht="15" hidden="false" customHeight="false" outlineLevel="0" collapsed="false">
      <c r="A1223" s="3" t="n">
        <v>1222</v>
      </c>
      <c r="B1223" s="3" t="s">
        <v>2852</v>
      </c>
      <c r="C1223" s="4" t="s">
        <v>2848</v>
      </c>
      <c r="D1223" s="4" t="s">
        <v>2850</v>
      </c>
      <c r="E1223" s="3" t="s">
        <v>84</v>
      </c>
      <c r="F1223" s="3" t="s">
        <v>1456</v>
      </c>
      <c r="G1223" s="3" t="s">
        <v>1457</v>
      </c>
      <c r="H1223" s="3" t="s">
        <v>31</v>
      </c>
      <c r="I1223" s="3" t="s">
        <v>32</v>
      </c>
      <c r="J1223" s="3" t="s">
        <v>243</v>
      </c>
      <c r="K1223" s="3" t="s">
        <v>244</v>
      </c>
      <c r="L1223" s="3" t="s">
        <v>157</v>
      </c>
      <c r="M1223" s="3" t="s">
        <v>322</v>
      </c>
      <c r="N1223" s="3" t="s">
        <v>89</v>
      </c>
      <c r="O1223" s="3" t="s">
        <v>323</v>
      </c>
      <c r="P1223" s="3" t="s">
        <v>324</v>
      </c>
      <c r="Q1223" s="5" t="n">
        <v>5153.09</v>
      </c>
      <c r="R1223" s="3" t="n">
        <v>14</v>
      </c>
      <c r="S1223" s="6" t="n">
        <v>0</v>
      </c>
      <c r="T1223" s="5" t="n">
        <v>1401.23</v>
      </c>
      <c r="U1223" s="3" t="str">
        <f aca="false">IF(T1223&lt;0,"Loss",IF(T1223=0,"Break-even","Profit"))</f>
        <v>Profit</v>
      </c>
      <c r="V1223" s="3" t="str">
        <f aca="false">IF(Q1223&lt;100,"Low",IF(Q1223&lt;=500,"Medium","High"))</f>
        <v>High</v>
      </c>
      <c r="W1223" s="3" t="n">
        <f aca="false">D1223-C1223</f>
        <v>2</v>
      </c>
      <c r="X1223" s="3" t="str">
        <f aca="false">TEXT(C1223,"mmmm")</f>
        <v>April</v>
      </c>
      <c r="Y1223" s="3" t="str">
        <f aca="false">LEFT(G1223,1)&amp;MID(G1223,FIND(" ",G1223)+1,1)</f>
        <v>LB</v>
      </c>
    </row>
    <row r="1224" customFormat="false" ht="15" hidden="false" customHeight="false" outlineLevel="0" collapsed="false">
      <c r="A1224" s="3" t="n">
        <v>1223</v>
      </c>
      <c r="B1224" s="3" t="s">
        <v>2853</v>
      </c>
      <c r="C1224" s="4" t="s">
        <v>2848</v>
      </c>
      <c r="D1224" s="4" t="s">
        <v>2854</v>
      </c>
      <c r="E1224" s="3" t="s">
        <v>28</v>
      </c>
      <c r="F1224" s="3" t="s">
        <v>384</v>
      </c>
      <c r="G1224" s="3" t="s">
        <v>385</v>
      </c>
      <c r="H1224" s="3" t="s">
        <v>56</v>
      </c>
      <c r="I1224" s="3" t="s">
        <v>32</v>
      </c>
      <c r="J1224" s="3" t="s">
        <v>415</v>
      </c>
      <c r="K1224" s="3" t="s">
        <v>202</v>
      </c>
      <c r="L1224" s="3" t="s">
        <v>35</v>
      </c>
      <c r="M1224" s="3" t="s">
        <v>165</v>
      </c>
      <c r="N1224" s="3" t="s">
        <v>89</v>
      </c>
      <c r="O1224" s="3" t="s">
        <v>166</v>
      </c>
      <c r="P1224" s="3" t="s">
        <v>167</v>
      </c>
      <c r="Q1224" s="5" t="n">
        <v>622.59</v>
      </c>
      <c r="R1224" s="3" t="n">
        <v>1</v>
      </c>
      <c r="S1224" s="6" t="n">
        <v>0.3</v>
      </c>
      <c r="T1224" s="5" t="n">
        <v>13.21</v>
      </c>
      <c r="U1224" s="3" t="str">
        <f aca="false">IF(T1224&lt;0,"Loss",IF(T1224=0,"Break-even","Profit"))</f>
        <v>Profit</v>
      </c>
      <c r="V1224" s="3" t="str">
        <f aca="false">IF(Q1224&lt;100,"Low",IF(Q1224&lt;=500,"Medium","High"))</f>
        <v>High</v>
      </c>
      <c r="W1224" s="3" t="n">
        <f aca="false">D1224-C1224</f>
        <v>7</v>
      </c>
      <c r="X1224" s="3" t="str">
        <f aca="false">TEXT(C1224,"mmmm")</f>
        <v>April</v>
      </c>
      <c r="Y1224" s="3" t="str">
        <f aca="false">LEFT(G1224,1)&amp;MID(G1224,FIND(" ",G1224)+1,1)</f>
        <v>DJ</v>
      </c>
    </row>
    <row r="1225" customFormat="false" ht="15" hidden="false" customHeight="false" outlineLevel="0" collapsed="false">
      <c r="A1225" s="3" t="n">
        <v>1224</v>
      </c>
      <c r="B1225" s="3" t="s">
        <v>2855</v>
      </c>
      <c r="C1225" s="4" t="s">
        <v>2848</v>
      </c>
      <c r="D1225" s="4" t="s">
        <v>2854</v>
      </c>
      <c r="E1225" s="3" t="s">
        <v>28</v>
      </c>
      <c r="F1225" s="3" t="s">
        <v>532</v>
      </c>
      <c r="G1225" s="3" t="s">
        <v>533</v>
      </c>
      <c r="H1225" s="3" t="s">
        <v>31</v>
      </c>
      <c r="I1225" s="3" t="s">
        <v>32</v>
      </c>
      <c r="J1225" s="3" t="s">
        <v>188</v>
      </c>
      <c r="K1225" s="3" t="s">
        <v>189</v>
      </c>
      <c r="L1225" s="3" t="s">
        <v>59</v>
      </c>
      <c r="M1225" s="3" t="s">
        <v>195</v>
      </c>
      <c r="N1225" s="3" t="s">
        <v>37</v>
      </c>
      <c r="O1225" s="3" t="s">
        <v>196</v>
      </c>
      <c r="P1225" s="3" t="s">
        <v>197</v>
      </c>
      <c r="Q1225" s="5" t="n">
        <v>1261.19</v>
      </c>
      <c r="R1225" s="3" t="n">
        <v>1</v>
      </c>
      <c r="S1225" s="6" t="n">
        <v>0.1</v>
      </c>
      <c r="T1225" s="5" t="n">
        <v>-287.87</v>
      </c>
      <c r="U1225" s="3" t="str">
        <f aca="false">IF(T1225&lt;0,"Loss",IF(T1225=0,"Break-even","Profit"))</f>
        <v>Loss</v>
      </c>
      <c r="V1225" s="3" t="str">
        <f aca="false">IF(Q1225&lt;100,"Low",IF(Q1225&lt;=500,"Medium","High"))</f>
        <v>High</v>
      </c>
      <c r="W1225" s="3" t="n">
        <f aca="false">D1225-C1225</f>
        <v>7</v>
      </c>
      <c r="X1225" s="3" t="str">
        <f aca="false">TEXT(C1225,"mmmm")</f>
        <v>April</v>
      </c>
      <c r="Y1225" s="3" t="str">
        <f aca="false">LEFT(G1225,1)&amp;MID(G1225,FIND(" ",G1225)+1,1)</f>
        <v>AN</v>
      </c>
    </row>
    <row r="1226" customFormat="false" ht="15" hidden="false" customHeight="false" outlineLevel="0" collapsed="false">
      <c r="A1226" s="3" t="n">
        <v>1225</v>
      </c>
      <c r="B1226" s="3" t="s">
        <v>2856</v>
      </c>
      <c r="C1226" s="4" t="s">
        <v>2843</v>
      </c>
      <c r="D1226" s="4" t="s">
        <v>2857</v>
      </c>
      <c r="E1226" s="3" t="s">
        <v>28</v>
      </c>
      <c r="F1226" s="3" t="s">
        <v>905</v>
      </c>
      <c r="G1226" s="3" t="s">
        <v>906</v>
      </c>
      <c r="H1226" s="3" t="s">
        <v>45</v>
      </c>
      <c r="I1226" s="3" t="s">
        <v>32</v>
      </c>
      <c r="J1226" s="3" t="s">
        <v>252</v>
      </c>
      <c r="K1226" s="3" t="s">
        <v>172</v>
      </c>
      <c r="L1226" s="3" t="s">
        <v>157</v>
      </c>
      <c r="M1226" s="3" t="s">
        <v>195</v>
      </c>
      <c r="N1226" s="3" t="s">
        <v>37</v>
      </c>
      <c r="O1226" s="3" t="s">
        <v>196</v>
      </c>
      <c r="P1226" s="3" t="s">
        <v>197</v>
      </c>
      <c r="Q1226" s="5" t="n">
        <v>12254.57</v>
      </c>
      <c r="R1226" s="3" t="n">
        <v>8</v>
      </c>
      <c r="S1226" s="6" t="n">
        <v>0.4</v>
      </c>
      <c r="T1226" s="5" t="n">
        <v>1280.97</v>
      </c>
      <c r="U1226" s="3" t="str">
        <f aca="false">IF(T1226&lt;0,"Loss",IF(T1226=0,"Break-even","Profit"))</f>
        <v>Profit</v>
      </c>
      <c r="V1226" s="3" t="str">
        <f aca="false">IF(Q1226&lt;100,"Low",IF(Q1226&lt;=500,"Medium","High"))</f>
        <v>High</v>
      </c>
      <c r="W1226" s="3" t="n">
        <f aca="false">D1226-C1226</f>
        <v>5</v>
      </c>
      <c r="X1226" s="3" t="str">
        <f aca="false">TEXT(C1226,"mmmm")</f>
        <v>April</v>
      </c>
      <c r="Y1226" s="3" t="str">
        <f aca="false">LEFT(G1226,1)&amp;MID(G1226,FIND(" ",G1226)+1,1)</f>
        <v>SB</v>
      </c>
    </row>
    <row r="1227" customFormat="false" ht="15" hidden="false" customHeight="false" outlineLevel="0" collapsed="false">
      <c r="A1227" s="3" t="n">
        <v>1226</v>
      </c>
      <c r="B1227" s="3" t="s">
        <v>2858</v>
      </c>
      <c r="C1227" s="4" t="s">
        <v>2843</v>
      </c>
      <c r="D1227" s="4" t="s">
        <v>2859</v>
      </c>
      <c r="E1227" s="3" t="s">
        <v>28</v>
      </c>
      <c r="F1227" s="3" t="s">
        <v>1112</v>
      </c>
      <c r="G1227" s="3" t="s">
        <v>1113</v>
      </c>
      <c r="H1227" s="3" t="s">
        <v>56</v>
      </c>
      <c r="I1227" s="3" t="s">
        <v>32</v>
      </c>
      <c r="J1227" s="3" t="s">
        <v>46</v>
      </c>
      <c r="K1227" s="3" t="s">
        <v>47</v>
      </c>
      <c r="L1227" s="3" t="s">
        <v>35</v>
      </c>
      <c r="M1227" s="3" t="s">
        <v>79</v>
      </c>
      <c r="N1227" s="3" t="s">
        <v>49</v>
      </c>
      <c r="O1227" s="3" t="s">
        <v>80</v>
      </c>
      <c r="P1227" s="3" t="s">
        <v>81</v>
      </c>
      <c r="Q1227" s="5" t="n">
        <v>108.77</v>
      </c>
      <c r="R1227" s="3" t="n">
        <v>14</v>
      </c>
      <c r="S1227" s="6" t="n">
        <v>0.3</v>
      </c>
      <c r="T1227" s="5" t="n">
        <v>-14.64</v>
      </c>
      <c r="U1227" s="3" t="str">
        <f aca="false">IF(T1227&lt;0,"Loss",IF(T1227=0,"Break-even","Profit"))</f>
        <v>Loss</v>
      </c>
      <c r="V1227" s="3" t="str">
        <f aca="false">IF(Q1227&lt;100,"Low",IF(Q1227&lt;=500,"Medium","High"))</f>
        <v>Medium</v>
      </c>
      <c r="W1227" s="3" t="n">
        <f aca="false">D1227-C1227</f>
        <v>3</v>
      </c>
      <c r="X1227" s="3" t="str">
        <f aca="false">TEXT(C1227,"mmmm")</f>
        <v>April</v>
      </c>
      <c r="Y1227" s="3" t="str">
        <f aca="false">LEFT(G1227,1)&amp;MID(G1227,FIND(" ",G1227)+1,1)</f>
        <v>MD</v>
      </c>
    </row>
    <row r="1228" customFormat="false" ht="15" hidden="false" customHeight="false" outlineLevel="0" collapsed="false">
      <c r="A1228" s="3" t="n">
        <v>1227</v>
      </c>
      <c r="B1228" s="3" t="s">
        <v>2860</v>
      </c>
      <c r="C1228" s="4" t="s">
        <v>2843</v>
      </c>
      <c r="D1228" s="4" t="s">
        <v>2861</v>
      </c>
      <c r="E1228" s="3" t="s">
        <v>42</v>
      </c>
      <c r="F1228" s="3" t="s">
        <v>2862</v>
      </c>
      <c r="G1228" s="3" t="s">
        <v>2863</v>
      </c>
      <c r="H1228" s="3" t="s">
        <v>56</v>
      </c>
      <c r="I1228" s="3" t="s">
        <v>32</v>
      </c>
      <c r="J1228" s="3" t="s">
        <v>87</v>
      </c>
      <c r="K1228" s="3" t="s">
        <v>68</v>
      </c>
      <c r="L1228" s="3" t="s">
        <v>69</v>
      </c>
      <c r="M1228" s="3" t="s">
        <v>135</v>
      </c>
      <c r="N1228" s="3" t="s">
        <v>37</v>
      </c>
      <c r="O1228" s="3" t="s">
        <v>136</v>
      </c>
      <c r="P1228" s="3" t="s">
        <v>137</v>
      </c>
      <c r="Q1228" s="5" t="n">
        <v>6898.13</v>
      </c>
      <c r="R1228" s="3" t="n">
        <v>13</v>
      </c>
      <c r="S1228" s="6" t="n">
        <v>0</v>
      </c>
      <c r="T1228" s="5" t="n">
        <v>704.73</v>
      </c>
      <c r="U1228" s="3" t="str">
        <f aca="false">IF(T1228&lt;0,"Loss",IF(T1228=0,"Break-even","Profit"))</f>
        <v>Profit</v>
      </c>
      <c r="V1228" s="3" t="str">
        <f aca="false">IF(Q1228&lt;100,"Low",IF(Q1228&lt;=500,"Medium","High"))</f>
        <v>High</v>
      </c>
      <c r="W1228" s="3" t="n">
        <f aca="false">D1228-C1228</f>
        <v>2</v>
      </c>
      <c r="X1228" s="3" t="str">
        <f aca="false">TEXT(C1228,"mmmm")</f>
        <v>April</v>
      </c>
      <c r="Y1228" s="3" t="str">
        <f aca="false">LEFT(G1228,1)&amp;MID(G1228,FIND(" ",G1228)+1,1)</f>
        <v>AK</v>
      </c>
    </row>
    <row r="1229" customFormat="false" ht="15" hidden="false" customHeight="false" outlineLevel="0" collapsed="false">
      <c r="A1229" s="3" t="n">
        <v>1228</v>
      </c>
      <c r="B1229" s="3" t="s">
        <v>2864</v>
      </c>
      <c r="C1229" s="4" t="s">
        <v>2843</v>
      </c>
      <c r="D1229" s="4" t="s">
        <v>2843</v>
      </c>
      <c r="E1229" s="3" t="s">
        <v>53</v>
      </c>
      <c r="F1229" s="3" t="s">
        <v>193</v>
      </c>
      <c r="G1229" s="3" t="s">
        <v>194</v>
      </c>
      <c r="H1229" s="3" t="s">
        <v>45</v>
      </c>
      <c r="I1229" s="3" t="s">
        <v>32</v>
      </c>
      <c r="J1229" s="3" t="s">
        <v>299</v>
      </c>
      <c r="K1229" s="3" t="s">
        <v>189</v>
      </c>
      <c r="L1229" s="3" t="s">
        <v>59</v>
      </c>
      <c r="M1229" s="3" t="s">
        <v>334</v>
      </c>
      <c r="N1229" s="3" t="s">
        <v>37</v>
      </c>
      <c r="O1229" s="3" t="s">
        <v>136</v>
      </c>
      <c r="P1229" s="3" t="s">
        <v>335</v>
      </c>
      <c r="Q1229" s="5" t="n">
        <v>7281.53</v>
      </c>
      <c r="R1229" s="3" t="n">
        <v>7</v>
      </c>
      <c r="S1229" s="6" t="n">
        <v>0</v>
      </c>
      <c r="T1229" s="5" t="n">
        <v>-1125.21</v>
      </c>
      <c r="U1229" s="3" t="str">
        <f aca="false">IF(T1229&lt;0,"Loss",IF(T1229=0,"Break-even","Profit"))</f>
        <v>Loss</v>
      </c>
      <c r="V1229" s="3" t="str">
        <f aca="false">IF(Q1229&lt;100,"Low",IF(Q1229&lt;=500,"Medium","High"))</f>
        <v>High</v>
      </c>
      <c r="W1229" s="3" t="n">
        <f aca="false">D1229-C1229</f>
        <v>0</v>
      </c>
      <c r="X1229" s="3" t="str">
        <f aca="false">TEXT(C1229,"mmmm")</f>
        <v>April</v>
      </c>
      <c r="Y1229" s="3" t="str">
        <f aca="false">LEFT(G1229,1)&amp;MID(G1229,FIND(" ",G1229)+1,1)</f>
        <v>PB</v>
      </c>
    </row>
    <row r="1230" customFormat="false" ht="15" hidden="false" customHeight="false" outlineLevel="0" collapsed="false">
      <c r="A1230" s="3" t="n">
        <v>1229</v>
      </c>
      <c r="B1230" s="3" t="s">
        <v>2865</v>
      </c>
      <c r="C1230" s="4" t="s">
        <v>2850</v>
      </c>
      <c r="D1230" s="4" t="s">
        <v>2861</v>
      </c>
      <c r="E1230" s="3" t="s">
        <v>42</v>
      </c>
      <c r="F1230" s="3" t="s">
        <v>102</v>
      </c>
      <c r="G1230" s="3" t="s">
        <v>103</v>
      </c>
      <c r="H1230" s="3" t="s">
        <v>56</v>
      </c>
      <c r="I1230" s="3" t="s">
        <v>32</v>
      </c>
      <c r="J1230" s="3" t="s">
        <v>679</v>
      </c>
      <c r="K1230" s="3" t="s">
        <v>202</v>
      </c>
      <c r="L1230" s="3" t="s">
        <v>35</v>
      </c>
      <c r="M1230" s="3" t="s">
        <v>269</v>
      </c>
      <c r="N1230" s="3" t="s">
        <v>89</v>
      </c>
      <c r="O1230" s="3" t="s">
        <v>174</v>
      </c>
      <c r="P1230" s="3" t="s">
        <v>270</v>
      </c>
      <c r="Q1230" s="5" t="n">
        <v>1335.32</v>
      </c>
      <c r="R1230" s="3" t="n">
        <v>7</v>
      </c>
      <c r="S1230" s="6" t="n">
        <v>0.2</v>
      </c>
      <c r="T1230" s="5" t="n">
        <v>-243.91</v>
      </c>
      <c r="U1230" s="3" t="str">
        <f aca="false">IF(T1230&lt;0,"Loss",IF(T1230=0,"Break-even","Profit"))</f>
        <v>Loss</v>
      </c>
      <c r="V1230" s="3" t="str">
        <f aca="false">IF(Q1230&lt;100,"Low",IF(Q1230&lt;=500,"Medium","High"))</f>
        <v>High</v>
      </c>
      <c r="W1230" s="3" t="n">
        <f aca="false">D1230-C1230</f>
        <v>1</v>
      </c>
      <c r="X1230" s="3" t="str">
        <f aca="false">TEXT(C1230,"mmmm")</f>
        <v>May</v>
      </c>
      <c r="Y1230" s="3" t="str">
        <f aca="false">LEFT(G1230,1)&amp;MID(G1230,FIND(" ",G1230)+1,1)</f>
        <v>LA</v>
      </c>
    </row>
    <row r="1231" customFormat="false" ht="15" hidden="false" customHeight="false" outlineLevel="0" collapsed="false">
      <c r="A1231" s="3" t="n">
        <v>1230</v>
      </c>
      <c r="B1231" s="3" t="s">
        <v>2866</v>
      </c>
      <c r="C1231" s="4" t="s">
        <v>2861</v>
      </c>
      <c r="D1231" s="4" t="s">
        <v>2854</v>
      </c>
      <c r="E1231" s="3" t="s">
        <v>28</v>
      </c>
      <c r="F1231" s="3" t="s">
        <v>1216</v>
      </c>
      <c r="G1231" s="3" t="s">
        <v>1217</v>
      </c>
      <c r="H1231" s="3" t="s">
        <v>31</v>
      </c>
      <c r="I1231" s="3" t="s">
        <v>32</v>
      </c>
      <c r="J1231" s="3" t="s">
        <v>188</v>
      </c>
      <c r="K1231" s="3" t="s">
        <v>189</v>
      </c>
      <c r="L1231" s="3" t="s">
        <v>59</v>
      </c>
      <c r="M1231" s="3" t="s">
        <v>127</v>
      </c>
      <c r="N1231" s="3" t="s">
        <v>49</v>
      </c>
      <c r="O1231" s="3" t="s">
        <v>61</v>
      </c>
      <c r="P1231" s="3" t="s">
        <v>128</v>
      </c>
      <c r="Q1231" s="5" t="n">
        <v>124.76</v>
      </c>
      <c r="R1231" s="3" t="n">
        <v>7</v>
      </c>
      <c r="S1231" s="6" t="n">
        <v>0</v>
      </c>
      <c r="T1231" s="5" t="n">
        <v>17.22</v>
      </c>
      <c r="U1231" s="3" t="str">
        <f aca="false">IF(T1231&lt;0,"Loss",IF(T1231=0,"Break-even","Profit"))</f>
        <v>Profit</v>
      </c>
      <c r="V1231" s="3" t="str">
        <f aca="false">IF(Q1231&lt;100,"Low",IF(Q1231&lt;=500,"Medium","High"))</f>
        <v>Medium</v>
      </c>
      <c r="W1231" s="3" t="n">
        <f aca="false">D1231-C1231</f>
        <v>4</v>
      </c>
      <c r="X1231" s="3" t="str">
        <f aca="false">TEXT(C1231,"mmmm")</f>
        <v>May</v>
      </c>
      <c r="Y1231" s="3" t="str">
        <f aca="false">LEFT(G1231,1)&amp;MID(G1231,FIND(" ",G1231)+1,1)</f>
        <v>FT</v>
      </c>
    </row>
    <row r="1232" customFormat="false" ht="15" hidden="false" customHeight="false" outlineLevel="0" collapsed="false">
      <c r="A1232" s="3" t="n">
        <v>1231</v>
      </c>
      <c r="B1232" s="3" t="s">
        <v>2867</v>
      </c>
      <c r="C1232" s="4" t="s">
        <v>2861</v>
      </c>
      <c r="D1232" s="4" t="s">
        <v>2859</v>
      </c>
      <c r="E1232" s="3" t="s">
        <v>42</v>
      </c>
      <c r="F1232" s="3" t="s">
        <v>1140</v>
      </c>
      <c r="G1232" s="3" t="s">
        <v>1141</v>
      </c>
      <c r="H1232" s="3" t="s">
        <v>56</v>
      </c>
      <c r="I1232" s="3" t="s">
        <v>32</v>
      </c>
      <c r="J1232" s="3" t="s">
        <v>243</v>
      </c>
      <c r="K1232" s="3" t="s">
        <v>244</v>
      </c>
      <c r="L1232" s="3" t="s">
        <v>157</v>
      </c>
      <c r="M1232" s="3" t="s">
        <v>280</v>
      </c>
      <c r="N1232" s="3" t="s">
        <v>89</v>
      </c>
      <c r="O1232" s="3" t="s">
        <v>166</v>
      </c>
      <c r="P1232" s="3" t="s">
        <v>281</v>
      </c>
      <c r="Q1232" s="5" t="n">
        <v>6454.32</v>
      </c>
      <c r="R1232" s="3" t="n">
        <v>9</v>
      </c>
      <c r="S1232" s="6" t="n">
        <v>0.4</v>
      </c>
      <c r="T1232" s="5" t="n">
        <v>-547.92</v>
      </c>
      <c r="U1232" s="3" t="str">
        <f aca="false">IF(T1232&lt;0,"Loss",IF(T1232=0,"Break-even","Profit"))</f>
        <v>Loss</v>
      </c>
      <c r="V1232" s="3" t="str">
        <f aca="false">IF(Q1232&lt;100,"Low",IF(Q1232&lt;=500,"Medium","High"))</f>
        <v>High</v>
      </c>
      <c r="W1232" s="3" t="n">
        <f aca="false">D1232-C1232</f>
        <v>1</v>
      </c>
      <c r="X1232" s="3" t="str">
        <f aca="false">TEXT(C1232,"mmmm")</f>
        <v>May</v>
      </c>
      <c r="Y1232" s="3" t="str">
        <f aca="false">LEFT(G1232,1)&amp;MID(G1232,FIND(" ",G1232)+1,1)</f>
        <v>MS</v>
      </c>
    </row>
    <row r="1233" customFormat="false" ht="15" hidden="false" customHeight="false" outlineLevel="0" collapsed="false">
      <c r="A1233" s="3" t="n">
        <v>1232</v>
      </c>
      <c r="B1233" s="3" t="s">
        <v>2868</v>
      </c>
      <c r="C1233" s="4" t="s">
        <v>2859</v>
      </c>
      <c r="D1233" s="4" t="s">
        <v>2869</v>
      </c>
      <c r="E1233" s="3" t="s">
        <v>28</v>
      </c>
      <c r="F1233" s="3" t="s">
        <v>182</v>
      </c>
      <c r="G1233" s="3" t="s">
        <v>183</v>
      </c>
      <c r="H1233" s="3" t="s">
        <v>45</v>
      </c>
      <c r="I1233" s="3" t="s">
        <v>32</v>
      </c>
      <c r="J1233" s="3" t="s">
        <v>365</v>
      </c>
      <c r="K1233" s="3" t="s">
        <v>366</v>
      </c>
      <c r="L1233" s="3" t="s">
        <v>157</v>
      </c>
      <c r="M1233" s="3" t="s">
        <v>135</v>
      </c>
      <c r="N1233" s="3" t="s">
        <v>37</v>
      </c>
      <c r="O1233" s="3" t="s">
        <v>136</v>
      </c>
      <c r="P1233" s="3" t="s">
        <v>137</v>
      </c>
      <c r="Q1233" s="5" t="n">
        <v>6457.8</v>
      </c>
      <c r="R1233" s="3" t="n">
        <v>13</v>
      </c>
      <c r="S1233" s="6" t="n">
        <v>0.4</v>
      </c>
      <c r="T1233" s="5" t="n">
        <v>-1306.21</v>
      </c>
      <c r="U1233" s="3" t="str">
        <f aca="false">IF(T1233&lt;0,"Loss",IF(T1233=0,"Break-even","Profit"))</f>
        <v>Loss</v>
      </c>
      <c r="V1233" s="3" t="str">
        <f aca="false">IF(Q1233&lt;100,"Low",IF(Q1233&lt;=500,"Medium","High"))</f>
        <v>High</v>
      </c>
      <c r="W1233" s="3" t="n">
        <f aca="false">D1233-C1233</f>
        <v>5</v>
      </c>
      <c r="X1233" s="3" t="str">
        <f aca="false">TEXT(C1233,"mmmm")</f>
        <v>May</v>
      </c>
      <c r="Y1233" s="3" t="str">
        <f aca="false">LEFT(G1233,1)&amp;MID(G1233,FIND(" ",G1233)+1,1)</f>
        <v>CN</v>
      </c>
    </row>
    <row r="1234" customFormat="false" ht="15" hidden="false" customHeight="false" outlineLevel="0" collapsed="false">
      <c r="A1234" s="3" t="n">
        <v>1233</v>
      </c>
      <c r="B1234" s="3" t="s">
        <v>2870</v>
      </c>
      <c r="C1234" s="4" t="s">
        <v>2859</v>
      </c>
      <c r="D1234" s="4" t="s">
        <v>2857</v>
      </c>
      <c r="E1234" s="3" t="s">
        <v>42</v>
      </c>
      <c r="F1234" s="3" t="s">
        <v>345</v>
      </c>
      <c r="G1234" s="3" t="s">
        <v>346</v>
      </c>
      <c r="H1234" s="3" t="s">
        <v>56</v>
      </c>
      <c r="I1234" s="3" t="s">
        <v>32</v>
      </c>
      <c r="J1234" s="3" t="s">
        <v>208</v>
      </c>
      <c r="K1234" s="3" t="s">
        <v>134</v>
      </c>
      <c r="L1234" s="3" t="s">
        <v>69</v>
      </c>
      <c r="M1234" s="3" t="s">
        <v>114</v>
      </c>
      <c r="N1234" s="3" t="s">
        <v>49</v>
      </c>
      <c r="O1234" s="3" t="s">
        <v>61</v>
      </c>
      <c r="P1234" s="3" t="s">
        <v>115</v>
      </c>
      <c r="Q1234" s="5" t="n">
        <v>226.56</v>
      </c>
      <c r="R1234" s="3" t="n">
        <v>2</v>
      </c>
      <c r="S1234" s="6" t="n">
        <v>0</v>
      </c>
      <c r="T1234" s="5" t="n">
        <v>19.05</v>
      </c>
      <c r="U1234" s="3" t="str">
        <f aca="false">IF(T1234&lt;0,"Loss",IF(T1234=0,"Break-even","Profit"))</f>
        <v>Profit</v>
      </c>
      <c r="V1234" s="3" t="str">
        <f aca="false">IF(Q1234&lt;100,"Low",IF(Q1234&lt;=500,"Medium","High"))</f>
        <v>Medium</v>
      </c>
      <c r="W1234" s="3" t="n">
        <f aca="false">D1234-C1234</f>
        <v>2</v>
      </c>
      <c r="X1234" s="3" t="str">
        <f aca="false">TEXT(C1234,"mmmm")</f>
        <v>May</v>
      </c>
      <c r="Y1234" s="3" t="str">
        <f aca="false">LEFT(G1234,1)&amp;MID(G1234,FIND(" ",G1234)+1,1)</f>
        <v>OS</v>
      </c>
    </row>
    <row r="1235" customFormat="false" ht="15" hidden="false" customHeight="false" outlineLevel="0" collapsed="false">
      <c r="A1235" s="3" t="n">
        <v>1234</v>
      </c>
      <c r="B1235" s="3" t="s">
        <v>2871</v>
      </c>
      <c r="C1235" s="4" t="s">
        <v>2859</v>
      </c>
      <c r="D1235" s="4" t="s">
        <v>2872</v>
      </c>
      <c r="E1235" s="3" t="s">
        <v>28</v>
      </c>
      <c r="F1235" s="3" t="s">
        <v>768</v>
      </c>
      <c r="G1235" s="3" t="s">
        <v>769</v>
      </c>
      <c r="H1235" s="3" t="s">
        <v>45</v>
      </c>
      <c r="I1235" s="3" t="s">
        <v>32</v>
      </c>
      <c r="J1235" s="3" t="s">
        <v>171</v>
      </c>
      <c r="K1235" s="3" t="s">
        <v>172</v>
      </c>
      <c r="L1235" s="3" t="s">
        <v>157</v>
      </c>
      <c r="M1235" s="3" t="s">
        <v>60</v>
      </c>
      <c r="N1235" s="3" t="s">
        <v>49</v>
      </c>
      <c r="O1235" s="3" t="s">
        <v>61</v>
      </c>
      <c r="P1235" s="3" t="s">
        <v>62</v>
      </c>
      <c r="Q1235" s="5" t="n">
        <v>86.23</v>
      </c>
      <c r="R1235" s="3" t="n">
        <v>3</v>
      </c>
      <c r="S1235" s="6" t="n">
        <v>0.2</v>
      </c>
      <c r="T1235" s="5" t="n">
        <v>-15.14</v>
      </c>
      <c r="U1235" s="3" t="str">
        <f aca="false">IF(T1235&lt;0,"Loss",IF(T1235=0,"Break-even","Profit"))</f>
        <v>Loss</v>
      </c>
      <c r="V1235" s="3" t="str">
        <f aca="false">IF(Q1235&lt;100,"Low",IF(Q1235&lt;=500,"Medium","High"))</f>
        <v>Low</v>
      </c>
      <c r="W1235" s="3" t="n">
        <f aca="false">D1235-C1235</f>
        <v>6</v>
      </c>
      <c r="X1235" s="3" t="str">
        <f aca="false">TEXT(C1235,"mmmm")</f>
        <v>May</v>
      </c>
      <c r="Y1235" s="3" t="str">
        <f aca="false">LEFT(G1235,1)&amp;MID(G1235,FIND(" ",G1235)+1,1)</f>
        <v>OC</v>
      </c>
    </row>
    <row r="1236" customFormat="false" ht="15" hidden="false" customHeight="false" outlineLevel="0" collapsed="false">
      <c r="A1236" s="3" t="n">
        <v>1235</v>
      </c>
      <c r="B1236" s="3" t="s">
        <v>2873</v>
      </c>
      <c r="C1236" s="4" t="s">
        <v>2859</v>
      </c>
      <c r="D1236" s="4" t="s">
        <v>2859</v>
      </c>
      <c r="E1236" s="3" t="s">
        <v>53</v>
      </c>
      <c r="F1236" s="3" t="s">
        <v>1020</v>
      </c>
      <c r="G1236" s="3" t="s">
        <v>1021</v>
      </c>
      <c r="H1236" s="3" t="s">
        <v>31</v>
      </c>
      <c r="I1236" s="3" t="s">
        <v>32</v>
      </c>
      <c r="J1236" s="3" t="s">
        <v>77</v>
      </c>
      <c r="K1236" s="3" t="s">
        <v>78</v>
      </c>
      <c r="L1236" s="3" t="s">
        <v>59</v>
      </c>
      <c r="M1236" s="3" t="s">
        <v>219</v>
      </c>
      <c r="N1236" s="3" t="s">
        <v>49</v>
      </c>
      <c r="O1236" s="3" t="s">
        <v>220</v>
      </c>
      <c r="P1236" s="3" t="s">
        <v>221</v>
      </c>
      <c r="Q1236" s="5" t="n">
        <v>703.57</v>
      </c>
      <c r="R1236" s="3" t="n">
        <v>11</v>
      </c>
      <c r="S1236" s="6" t="n">
        <v>0.3</v>
      </c>
      <c r="T1236" s="5" t="n">
        <v>-12.88</v>
      </c>
      <c r="U1236" s="3" t="str">
        <f aca="false">IF(T1236&lt;0,"Loss",IF(T1236=0,"Break-even","Profit"))</f>
        <v>Loss</v>
      </c>
      <c r="V1236" s="3" t="str">
        <f aca="false">IF(Q1236&lt;100,"Low",IF(Q1236&lt;=500,"Medium","High"))</f>
        <v>High</v>
      </c>
      <c r="W1236" s="3" t="n">
        <f aca="false">D1236-C1236</f>
        <v>0</v>
      </c>
      <c r="X1236" s="3" t="str">
        <f aca="false">TEXT(C1236,"mmmm")</f>
        <v>May</v>
      </c>
      <c r="Y1236" s="3" t="str">
        <f aca="false">LEFT(G1236,1)&amp;MID(G1236,FIND(" ",G1236)+1,1)</f>
        <v>LK</v>
      </c>
    </row>
    <row r="1237" customFormat="false" ht="15" hidden="false" customHeight="false" outlineLevel="0" collapsed="false">
      <c r="A1237" s="3" t="n">
        <v>1236</v>
      </c>
      <c r="B1237" s="3" t="s">
        <v>2874</v>
      </c>
      <c r="C1237" s="4" t="s">
        <v>2857</v>
      </c>
      <c r="D1237" s="4" t="s">
        <v>2869</v>
      </c>
      <c r="E1237" s="3" t="s">
        <v>28</v>
      </c>
      <c r="F1237" s="3" t="s">
        <v>1571</v>
      </c>
      <c r="G1237" s="3" t="s">
        <v>1572</v>
      </c>
      <c r="H1237" s="3" t="s">
        <v>56</v>
      </c>
      <c r="I1237" s="3" t="s">
        <v>32</v>
      </c>
      <c r="J1237" s="3" t="s">
        <v>77</v>
      </c>
      <c r="K1237" s="3" t="s">
        <v>78</v>
      </c>
      <c r="L1237" s="3" t="s">
        <v>59</v>
      </c>
      <c r="M1237" s="3" t="s">
        <v>121</v>
      </c>
      <c r="N1237" s="3" t="s">
        <v>49</v>
      </c>
      <c r="O1237" s="3" t="s">
        <v>50</v>
      </c>
      <c r="P1237" s="3" t="s">
        <v>122</v>
      </c>
      <c r="Q1237" s="5" t="n">
        <v>601</v>
      </c>
      <c r="R1237" s="3" t="n">
        <v>11</v>
      </c>
      <c r="S1237" s="6" t="n">
        <v>0.2</v>
      </c>
      <c r="T1237" s="5" t="n">
        <v>100.67</v>
      </c>
      <c r="U1237" s="3" t="str">
        <f aca="false">IF(T1237&lt;0,"Loss",IF(T1237=0,"Break-even","Profit"))</f>
        <v>Profit</v>
      </c>
      <c r="V1237" s="3" t="str">
        <f aca="false">IF(Q1237&lt;100,"Low",IF(Q1237&lt;=500,"Medium","High"))</f>
        <v>High</v>
      </c>
      <c r="W1237" s="3" t="n">
        <f aca="false">D1237-C1237</f>
        <v>3</v>
      </c>
      <c r="X1237" s="3" t="str">
        <f aca="false">TEXT(C1237,"mmmm")</f>
        <v>May</v>
      </c>
      <c r="Y1237" s="3" t="str">
        <f aca="false">LEFT(G1237,1)&amp;MID(G1237,FIND(" ",G1237)+1,1)</f>
        <v>JW</v>
      </c>
    </row>
    <row r="1238" customFormat="false" ht="15" hidden="false" customHeight="false" outlineLevel="0" collapsed="false">
      <c r="A1238" s="3" t="n">
        <v>1237</v>
      </c>
      <c r="B1238" s="3" t="s">
        <v>2875</v>
      </c>
      <c r="C1238" s="4" t="s">
        <v>2854</v>
      </c>
      <c r="D1238" s="4" t="s">
        <v>2854</v>
      </c>
      <c r="E1238" s="3" t="s">
        <v>53</v>
      </c>
      <c r="F1238" s="3" t="s">
        <v>2876</v>
      </c>
      <c r="G1238" s="3" t="s">
        <v>2877</v>
      </c>
      <c r="H1238" s="3" t="s">
        <v>45</v>
      </c>
      <c r="I1238" s="3" t="s">
        <v>32</v>
      </c>
      <c r="J1238" s="3" t="s">
        <v>133</v>
      </c>
      <c r="K1238" s="3" t="s">
        <v>134</v>
      </c>
      <c r="L1238" s="3" t="s">
        <v>69</v>
      </c>
      <c r="M1238" s="3" t="s">
        <v>105</v>
      </c>
      <c r="N1238" s="3" t="s">
        <v>49</v>
      </c>
      <c r="O1238" s="3" t="s">
        <v>106</v>
      </c>
      <c r="P1238" s="3" t="s">
        <v>107</v>
      </c>
      <c r="Q1238" s="5" t="n">
        <v>1112.53</v>
      </c>
      <c r="R1238" s="3" t="n">
        <v>13</v>
      </c>
      <c r="S1238" s="6" t="n">
        <v>0.1</v>
      </c>
      <c r="T1238" s="5" t="n">
        <v>93.61</v>
      </c>
      <c r="U1238" s="3" t="str">
        <f aca="false">IF(T1238&lt;0,"Loss",IF(T1238=0,"Break-even","Profit"))</f>
        <v>Profit</v>
      </c>
      <c r="V1238" s="3" t="str">
        <f aca="false">IF(Q1238&lt;100,"Low",IF(Q1238&lt;=500,"Medium","High"))</f>
        <v>High</v>
      </c>
      <c r="W1238" s="3" t="n">
        <f aca="false">D1238-C1238</f>
        <v>0</v>
      </c>
      <c r="X1238" s="3" t="str">
        <f aca="false">TEXT(C1238,"mmmm")</f>
        <v>May</v>
      </c>
      <c r="Y1238" s="3" t="str">
        <f aca="false">LEFT(G1238,1)&amp;MID(G1238,FIND(" ",G1238)+1,1)</f>
        <v>JT</v>
      </c>
    </row>
    <row r="1239" customFormat="false" ht="15" hidden="false" customHeight="false" outlineLevel="0" collapsed="false">
      <c r="A1239" s="3" t="n">
        <v>1238</v>
      </c>
      <c r="B1239" s="3" t="s">
        <v>2878</v>
      </c>
      <c r="C1239" s="4" t="s">
        <v>2854</v>
      </c>
      <c r="D1239" s="4" t="s">
        <v>2879</v>
      </c>
      <c r="E1239" s="3" t="s">
        <v>42</v>
      </c>
      <c r="F1239" s="3" t="s">
        <v>1881</v>
      </c>
      <c r="G1239" s="3" t="s">
        <v>1882</v>
      </c>
      <c r="H1239" s="3" t="s">
        <v>56</v>
      </c>
      <c r="I1239" s="3" t="s">
        <v>32</v>
      </c>
      <c r="J1239" s="3" t="s">
        <v>67</v>
      </c>
      <c r="K1239" s="3" t="s">
        <v>68</v>
      </c>
      <c r="L1239" s="3" t="s">
        <v>69</v>
      </c>
      <c r="M1239" s="3" t="s">
        <v>97</v>
      </c>
      <c r="N1239" s="3" t="s">
        <v>89</v>
      </c>
      <c r="O1239" s="3" t="s">
        <v>90</v>
      </c>
      <c r="P1239" s="3" t="s">
        <v>98</v>
      </c>
      <c r="Q1239" s="5" t="n">
        <v>1377.22</v>
      </c>
      <c r="R1239" s="3" t="n">
        <v>8</v>
      </c>
      <c r="S1239" s="6" t="n">
        <v>0.3</v>
      </c>
      <c r="T1239" s="5" t="n">
        <v>117.64</v>
      </c>
      <c r="U1239" s="3" t="str">
        <f aca="false">IF(T1239&lt;0,"Loss",IF(T1239=0,"Break-even","Profit"))</f>
        <v>Profit</v>
      </c>
      <c r="V1239" s="3" t="str">
        <f aca="false">IF(Q1239&lt;100,"Low",IF(Q1239&lt;=500,"Medium","High"))</f>
        <v>High</v>
      </c>
      <c r="W1239" s="3" t="n">
        <f aca="false">D1239-C1239</f>
        <v>1</v>
      </c>
      <c r="X1239" s="3" t="str">
        <f aca="false">TEXT(C1239,"mmmm")</f>
        <v>May</v>
      </c>
      <c r="Y1239" s="3" t="str">
        <f aca="false">LEFT(G1239,1)&amp;MID(G1239,FIND(" ",G1239)+1,1)</f>
        <v>SD</v>
      </c>
    </row>
    <row r="1240" customFormat="false" ht="15" hidden="false" customHeight="false" outlineLevel="0" collapsed="false">
      <c r="A1240" s="3" t="n">
        <v>1239</v>
      </c>
      <c r="B1240" s="3" t="s">
        <v>2880</v>
      </c>
      <c r="C1240" s="4" t="s">
        <v>2879</v>
      </c>
      <c r="D1240" s="4" t="s">
        <v>2881</v>
      </c>
      <c r="E1240" s="3" t="s">
        <v>28</v>
      </c>
      <c r="F1240" s="3" t="s">
        <v>2042</v>
      </c>
      <c r="G1240" s="3" t="s">
        <v>2043</v>
      </c>
      <c r="H1240" s="3" t="s">
        <v>56</v>
      </c>
      <c r="I1240" s="3" t="s">
        <v>32</v>
      </c>
      <c r="J1240" s="3" t="s">
        <v>215</v>
      </c>
      <c r="K1240" s="3" t="s">
        <v>34</v>
      </c>
      <c r="L1240" s="3" t="s">
        <v>35</v>
      </c>
      <c r="M1240" s="3" t="s">
        <v>209</v>
      </c>
      <c r="N1240" s="3" t="s">
        <v>49</v>
      </c>
      <c r="O1240" s="3" t="s">
        <v>106</v>
      </c>
      <c r="P1240" s="3" t="s">
        <v>210</v>
      </c>
      <c r="Q1240" s="5" t="n">
        <v>648.24</v>
      </c>
      <c r="R1240" s="3" t="n">
        <v>12</v>
      </c>
      <c r="S1240" s="6" t="n">
        <v>0</v>
      </c>
      <c r="T1240" s="5" t="n">
        <v>179.17</v>
      </c>
      <c r="U1240" s="3" t="str">
        <f aca="false">IF(T1240&lt;0,"Loss",IF(T1240=0,"Break-even","Profit"))</f>
        <v>Profit</v>
      </c>
      <c r="V1240" s="3" t="str">
        <f aca="false">IF(Q1240&lt;100,"Low",IF(Q1240&lt;=500,"Medium","High"))</f>
        <v>High</v>
      </c>
      <c r="W1240" s="3" t="n">
        <f aca="false">D1240-C1240</f>
        <v>4</v>
      </c>
      <c r="X1240" s="3" t="str">
        <f aca="false">TEXT(C1240,"mmmm")</f>
        <v>May</v>
      </c>
      <c r="Y1240" s="3" t="str">
        <f aca="false">LEFT(G1240,1)&amp;MID(G1240,FIND(" ",G1240)+1,1)</f>
        <v>LK</v>
      </c>
    </row>
    <row r="1241" customFormat="false" ht="15" hidden="false" customHeight="false" outlineLevel="0" collapsed="false">
      <c r="A1241" s="3" t="n">
        <v>1240</v>
      </c>
      <c r="B1241" s="3" t="s">
        <v>2882</v>
      </c>
      <c r="C1241" s="4" t="s">
        <v>2879</v>
      </c>
      <c r="D1241" s="4" t="s">
        <v>2881</v>
      </c>
      <c r="E1241" s="3" t="s">
        <v>28</v>
      </c>
      <c r="F1241" s="3" t="s">
        <v>2658</v>
      </c>
      <c r="G1241" s="3" t="s">
        <v>2659</v>
      </c>
      <c r="H1241" s="3" t="s">
        <v>45</v>
      </c>
      <c r="I1241" s="3" t="s">
        <v>32</v>
      </c>
      <c r="J1241" s="3" t="s">
        <v>171</v>
      </c>
      <c r="K1241" s="3" t="s">
        <v>172</v>
      </c>
      <c r="L1241" s="3" t="s">
        <v>157</v>
      </c>
      <c r="M1241" s="3" t="s">
        <v>158</v>
      </c>
      <c r="N1241" s="3" t="s">
        <v>49</v>
      </c>
      <c r="O1241" s="3" t="s">
        <v>159</v>
      </c>
      <c r="P1241" s="3" t="s">
        <v>160</v>
      </c>
      <c r="Q1241" s="5" t="n">
        <v>294.83</v>
      </c>
      <c r="R1241" s="3" t="n">
        <v>3</v>
      </c>
      <c r="S1241" s="6" t="n">
        <v>0</v>
      </c>
      <c r="T1241" s="5" t="n">
        <v>78.25</v>
      </c>
      <c r="U1241" s="3" t="str">
        <f aca="false">IF(T1241&lt;0,"Loss",IF(T1241=0,"Break-even","Profit"))</f>
        <v>Profit</v>
      </c>
      <c r="V1241" s="3" t="str">
        <f aca="false">IF(Q1241&lt;100,"Low",IF(Q1241&lt;=500,"Medium","High"))</f>
        <v>Medium</v>
      </c>
      <c r="W1241" s="3" t="n">
        <f aca="false">D1241-C1241</f>
        <v>4</v>
      </c>
      <c r="X1241" s="3" t="str">
        <f aca="false">TEXT(C1241,"mmmm")</f>
        <v>May</v>
      </c>
      <c r="Y1241" s="3" t="str">
        <f aca="false">LEFT(G1241,1)&amp;MID(G1241,FIND(" ",G1241)+1,1)</f>
        <v>JJ</v>
      </c>
    </row>
    <row r="1242" customFormat="false" ht="15" hidden="false" customHeight="false" outlineLevel="0" collapsed="false">
      <c r="A1242" s="3" t="n">
        <v>1241</v>
      </c>
      <c r="B1242" s="3" t="s">
        <v>2883</v>
      </c>
      <c r="C1242" s="4" t="s">
        <v>2872</v>
      </c>
      <c r="D1242" s="4" t="s">
        <v>2884</v>
      </c>
      <c r="E1242" s="3" t="s">
        <v>28</v>
      </c>
      <c r="F1242" s="3" t="s">
        <v>934</v>
      </c>
      <c r="G1242" s="3" t="s">
        <v>935</v>
      </c>
      <c r="H1242" s="3" t="s">
        <v>56</v>
      </c>
      <c r="I1242" s="3" t="s">
        <v>32</v>
      </c>
      <c r="J1242" s="3" t="s">
        <v>95</v>
      </c>
      <c r="K1242" s="3" t="s">
        <v>96</v>
      </c>
      <c r="L1242" s="3" t="s">
        <v>59</v>
      </c>
      <c r="M1242" s="3" t="s">
        <v>97</v>
      </c>
      <c r="N1242" s="3" t="s">
        <v>89</v>
      </c>
      <c r="O1242" s="3" t="s">
        <v>90</v>
      </c>
      <c r="P1242" s="3" t="s">
        <v>98</v>
      </c>
      <c r="Q1242" s="5" t="n">
        <v>4560.19</v>
      </c>
      <c r="R1242" s="3" t="n">
        <v>14</v>
      </c>
      <c r="S1242" s="6" t="n">
        <v>0.1</v>
      </c>
      <c r="T1242" s="5" t="n">
        <v>-889.71</v>
      </c>
      <c r="U1242" s="3" t="str">
        <f aca="false">IF(T1242&lt;0,"Loss",IF(T1242=0,"Break-even","Profit"))</f>
        <v>Loss</v>
      </c>
      <c r="V1242" s="3" t="str">
        <f aca="false">IF(Q1242&lt;100,"Low",IF(Q1242&lt;=500,"Medium","High"))</f>
        <v>High</v>
      </c>
      <c r="W1242" s="3" t="n">
        <f aca="false">D1242-C1242</f>
        <v>4</v>
      </c>
      <c r="X1242" s="3" t="str">
        <f aca="false">TEXT(C1242,"mmmm")</f>
        <v>May</v>
      </c>
      <c r="Y1242" s="3" t="str">
        <f aca="false">LEFT(G1242,1)&amp;MID(G1242,FIND(" ",G1242)+1,1)</f>
        <v>PN</v>
      </c>
    </row>
    <row r="1243" customFormat="false" ht="15" hidden="false" customHeight="false" outlineLevel="0" collapsed="false">
      <c r="A1243" s="3" t="n">
        <v>1242</v>
      </c>
      <c r="B1243" s="3" t="s">
        <v>2885</v>
      </c>
      <c r="C1243" s="4" t="s">
        <v>2886</v>
      </c>
      <c r="D1243" s="4" t="s">
        <v>2887</v>
      </c>
      <c r="E1243" s="3" t="s">
        <v>28</v>
      </c>
      <c r="F1243" s="3" t="s">
        <v>493</v>
      </c>
      <c r="G1243" s="3" t="s">
        <v>494</v>
      </c>
      <c r="H1243" s="3" t="s">
        <v>56</v>
      </c>
      <c r="I1243" s="3" t="s">
        <v>32</v>
      </c>
      <c r="J1243" s="3" t="s">
        <v>155</v>
      </c>
      <c r="K1243" s="3" t="s">
        <v>156</v>
      </c>
      <c r="L1243" s="3" t="s">
        <v>157</v>
      </c>
      <c r="M1243" s="3" t="s">
        <v>70</v>
      </c>
      <c r="N1243" s="3" t="s">
        <v>37</v>
      </c>
      <c r="O1243" s="3" t="s">
        <v>71</v>
      </c>
      <c r="P1243" s="3" t="s">
        <v>72</v>
      </c>
      <c r="Q1243" s="5" t="n">
        <v>1688.64</v>
      </c>
      <c r="R1243" s="3" t="n">
        <v>10</v>
      </c>
      <c r="S1243" s="6" t="n">
        <v>0.2</v>
      </c>
      <c r="T1243" s="5" t="n">
        <v>216.18</v>
      </c>
      <c r="U1243" s="3" t="str">
        <f aca="false">IF(T1243&lt;0,"Loss",IF(T1243=0,"Break-even","Profit"))</f>
        <v>Profit</v>
      </c>
      <c r="V1243" s="3" t="str">
        <f aca="false">IF(Q1243&lt;100,"Low",IF(Q1243&lt;=500,"Medium","High"))</f>
        <v>High</v>
      </c>
      <c r="W1243" s="3" t="n">
        <f aca="false">D1243-C1243</f>
        <v>5</v>
      </c>
      <c r="X1243" s="3" t="str">
        <f aca="false">TEXT(C1243,"mmmm")</f>
        <v>May</v>
      </c>
      <c r="Y1243" s="3" t="str">
        <f aca="false">LEFT(G1243,1)&amp;MID(G1243,FIND(" ",G1243)+1,1)</f>
        <v>WT</v>
      </c>
    </row>
    <row r="1244" customFormat="false" ht="15" hidden="false" customHeight="false" outlineLevel="0" collapsed="false">
      <c r="A1244" s="3" t="n">
        <v>1243</v>
      </c>
      <c r="B1244" s="3" t="s">
        <v>2808</v>
      </c>
      <c r="C1244" s="4" t="s">
        <v>2886</v>
      </c>
      <c r="D1244" s="4" t="s">
        <v>2888</v>
      </c>
      <c r="E1244" s="3" t="s">
        <v>28</v>
      </c>
      <c r="F1244" s="3" t="s">
        <v>963</v>
      </c>
      <c r="G1244" s="3" t="s">
        <v>964</v>
      </c>
      <c r="H1244" s="3" t="s">
        <v>45</v>
      </c>
      <c r="I1244" s="3" t="s">
        <v>32</v>
      </c>
      <c r="J1244" s="3" t="s">
        <v>381</v>
      </c>
      <c r="K1244" s="3" t="s">
        <v>58</v>
      </c>
      <c r="L1244" s="3" t="s">
        <v>59</v>
      </c>
      <c r="M1244" s="3" t="s">
        <v>209</v>
      </c>
      <c r="N1244" s="3" t="s">
        <v>49</v>
      </c>
      <c r="O1244" s="3" t="s">
        <v>106</v>
      </c>
      <c r="P1244" s="3" t="s">
        <v>210</v>
      </c>
      <c r="Q1244" s="5" t="n">
        <v>136.83</v>
      </c>
      <c r="R1244" s="3" t="n">
        <v>4</v>
      </c>
      <c r="S1244" s="6" t="n">
        <v>0</v>
      </c>
      <c r="T1244" s="5" t="n">
        <v>20.71</v>
      </c>
      <c r="U1244" s="3" t="str">
        <f aca="false">IF(T1244&lt;0,"Loss",IF(T1244=0,"Break-even","Profit"))</f>
        <v>Profit</v>
      </c>
      <c r="V1244" s="3" t="str">
        <f aca="false">IF(Q1244&lt;100,"Low",IF(Q1244&lt;=500,"Medium","High"))</f>
        <v>Medium</v>
      </c>
      <c r="W1244" s="3" t="n">
        <f aca="false">D1244-C1244</f>
        <v>6</v>
      </c>
      <c r="X1244" s="3" t="str">
        <f aca="false">TEXT(C1244,"mmmm")</f>
        <v>May</v>
      </c>
      <c r="Y1244" s="3" t="str">
        <f aca="false">LEFT(G1244,1)&amp;MID(G1244,FIND(" ",G1244)+1,1)</f>
        <v>FB</v>
      </c>
    </row>
    <row r="1245" customFormat="false" ht="15" hidden="false" customHeight="false" outlineLevel="0" collapsed="false">
      <c r="A1245" s="3" t="n">
        <v>1244</v>
      </c>
      <c r="B1245" s="3" t="s">
        <v>2889</v>
      </c>
      <c r="C1245" s="4" t="s">
        <v>2881</v>
      </c>
      <c r="D1245" s="4" t="s">
        <v>2890</v>
      </c>
      <c r="E1245" s="3" t="s">
        <v>84</v>
      </c>
      <c r="F1245" s="3" t="s">
        <v>1063</v>
      </c>
      <c r="G1245" s="3" t="s">
        <v>1064</v>
      </c>
      <c r="H1245" s="3" t="s">
        <v>31</v>
      </c>
      <c r="I1245" s="3" t="s">
        <v>32</v>
      </c>
      <c r="J1245" s="3" t="s">
        <v>365</v>
      </c>
      <c r="K1245" s="3" t="s">
        <v>366</v>
      </c>
      <c r="L1245" s="3" t="s">
        <v>157</v>
      </c>
      <c r="M1245" s="3" t="s">
        <v>347</v>
      </c>
      <c r="N1245" s="3" t="s">
        <v>49</v>
      </c>
      <c r="O1245" s="3" t="s">
        <v>220</v>
      </c>
      <c r="P1245" s="3" t="s">
        <v>348</v>
      </c>
      <c r="Q1245" s="5" t="n">
        <v>794.9</v>
      </c>
      <c r="R1245" s="3" t="n">
        <v>14</v>
      </c>
      <c r="S1245" s="6" t="n">
        <v>0.4</v>
      </c>
      <c r="T1245" s="5" t="n">
        <v>-190.4</v>
      </c>
      <c r="U1245" s="3" t="str">
        <f aca="false">IF(T1245&lt;0,"Loss",IF(T1245=0,"Break-even","Profit"))</f>
        <v>Loss</v>
      </c>
      <c r="V1245" s="3" t="str">
        <f aca="false">IF(Q1245&lt;100,"Low",IF(Q1245&lt;=500,"Medium","High"))</f>
        <v>High</v>
      </c>
      <c r="W1245" s="3" t="n">
        <f aca="false">D1245-C1245</f>
        <v>3</v>
      </c>
      <c r="X1245" s="3" t="str">
        <f aca="false">TEXT(C1245,"mmmm")</f>
        <v>May</v>
      </c>
      <c r="Y1245" s="3" t="str">
        <f aca="false">LEFT(G1245,1)&amp;MID(G1245,FIND(" ",G1245)+1,1)</f>
        <v>AB</v>
      </c>
    </row>
    <row r="1246" customFormat="false" ht="15" hidden="false" customHeight="false" outlineLevel="0" collapsed="false">
      <c r="A1246" s="3" t="n">
        <v>1245</v>
      </c>
      <c r="B1246" s="3" t="s">
        <v>2891</v>
      </c>
      <c r="C1246" s="4" t="s">
        <v>2892</v>
      </c>
      <c r="D1246" s="4" t="s">
        <v>2884</v>
      </c>
      <c r="E1246" s="3" t="s">
        <v>42</v>
      </c>
      <c r="F1246" s="3" t="s">
        <v>1375</v>
      </c>
      <c r="G1246" s="3" t="s">
        <v>1376</v>
      </c>
      <c r="H1246" s="3" t="s">
        <v>45</v>
      </c>
      <c r="I1246" s="3" t="s">
        <v>32</v>
      </c>
      <c r="J1246" s="3" t="s">
        <v>873</v>
      </c>
      <c r="K1246" s="3" t="s">
        <v>387</v>
      </c>
      <c r="L1246" s="3" t="s">
        <v>35</v>
      </c>
      <c r="M1246" s="3" t="s">
        <v>683</v>
      </c>
      <c r="N1246" s="3" t="s">
        <v>37</v>
      </c>
      <c r="O1246" s="3" t="s">
        <v>136</v>
      </c>
      <c r="P1246" s="3" t="s">
        <v>684</v>
      </c>
      <c r="Q1246" s="5" t="n">
        <v>10467.12</v>
      </c>
      <c r="R1246" s="3" t="n">
        <v>13</v>
      </c>
      <c r="S1246" s="6" t="n">
        <v>0</v>
      </c>
      <c r="T1246" s="5" t="n">
        <v>2618.62</v>
      </c>
      <c r="U1246" s="3" t="str">
        <f aca="false">IF(T1246&lt;0,"Loss",IF(T1246=0,"Break-even","Profit"))</f>
        <v>Profit</v>
      </c>
      <c r="V1246" s="3" t="str">
        <f aca="false">IF(Q1246&lt;100,"Low",IF(Q1246&lt;=500,"Medium","High"))</f>
        <v>High</v>
      </c>
      <c r="W1246" s="3" t="n">
        <f aca="false">D1246-C1246</f>
        <v>1</v>
      </c>
      <c r="X1246" s="3" t="str">
        <f aca="false">TEXT(C1246,"mmmm")</f>
        <v>May</v>
      </c>
      <c r="Y1246" s="3" t="str">
        <f aca="false">LEFT(G1246,1)&amp;MID(G1246,FIND(" ",G1246)+1,1)</f>
        <v>JK</v>
      </c>
    </row>
    <row r="1247" customFormat="false" ht="15" hidden="false" customHeight="false" outlineLevel="0" collapsed="false">
      <c r="A1247" s="3" t="n">
        <v>1246</v>
      </c>
      <c r="B1247" s="3" t="s">
        <v>2893</v>
      </c>
      <c r="C1247" s="4" t="s">
        <v>2892</v>
      </c>
      <c r="D1247" s="4" t="s">
        <v>2890</v>
      </c>
      <c r="E1247" s="3" t="s">
        <v>42</v>
      </c>
      <c r="F1247" s="3" t="s">
        <v>332</v>
      </c>
      <c r="G1247" s="3" t="s">
        <v>333</v>
      </c>
      <c r="H1247" s="3" t="s">
        <v>56</v>
      </c>
      <c r="I1247" s="3" t="s">
        <v>32</v>
      </c>
      <c r="J1247" s="3" t="s">
        <v>148</v>
      </c>
      <c r="K1247" s="3" t="s">
        <v>78</v>
      </c>
      <c r="L1247" s="3" t="s">
        <v>59</v>
      </c>
      <c r="M1247" s="3" t="s">
        <v>470</v>
      </c>
      <c r="N1247" s="3" t="s">
        <v>49</v>
      </c>
      <c r="O1247" s="3" t="s">
        <v>159</v>
      </c>
      <c r="P1247" s="3" t="s">
        <v>471</v>
      </c>
      <c r="Q1247" s="5" t="n">
        <v>86.36</v>
      </c>
      <c r="R1247" s="3" t="n">
        <v>4</v>
      </c>
      <c r="S1247" s="6" t="n">
        <v>0.4</v>
      </c>
      <c r="T1247" s="5" t="n">
        <v>5.66</v>
      </c>
      <c r="U1247" s="3" t="str">
        <f aca="false">IF(T1247&lt;0,"Loss",IF(T1247=0,"Break-even","Profit"))</f>
        <v>Profit</v>
      </c>
      <c r="V1247" s="3" t="str">
        <f aca="false">IF(Q1247&lt;100,"Low",IF(Q1247&lt;=500,"Medium","High"))</f>
        <v>Low</v>
      </c>
      <c r="W1247" s="3" t="n">
        <f aca="false">D1247-C1247</f>
        <v>2</v>
      </c>
      <c r="X1247" s="3" t="str">
        <f aca="false">TEXT(C1247,"mmmm")</f>
        <v>May</v>
      </c>
      <c r="Y1247" s="3" t="str">
        <f aca="false">LEFT(G1247,1)&amp;MID(G1247,FIND(" ",G1247)+1,1)</f>
        <v>AM</v>
      </c>
    </row>
    <row r="1248" customFormat="false" ht="15" hidden="false" customHeight="false" outlineLevel="0" collapsed="false">
      <c r="A1248" s="3" t="n">
        <v>1247</v>
      </c>
      <c r="B1248" s="3" t="s">
        <v>2894</v>
      </c>
      <c r="C1248" s="4" t="s">
        <v>2892</v>
      </c>
      <c r="D1248" s="4" t="s">
        <v>2888</v>
      </c>
      <c r="E1248" s="3" t="s">
        <v>28</v>
      </c>
      <c r="F1248" s="3" t="s">
        <v>1870</v>
      </c>
      <c r="G1248" s="3" t="s">
        <v>1871</v>
      </c>
      <c r="H1248" s="3" t="s">
        <v>56</v>
      </c>
      <c r="I1248" s="3" t="s">
        <v>32</v>
      </c>
      <c r="J1248" s="3" t="s">
        <v>476</v>
      </c>
      <c r="K1248" s="3" t="s">
        <v>366</v>
      </c>
      <c r="L1248" s="3" t="s">
        <v>157</v>
      </c>
      <c r="M1248" s="3" t="s">
        <v>447</v>
      </c>
      <c r="N1248" s="3" t="s">
        <v>89</v>
      </c>
      <c r="O1248" s="3" t="s">
        <v>323</v>
      </c>
      <c r="P1248" s="3" t="s">
        <v>448</v>
      </c>
      <c r="Q1248" s="5" t="n">
        <v>699.95</v>
      </c>
      <c r="R1248" s="3" t="n">
        <v>1</v>
      </c>
      <c r="S1248" s="6" t="n">
        <v>0</v>
      </c>
      <c r="T1248" s="5" t="n">
        <v>235.09</v>
      </c>
      <c r="U1248" s="3" t="str">
        <f aca="false">IF(T1248&lt;0,"Loss",IF(T1248=0,"Break-even","Profit"))</f>
        <v>Profit</v>
      </c>
      <c r="V1248" s="3" t="str">
        <f aca="false">IF(Q1248&lt;100,"Low",IF(Q1248&lt;=500,"Medium","High"))</f>
        <v>High</v>
      </c>
      <c r="W1248" s="3" t="n">
        <f aca="false">D1248-C1248</f>
        <v>4</v>
      </c>
      <c r="X1248" s="3" t="str">
        <f aca="false">TEXT(C1248,"mmmm")</f>
        <v>May</v>
      </c>
      <c r="Y1248" s="3" t="str">
        <f aca="false">LEFT(G1248,1)&amp;MID(G1248,FIND(" ",G1248)+1,1)</f>
        <v>PK</v>
      </c>
    </row>
    <row r="1249" customFormat="false" ht="15" hidden="false" customHeight="false" outlineLevel="0" collapsed="false">
      <c r="A1249" s="3" t="n">
        <v>1248</v>
      </c>
      <c r="B1249" s="3" t="s">
        <v>2724</v>
      </c>
      <c r="C1249" s="4" t="s">
        <v>2884</v>
      </c>
      <c r="D1249" s="4" t="s">
        <v>2887</v>
      </c>
      <c r="E1249" s="3" t="s">
        <v>84</v>
      </c>
      <c r="F1249" s="3" t="s">
        <v>235</v>
      </c>
      <c r="G1249" s="3" t="s">
        <v>236</v>
      </c>
      <c r="H1249" s="3" t="s">
        <v>45</v>
      </c>
      <c r="I1249" s="3" t="s">
        <v>32</v>
      </c>
      <c r="J1249" s="3" t="s">
        <v>208</v>
      </c>
      <c r="K1249" s="3" t="s">
        <v>134</v>
      </c>
      <c r="L1249" s="3" t="s">
        <v>69</v>
      </c>
      <c r="M1249" s="3" t="s">
        <v>121</v>
      </c>
      <c r="N1249" s="3" t="s">
        <v>49</v>
      </c>
      <c r="O1249" s="3" t="s">
        <v>50</v>
      </c>
      <c r="P1249" s="3" t="s">
        <v>122</v>
      </c>
      <c r="Q1249" s="5" t="n">
        <v>875.13</v>
      </c>
      <c r="R1249" s="3" t="n">
        <v>8</v>
      </c>
      <c r="S1249" s="6" t="n">
        <v>0.1</v>
      </c>
      <c r="T1249" s="5" t="n">
        <v>0.15</v>
      </c>
      <c r="U1249" s="3" t="str">
        <f aca="false">IF(T1249&lt;0,"Loss",IF(T1249=0,"Break-even","Profit"))</f>
        <v>Profit</v>
      </c>
      <c r="V1249" s="3" t="str">
        <f aca="false">IF(Q1249&lt;100,"Low",IF(Q1249&lt;=500,"Medium","High"))</f>
        <v>High</v>
      </c>
      <c r="W1249" s="3" t="n">
        <f aca="false">D1249-C1249</f>
        <v>2</v>
      </c>
      <c r="X1249" s="3" t="str">
        <f aca="false">TEXT(C1249,"mmmm")</f>
        <v>May</v>
      </c>
      <c r="Y1249" s="3" t="str">
        <f aca="false">LEFT(G1249,1)&amp;MID(G1249,FIND(" ",G1249)+1,1)</f>
        <v>WR</v>
      </c>
    </row>
    <row r="1250" customFormat="false" ht="15" hidden="false" customHeight="false" outlineLevel="0" collapsed="false">
      <c r="A1250" s="3" t="n">
        <v>1249</v>
      </c>
      <c r="B1250" s="3" t="s">
        <v>2895</v>
      </c>
      <c r="C1250" s="4" t="s">
        <v>2884</v>
      </c>
      <c r="D1250" s="4" t="s">
        <v>2888</v>
      </c>
      <c r="E1250" s="3" t="s">
        <v>28</v>
      </c>
      <c r="F1250" s="3" t="s">
        <v>647</v>
      </c>
      <c r="G1250" s="3" t="s">
        <v>648</v>
      </c>
      <c r="H1250" s="3" t="s">
        <v>31</v>
      </c>
      <c r="I1250" s="3" t="s">
        <v>32</v>
      </c>
      <c r="J1250" s="3" t="s">
        <v>46</v>
      </c>
      <c r="K1250" s="3" t="s">
        <v>47</v>
      </c>
      <c r="L1250" s="3" t="s">
        <v>35</v>
      </c>
      <c r="M1250" s="3" t="s">
        <v>149</v>
      </c>
      <c r="N1250" s="3" t="s">
        <v>49</v>
      </c>
      <c r="O1250" s="3" t="s">
        <v>150</v>
      </c>
      <c r="P1250" s="3" t="s">
        <v>151</v>
      </c>
      <c r="Q1250" s="5" t="n">
        <v>163.87</v>
      </c>
      <c r="R1250" s="3" t="n">
        <v>10</v>
      </c>
      <c r="S1250" s="6" t="n">
        <v>0.1</v>
      </c>
      <c r="T1250" s="5" t="n">
        <v>-22.81</v>
      </c>
      <c r="U1250" s="3" t="str">
        <f aca="false">IF(T1250&lt;0,"Loss",IF(T1250=0,"Break-even","Profit"))</f>
        <v>Loss</v>
      </c>
      <c r="V1250" s="3" t="str">
        <f aca="false">IF(Q1250&lt;100,"Low",IF(Q1250&lt;=500,"Medium","High"))</f>
        <v>Medium</v>
      </c>
      <c r="W1250" s="3" t="n">
        <f aca="false">D1250-C1250</f>
        <v>3</v>
      </c>
      <c r="X1250" s="3" t="str">
        <f aca="false">TEXT(C1250,"mmmm")</f>
        <v>May</v>
      </c>
      <c r="Y1250" s="3" t="str">
        <f aca="false">LEFT(G1250,1)&amp;MID(G1250,FIND(" ",G1250)+1,1)</f>
        <v>MS</v>
      </c>
    </row>
    <row r="1251" customFormat="false" ht="15" hidden="false" customHeight="false" outlineLevel="0" collapsed="false">
      <c r="A1251" s="3" t="n">
        <v>1250</v>
      </c>
      <c r="B1251" s="3" t="s">
        <v>2896</v>
      </c>
      <c r="C1251" s="4" t="s">
        <v>2884</v>
      </c>
      <c r="D1251" s="4" t="s">
        <v>2897</v>
      </c>
      <c r="E1251" s="3" t="s">
        <v>28</v>
      </c>
      <c r="F1251" s="3" t="s">
        <v>925</v>
      </c>
      <c r="G1251" s="3" t="s">
        <v>926</v>
      </c>
      <c r="H1251" s="3" t="s">
        <v>31</v>
      </c>
      <c r="I1251" s="3" t="s">
        <v>32</v>
      </c>
      <c r="J1251" s="3" t="s">
        <v>215</v>
      </c>
      <c r="K1251" s="3" t="s">
        <v>34</v>
      </c>
      <c r="L1251" s="3" t="s">
        <v>35</v>
      </c>
      <c r="M1251" s="3" t="s">
        <v>237</v>
      </c>
      <c r="N1251" s="3" t="s">
        <v>49</v>
      </c>
      <c r="O1251" s="3" t="s">
        <v>220</v>
      </c>
      <c r="P1251" s="3" t="s">
        <v>238</v>
      </c>
      <c r="Q1251" s="5" t="n">
        <v>370.94</v>
      </c>
      <c r="R1251" s="3" t="n">
        <v>6</v>
      </c>
      <c r="S1251" s="6" t="n">
        <v>0</v>
      </c>
      <c r="T1251" s="5" t="n">
        <v>52.78</v>
      </c>
      <c r="U1251" s="3" t="str">
        <f aca="false">IF(T1251&lt;0,"Loss",IF(T1251=0,"Break-even","Profit"))</f>
        <v>Profit</v>
      </c>
      <c r="V1251" s="3" t="str">
        <f aca="false">IF(Q1251&lt;100,"Low",IF(Q1251&lt;=500,"Medium","High"))</f>
        <v>Medium</v>
      </c>
      <c r="W1251" s="3" t="n">
        <f aca="false">D1251-C1251</f>
        <v>7</v>
      </c>
      <c r="X1251" s="3" t="str">
        <f aca="false">TEXT(C1251,"mmmm")</f>
        <v>May</v>
      </c>
      <c r="Y1251" s="3" t="str">
        <f aca="false">LEFT(G1251,1)&amp;MID(G1251,FIND(" ",G1251)+1,1)</f>
        <v>JG</v>
      </c>
    </row>
    <row r="1252" customFormat="false" ht="15" hidden="false" customHeight="false" outlineLevel="0" collapsed="false">
      <c r="A1252" s="3" t="n">
        <v>1251</v>
      </c>
      <c r="B1252" s="3" t="s">
        <v>2898</v>
      </c>
      <c r="C1252" s="4" t="s">
        <v>2884</v>
      </c>
      <c r="D1252" s="4" t="s">
        <v>2899</v>
      </c>
      <c r="E1252" s="3" t="s">
        <v>28</v>
      </c>
      <c r="F1252" s="3" t="s">
        <v>2354</v>
      </c>
      <c r="G1252" s="3" t="s">
        <v>2355</v>
      </c>
      <c r="H1252" s="3" t="s">
        <v>56</v>
      </c>
      <c r="I1252" s="3" t="s">
        <v>32</v>
      </c>
      <c r="J1252" s="3" t="s">
        <v>548</v>
      </c>
      <c r="K1252" s="3" t="s">
        <v>244</v>
      </c>
      <c r="L1252" s="3" t="s">
        <v>157</v>
      </c>
      <c r="M1252" s="3" t="s">
        <v>121</v>
      </c>
      <c r="N1252" s="3" t="s">
        <v>49</v>
      </c>
      <c r="O1252" s="3" t="s">
        <v>50</v>
      </c>
      <c r="P1252" s="3" t="s">
        <v>122</v>
      </c>
      <c r="Q1252" s="5" t="n">
        <v>112.5</v>
      </c>
      <c r="R1252" s="3" t="n">
        <v>4</v>
      </c>
      <c r="S1252" s="6" t="n">
        <v>0</v>
      </c>
      <c r="T1252" s="5" t="n">
        <v>39.19</v>
      </c>
      <c r="U1252" s="3" t="str">
        <f aca="false">IF(T1252&lt;0,"Loss",IF(T1252=0,"Break-even","Profit"))</f>
        <v>Profit</v>
      </c>
      <c r="V1252" s="3" t="str">
        <f aca="false">IF(Q1252&lt;100,"Low",IF(Q1252&lt;=500,"Medium","High"))</f>
        <v>Medium</v>
      </c>
      <c r="W1252" s="3" t="n">
        <f aca="false">D1252-C1252</f>
        <v>5</v>
      </c>
      <c r="X1252" s="3" t="str">
        <f aca="false">TEXT(C1252,"mmmm")</f>
        <v>May</v>
      </c>
      <c r="Y1252" s="3" t="str">
        <f aca="false">LEFT(G1252,1)&amp;MID(G1252,FIND(" ",G1252)+1,1)</f>
        <v>PS</v>
      </c>
    </row>
    <row r="1253" customFormat="false" ht="15" hidden="false" customHeight="false" outlineLevel="0" collapsed="false">
      <c r="A1253" s="3" t="n">
        <v>1252</v>
      </c>
      <c r="B1253" s="3" t="s">
        <v>2900</v>
      </c>
      <c r="C1253" s="4" t="s">
        <v>2890</v>
      </c>
      <c r="D1253" s="4" t="s">
        <v>2901</v>
      </c>
      <c r="E1253" s="3" t="s">
        <v>28</v>
      </c>
      <c r="F1253" s="3" t="s">
        <v>140</v>
      </c>
      <c r="G1253" s="3" t="s">
        <v>141</v>
      </c>
      <c r="H1253" s="3" t="s">
        <v>31</v>
      </c>
      <c r="I1253" s="3" t="s">
        <v>32</v>
      </c>
      <c r="J1253" s="3" t="s">
        <v>208</v>
      </c>
      <c r="K1253" s="3" t="s">
        <v>134</v>
      </c>
      <c r="L1253" s="3" t="s">
        <v>69</v>
      </c>
      <c r="M1253" s="3" t="s">
        <v>158</v>
      </c>
      <c r="N1253" s="3" t="s">
        <v>49</v>
      </c>
      <c r="O1253" s="3" t="s">
        <v>159</v>
      </c>
      <c r="P1253" s="3" t="s">
        <v>160</v>
      </c>
      <c r="Q1253" s="5" t="n">
        <v>1286.94</v>
      </c>
      <c r="R1253" s="3" t="n">
        <v>12</v>
      </c>
      <c r="S1253" s="6" t="n">
        <v>0.2</v>
      </c>
      <c r="T1253" s="5" t="n">
        <v>198.73</v>
      </c>
      <c r="U1253" s="3" t="str">
        <f aca="false">IF(T1253&lt;0,"Loss",IF(T1253=0,"Break-even","Profit"))</f>
        <v>Profit</v>
      </c>
      <c r="V1253" s="3" t="str">
        <f aca="false">IF(Q1253&lt;100,"Low",IF(Q1253&lt;=500,"Medium","High"))</f>
        <v>High</v>
      </c>
      <c r="W1253" s="3" t="n">
        <f aca="false">D1253-C1253</f>
        <v>7</v>
      </c>
      <c r="X1253" s="3" t="str">
        <f aca="false">TEXT(C1253,"mmmm")</f>
        <v>May</v>
      </c>
      <c r="Y1253" s="3" t="str">
        <f aca="false">LEFT(G1253,1)&amp;MID(G1253,FIND(" ",G1253)+1,1)</f>
        <v>MW</v>
      </c>
    </row>
    <row r="1254" customFormat="false" ht="15" hidden="false" customHeight="false" outlineLevel="0" collapsed="false">
      <c r="A1254" s="3" t="n">
        <v>1253</v>
      </c>
      <c r="B1254" s="3" t="s">
        <v>2902</v>
      </c>
      <c r="C1254" s="4" t="s">
        <v>2890</v>
      </c>
      <c r="D1254" s="4" t="s">
        <v>2899</v>
      </c>
      <c r="E1254" s="3" t="s">
        <v>28</v>
      </c>
      <c r="F1254" s="3" t="s">
        <v>1070</v>
      </c>
      <c r="G1254" s="3" t="s">
        <v>1071</v>
      </c>
      <c r="H1254" s="3" t="s">
        <v>56</v>
      </c>
      <c r="I1254" s="3" t="s">
        <v>32</v>
      </c>
      <c r="J1254" s="3" t="s">
        <v>616</v>
      </c>
      <c r="K1254" s="3" t="s">
        <v>156</v>
      </c>
      <c r="L1254" s="3" t="s">
        <v>157</v>
      </c>
      <c r="M1254" s="3" t="s">
        <v>173</v>
      </c>
      <c r="N1254" s="3" t="s">
        <v>89</v>
      </c>
      <c r="O1254" s="3" t="s">
        <v>174</v>
      </c>
      <c r="P1254" s="3" t="s">
        <v>175</v>
      </c>
      <c r="Q1254" s="5" t="n">
        <v>4026.68</v>
      </c>
      <c r="R1254" s="3" t="n">
        <v>10</v>
      </c>
      <c r="S1254" s="6" t="n">
        <v>0.1</v>
      </c>
      <c r="T1254" s="5" t="n">
        <v>-656.52</v>
      </c>
      <c r="U1254" s="3" t="str">
        <f aca="false">IF(T1254&lt;0,"Loss",IF(T1254=0,"Break-even","Profit"))</f>
        <v>Loss</v>
      </c>
      <c r="V1254" s="3" t="str">
        <f aca="false">IF(Q1254&lt;100,"Low",IF(Q1254&lt;=500,"Medium","High"))</f>
        <v>High</v>
      </c>
      <c r="W1254" s="3" t="n">
        <f aca="false">D1254-C1254</f>
        <v>4</v>
      </c>
      <c r="X1254" s="3" t="str">
        <f aca="false">TEXT(C1254,"mmmm")</f>
        <v>May</v>
      </c>
      <c r="Y1254" s="3" t="str">
        <f aca="false">LEFT(G1254,1)&amp;MID(G1254,FIND(" ",G1254)+1,1)</f>
        <v>PB</v>
      </c>
    </row>
    <row r="1255" customFormat="false" ht="15" hidden="false" customHeight="false" outlineLevel="0" collapsed="false">
      <c r="A1255" s="3" t="n">
        <v>1254</v>
      </c>
      <c r="B1255" s="3" t="s">
        <v>2903</v>
      </c>
      <c r="C1255" s="4" t="s">
        <v>2887</v>
      </c>
      <c r="D1255" s="4" t="s">
        <v>2901</v>
      </c>
      <c r="E1255" s="3" t="s">
        <v>28</v>
      </c>
      <c r="F1255" s="3" t="s">
        <v>522</v>
      </c>
      <c r="G1255" s="3" t="s">
        <v>523</v>
      </c>
      <c r="H1255" s="3" t="s">
        <v>56</v>
      </c>
      <c r="I1255" s="3" t="s">
        <v>32</v>
      </c>
      <c r="J1255" s="3" t="s">
        <v>120</v>
      </c>
      <c r="K1255" s="3" t="s">
        <v>113</v>
      </c>
      <c r="L1255" s="3" t="s">
        <v>69</v>
      </c>
      <c r="M1255" s="3" t="s">
        <v>420</v>
      </c>
      <c r="N1255" s="3" t="s">
        <v>49</v>
      </c>
      <c r="O1255" s="3" t="s">
        <v>80</v>
      </c>
      <c r="P1255" s="3" t="s">
        <v>421</v>
      </c>
      <c r="Q1255" s="5" t="n">
        <v>193.72</v>
      </c>
      <c r="R1255" s="3" t="n">
        <v>5</v>
      </c>
      <c r="S1255" s="6" t="n">
        <v>0</v>
      </c>
      <c r="T1255" s="5" t="n">
        <v>-24.61</v>
      </c>
      <c r="U1255" s="3" t="str">
        <f aca="false">IF(T1255&lt;0,"Loss",IF(T1255=0,"Break-even","Profit"))</f>
        <v>Loss</v>
      </c>
      <c r="V1255" s="3" t="str">
        <f aca="false">IF(Q1255&lt;100,"Low",IF(Q1255&lt;=500,"Medium","High"))</f>
        <v>Medium</v>
      </c>
      <c r="W1255" s="3" t="n">
        <f aca="false">D1255-C1255</f>
        <v>6</v>
      </c>
      <c r="X1255" s="3" t="str">
        <f aca="false">TEXT(C1255,"mmmm")</f>
        <v>May</v>
      </c>
      <c r="Y1255" s="3" t="str">
        <f aca="false">LEFT(G1255,1)&amp;MID(G1255,FIND(" ",G1255)+1,1)</f>
        <v>JS</v>
      </c>
    </row>
    <row r="1256" customFormat="false" ht="15" hidden="false" customHeight="false" outlineLevel="0" collapsed="false">
      <c r="A1256" s="3" t="n">
        <v>1255</v>
      </c>
      <c r="B1256" s="3" t="s">
        <v>2904</v>
      </c>
      <c r="C1256" s="4" t="s">
        <v>2905</v>
      </c>
      <c r="D1256" s="4" t="s">
        <v>2906</v>
      </c>
      <c r="E1256" s="3" t="s">
        <v>42</v>
      </c>
      <c r="F1256" s="3" t="s">
        <v>283</v>
      </c>
      <c r="G1256" s="3" t="s">
        <v>284</v>
      </c>
      <c r="H1256" s="3" t="s">
        <v>45</v>
      </c>
      <c r="I1256" s="3" t="s">
        <v>32</v>
      </c>
      <c r="J1256" s="3" t="s">
        <v>33</v>
      </c>
      <c r="K1256" s="3" t="s">
        <v>34</v>
      </c>
      <c r="L1256" s="3" t="s">
        <v>35</v>
      </c>
      <c r="M1256" s="3" t="s">
        <v>316</v>
      </c>
      <c r="N1256" s="3" t="s">
        <v>49</v>
      </c>
      <c r="O1256" s="3" t="s">
        <v>143</v>
      </c>
      <c r="P1256" s="3" t="s">
        <v>317</v>
      </c>
      <c r="Q1256" s="5" t="n">
        <v>656.94</v>
      </c>
      <c r="R1256" s="3" t="n">
        <v>7</v>
      </c>
      <c r="S1256" s="6" t="n">
        <v>0.3</v>
      </c>
      <c r="T1256" s="5" t="n">
        <v>141.59</v>
      </c>
      <c r="U1256" s="3" t="str">
        <f aca="false">IF(T1256&lt;0,"Loss",IF(T1256=0,"Break-even","Profit"))</f>
        <v>Profit</v>
      </c>
      <c r="V1256" s="3" t="str">
        <f aca="false">IF(Q1256&lt;100,"Low",IF(Q1256&lt;=500,"Medium","High"))</f>
        <v>High</v>
      </c>
      <c r="W1256" s="3" t="n">
        <f aca="false">D1256-C1256</f>
        <v>2</v>
      </c>
      <c r="X1256" s="3" t="str">
        <f aca="false">TEXT(C1256,"mmmm")</f>
        <v>May</v>
      </c>
      <c r="Y1256" s="3" t="str">
        <f aca="false">LEFT(G1256,1)&amp;MID(G1256,FIND(" ",G1256)+1,1)</f>
        <v>OS</v>
      </c>
    </row>
    <row r="1257" customFormat="false" ht="15" hidden="false" customHeight="false" outlineLevel="0" collapsed="false">
      <c r="A1257" s="3" t="n">
        <v>1256</v>
      </c>
      <c r="B1257" s="3" t="s">
        <v>2907</v>
      </c>
      <c r="C1257" s="4" t="s">
        <v>2899</v>
      </c>
      <c r="D1257" s="4" t="s">
        <v>2908</v>
      </c>
      <c r="E1257" s="3" t="s">
        <v>28</v>
      </c>
      <c r="F1257" s="3" t="s">
        <v>2470</v>
      </c>
      <c r="G1257" s="3" t="s">
        <v>2471</v>
      </c>
      <c r="H1257" s="3" t="s">
        <v>45</v>
      </c>
      <c r="I1257" s="3" t="s">
        <v>32</v>
      </c>
      <c r="J1257" s="3" t="s">
        <v>112</v>
      </c>
      <c r="K1257" s="3" t="s">
        <v>113</v>
      </c>
      <c r="L1257" s="3" t="s">
        <v>69</v>
      </c>
      <c r="M1257" s="3" t="s">
        <v>79</v>
      </c>
      <c r="N1257" s="3" t="s">
        <v>49</v>
      </c>
      <c r="O1257" s="3" t="s">
        <v>80</v>
      </c>
      <c r="P1257" s="3" t="s">
        <v>81</v>
      </c>
      <c r="Q1257" s="5" t="n">
        <v>97.34</v>
      </c>
      <c r="R1257" s="3" t="n">
        <v>2</v>
      </c>
      <c r="S1257" s="6" t="n">
        <v>0.2</v>
      </c>
      <c r="T1257" s="5" t="n">
        <v>15.47</v>
      </c>
      <c r="U1257" s="3" t="str">
        <f aca="false">IF(T1257&lt;0,"Loss",IF(T1257=0,"Break-even","Profit"))</f>
        <v>Profit</v>
      </c>
      <c r="V1257" s="3" t="str">
        <f aca="false">IF(Q1257&lt;100,"Low",IF(Q1257&lt;=500,"Medium","High"))</f>
        <v>Low</v>
      </c>
      <c r="W1257" s="3" t="n">
        <f aca="false">D1257-C1257</f>
        <v>5</v>
      </c>
      <c r="X1257" s="3" t="str">
        <f aca="false">TEXT(C1257,"mmmm")</f>
        <v>May</v>
      </c>
      <c r="Y1257" s="3" t="str">
        <f aca="false">LEFT(G1257,1)&amp;MID(G1257,FIND(" ",G1257)+1,1)</f>
        <v>LC</v>
      </c>
    </row>
    <row r="1258" customFormat="false" ht="15" hidden="false" customHeight="false" outlineLevel="0" collapsed="false">
      <c r="A1258" s="3" t="n">
        <v>1257</v>
      </c>
      <c r="B1258" s="3" t="s">
        <v>2909</v>
      </c>
      <c r="C1258" s="4" t="s">
        <v>2906</v>
      </c>
      <c r="D1258" s="4" t="s">
        <v>2910</v>
      </c>
      <c r="E1258" s="3" t="s">
        <v>28</v>
      </c>
      <c r="F1258" s="3" t="s">
        <v>223</v>
      </c>
      <c r="G1258" s="3" t="s">
        <v>224</v>
      </c>
      <c r="H1258" s="3" t="s">
        <v>31</v>
      </c>
      <c r="I1258" s="3" t="s">
        <v>32</v>
      </c>
      <c r="J1258" s="3" t="s">
        <v>252</v>
      </c>
      <c r="K1258" s="3" t="s">
        <v>172</v>
      </c>
      <c r="L1258" s="3" t="s">
        <v>157</v>
      </c>
      <c r="M1258" s="3" t="s">
        <v>347</v>
      </c>
      <c r="N1258" s="3" t="s">
        <v>49</v>
      </c>
      <c r="O1258" s="3" t="s">
        <v>220</v>
      </c>
      <c r="P1258" s="3" t="s">
        <v>348</v>
      </c>
      <c r="Q1258" s="5" t="n">
        <v>196.14</v>
      </c>
      <c r="R1258" s="3" t="n">
        <v>14</v>
      </c>
      <c r="S1258" s="6" t="n">
        <v>0.3</v>
      </c>
      <c r="T1258" s="5" t="n">
        <v>-48.21</v>
      </c>
      <c r="U1258" s="3" t="str">
        <f aca="false">IF(T1258&lt;0,"Loss",IF(T1258=0,"Break-even","Profit"))</f>
        <v>Loss</v>
      </c>
      <c r="V1258" s="3" t="str">
        <f aca="false">IF(Q1258&lt;100,"Low",IF(Q1258&lt;=500,"Medium","High"))</f>
        <v>Medium</v>
      </c>
      <c r="W1258" s="3" t="n">
        <f aca="false">D1258-C1258</f>
        <v>5</v>
      </c>
      <c r="X1258" s="3" t="str">
        <f aca="false">TEXT(C1258,"mmmm")</f>
        <v>May</v>
      </c>
      <c r="Y1258" s="3" t="str">
        <f aca="false">LEFT(G1258,1)&amp;MID(G1258,FIND(" ",G1258)+1,1)</f>
        <v>RK</v>
      </c>
    </row>
    <row r="1259" customFormat="false" ht="15" hidden="false" customHeight="false" outlineLevel="0" collapsed="false">
      <c r="A1259" s="3" t="n">
        <v>1258</v>
      </c>
      <c r="B1259" s="3" t="s">
        <v>2911</v>
      </c>
      <c r="C1259" s="4" t="s">
        <v>2897</v>
      </c>
      <c r="D1259" s="4" t="s">
        <v>2912</v>
      </c>
      <c r="E1259" s="3" t="s">
        <v>28</v>
      </c>
      <c r="F1259" s="3" t="s">
        <v>246</v>
      </c>
      <c r="G1259" s="3" t="s">
        <v>247</v>
      </c>
      <c r="H1259" s="3" t="s">
        <v>56</v>
      </c>
      <c r="I1259" s="3" t="s">
        <v>32</v>
      </c>
      <c r="J1259" s="3" t="s">
        <v>616</v>
      </c>
      <c r="K1259" s="3" t="s">
        <v>156</v>
      </c>
      <c r="L1259" s="3" t="s">
        <v>157</v>
      </c>
      <c r="M1259" s="3" t="s">
        <v>253</v>
      </c>
      <c r="N1259" s="3" t="s">
        <v>89</v>
      </c>
      <c r="O1259" s="3" t="s">
        <v>90</v>
      </c>
      <c r="P1259" s="3" t="s">
        <v>254</v>
      </c>
      <c r="Q1259" s="5" t="n">
        <v>1564.22</v>
      </c>
      <c r="R1259" s="3" t="n">
        <v>5</v>
      </c>
      <c r="S1259" s="6" t="n">
        <v>0.2</v>
      </c>
      <c r="T1259" s="5" t="n">
        <v>144.86</v>
      </c>
      <c r="U1259" s="3" t="str">
        <f aca="false">IF(T1259&lt;0,"Loss",IF(T1259=0,"Break-even","Profit"))</f>
        <v>Profit</v>
      </c>
      <c r="V1259" s="3" t="str">
        <f aca="false">IF(Q1259&lt;100,"Low",IF(Q1259&lt;=500,"Medium","High"))</f>
        <v>High</v>
      </c>
      <c r="W1259" s="3" t="n">
        <f aca="false">D1259-C1259</f>
        <v>7</v>
      </c>
      <c r="X1259" s="3" t="str">
        <f aca="false">TEXT(C1259,"mmmm")</f>
        <v>May</v>
      </c>
      <c r="Y1259" s="3" t="str">
        <f aca="false">LEFT(G1259,1)&amp;MID(G1259,FIND(" ",G1259)+1,1)</f>
        <v>JN</v>
      </c>
    </row>
    <row r="1260" customFormat="false" ht="15" hidden="false" customHeight="false" outlineLevel="0" collapsed="false">
      <c r="A1260" s="3" t="n">
        <v>1259</v>
      </c>
      <c r="B1260" s="3" t="s">
        <v>2913</v>
      </c>
      <c r="C1260" s="4" t="s">
        <v>2901</v>
      </c>
      <c r="D1260" s="4" t="s">
        <v>2910</v>
      </c>
      <c r="E1260" s="3" t="s">
        <v>28</v>
      </c>
      <c r="F1260" s="3" t="s">
        <v>656</v>
      </c>
      <c r="G1260" s="3" t="s">
        <v>657</v>
      </c>
      <c r="H1260" s="3" t="s">
        <v>45</v>
      </c>
      <c r="I1260" s="3" t="s">
        <v>32</v>
      </c>
      <c r="J1260" s="3" t="s">
        <v>548</v>
      </c>
      <c r="K1260" s="3" t="s">
        <v>244</v>
      </c>
      <c r="L1260" s="3" t="s">
        <v>157</v>
      </c>
      <c r="M1260" s="3" t="s">
        <v>195</v>
      </c>
      <c r="N1260" s="3" t="s">
        <v>37</v>
      </c>
      <c r="O1260" s="3" t="s">
        <v>196</v>
      </c>
      <c r="P1260" s="3" t="s">
        <v>197</v>
      </c>
      <c r="Q1260" s="5" t="n">
        <v>13097.92</v>
      </c>
      <c r="R1260" s="3" t="n">
        <v>8</v>
      </c>
      <c r="S1260" s="6" t="n">
        <v>0.1</v>
      </c>
      <c r="T1260" s="5" t="n">
        <v>3527.55</v>
      </c>
      <c r="U1260" s="3" t="str">
        <f aca="false">IF(T1260&lt;0,"Loss",IF(T1260=0,"Break-even","Profit"))</f>
        <v>Profit</v>
      </c>
      <c r="V1260" s="3" t="str">
        <f aca="false">IF(Q1260&lt;100,"Low",IF(Q1260&lt;=500,"Medium","High"))</f>
        <v>High</v>
      </c>
      <c r="W1260" s="3" t="n">
        <f aca="false">D1260-C1260</f>
        <v>3</v>
      </c>
      <c r="X1260" s="3" t="str">
        <f aca="false">TEXT(C1260,"mmmm")</f>
        <v>May</v>
      </c>
      <c r="Y1260" s="3" t="str">
        <f aca="false">LEFT(G1260,1)&amp;MID(G1260,FIND(" ",G1260)+1,1)</f>
        <v>MJ</v>
      </c>
    </row>
    <row r="1261" customFormat="false" ht="15" hidden="false" customHeight="false" outlineLevel="0" collapsed="false">
      <c r="A1261" s="3" t="n">
        <v>1260</v>
      </c>
      <c r="B1261" s="3" t="s">
        <v>2914</v>
      </c>
      <c r="C1261" s="4" t="s">
        <v>2915</v>
      </c>
      <c r="D1261" s="4" t="s">
        <v>2916</v>
      </c>
      <c r="E1261" s="3" t="s">
        <v>28</v>
      </c>
      <c r="F1261" s="3" t="s">
        <v>1493</v>
      </c>
      <c r="G1261" s="3" t="s">
        <v>1494</v>
      </c>
      <c r="H1261" s="3" t="s">
        <v>45</v>
      </c>
      <c r="I1261" s="3" t="s">
        <v>32</v>
      </c>
      <c r="J1261" s="3" t="s">
        <v>104</v>
      </c>
      <c r="K1261" s="3" t="s">
        <v>96</v>
      </c>
      <c r="L1261" s="3" t="s">
        <v>59</v>
      </c>
      <c r="M1261" s="3" t="s">
        <v>173</v>
      </c>
      <c r="N1261" s="3" t="s">
        <v>89</v>
      </c>
      <c r="O1261" s="3" t="s">
        <v>174</v>
      </c>
      <c r="P1261" s="3" t="s">
        <v>175</v>
      </c>
      <c r="Q1261" s="5" t="n">
        <v>2466.31</v>
      </c>
      <c r="R1261" s="3" t="n">
        <v>5</v>
      </c>
      <c r="S1261" s="6" t="n">
        <v>0.2</v>
      </c>
      <c r="T1261" s="5" t="n">
        <v>-148.55</v>
      </c>
      <c r="U1261" s="3" t="str">
        <f aca="false">IF(T1261&lt;0,"Loss",IF(T1261=0,"Break-even","Profit"))</f>
        <v>Loss</v>
      </c>
      <c r="V1261" s="3" t="str">
        <f aca="false">IF(Q1261&lt;100,"Low",IF(Q1261&lt;=500,"Medium","High"))</f>
        <v>High</v>
      </c>
      <c r="W1261" s="3" t="n">
        <f aca="false">D1261-C1261</f>
        <v>7</v>
      </c>
      <c r="X1261" s="3" t="str">
        <f aca="false">TEXT(C1261,"mmmm")</f>
        <v>May</v>
      </c>
      <c r="Y1261" s="3" t="str">
        <f aca="false">LEFT(G1261,1)&amp;MID(G1261,FIND(" ",G1261)+1,1)</f>
        <v>DG</v>
      </c>
    </row>
    <row r="1262" customFormat="false" ht="15" hidden="false" customHeight="false" outlineLevel="0" collapsed="false">
      <c r="A1262" s="3" t="n">
        <v>1261</v>
      </c>
      <c r="B1262" s="3" t="s">
        <v>2917</v>
      </c>
      <c r="C1262" s="4" t="s">
        <v>2908</v>
      </c>
      <c r="D1262" s="4" t="s">
        <v>2918</v>
      </c>
      <c r="E1262" s="3" t="s">
        <v>28</v>
      </c>
      <c r="F1262" s="3" t="s">
        <v>694</v>
      </c>
      <c r="G1262" s="3" t="s">
        <v>695</v>
      </c>
      <c r="H1262" s="3" t="s">
        <v>56</v>
      </c>
      <c r="I1262" s="3" t="s">
        <v>32</v>
      </c>
      <c r="J1262" s="3" t="s">
        <v>365</v>
      </c>
      <c r="K1262" s="3" t="s">
        <v>366</v>
      </c>
      <c r="L1262" s="3" t="s">
        <v>157</v>
      </c>
      <c r="M1262" s="3" t="s">
        <v>269</v>
      </c>
      <c r="N1262" s="3" t="s">
        <v>89</v>
      </c>
      <c r="O1262" s="3" t="s">
        <v>174</v>
      </c>
      <c r="P1262" s="3" t="s">
        <v>270</v>
      </c>
      <c r="Q1262" s="5" t="n">
        <v>739.54</v>
      </c>
      <c r="R1262" s="3" t="n">
        <v>8</v>
      </c>
      <c r="S1262" s="6" t="n">
        <v>0</v>
      </c>
      <c r="T1262" s="5" t="n">
        <v>207.66</v>
      </c>
      <c r="U1262" s="3" t="str">
        <f aca="false">IF(T1262&lt;0,"Loss",IF(T1262=0,"Break-even","Profit"))</f>
        <v>Profit</v>
      </c>
      <c r="V1262" s="3" t="str">
        <f aca="false">IF(Q1262&lt;100,"Low",IF(Q1262&lt;=500,"Medium","High"))</f>
        <v>High</v>
      </c>
      <c r="W1262" s="3" t="n">
        <f aca="false">D1262-C1262</f>
        <v>5</v>
      </c>
      <c r="X1262" s="3" t="str">
        <f aca="false">TEXT(C1262,"mmmm")</f>
        <v>May</v>
      </c>
      <c r="Y1262" s="3" t="str">
        <f aca="false">LEFT(G1262,1)&amp;MID(G1262,FIND(" ",G1262)+1,1)</f>
        <v>AA</v>
      </c>
    </row>
    <row r="1263" customFormat="false" ht="15" hidden="false" customHeight="false" outlineLevel="0" collapsed="false">
      <c r="A1263" s="3" t="n">
        <v>1262</v>
      </c>
      <c r="B1263" s="3" t="s">
        <v>2919</v>
      </c>
      <c r="C1263" s="4" t="s">
        <v>2908</v>
      </c>
      <c r="D1263" s="4" t="s">
        <v>2912</v>
      </c>
      <c r="E1263" s="3" t="s">
        <v>84</v>
      </c>
      <c r="F1263" s="3" t="s">
        <v>1140</v>
      </c>
      <c r="G1263" s="3" t="s">
        <v>1141</v>
      </c>
      <c r="H1263" s="3" t="s">
        <v>56</v>
      </c>
      <c r="I1263" s="3" t="s">
        <v>32</v>
      </c>
      <c r="J1263" s="3" t="s">
        <v>208</v>
      </c>
      <c r="K1263" s="3" t="s">
        <v>134</v>
      </c>
      <c r="L1263" s="3" t="s">
        <v>69</v>
      </c>
      <c r="M1263" s="3" t="s">
        <v>420</v>
      </c>
      <c r="N1263" s="3" t="s">
        <v>49</v>
      </c>
      <c r="O1263" s="3" t="s">
        <v>80</v>
      </c>
      <c r="P1263" s="3" t="s">
        <v>421</v>
      </c>
      <c r="Q1263" s="5" t="n">
        <v>19.17</v>
      </c>
      <c r="R1263" s="3" t="n">
        <v>8</v>
      </c>
      <c r="S1263" s="6" t="n">
        <v>0.4</v>
      </c>
      <c r="T1263" s="5" t="n">
        <v>4.05</v>
      </c>
      <c r="U1263" s="3" t="str">
        <f aca="false">IF(T1263&lt;0,"Loss",IF(T1263=0,"Break-even","Profit"))</f>
        <v>Profit</v>
      </c>
      <c r="V1263" s="3" t="str">
        <f aca="false">IF(Q1263&lt;100,"Low",IF(Q1263&lt;=500,"Medium","High"))</f>
        <v>Low</v>
      </c>
      <c r="W1263" s="3" t="n">
        <f aca="false">D1263-C1263</f>
        <v>4</v>
      </c>
      <c r="X1263" s="3" t="str">
        <f aca="false">TEXT(C1263,"mmmm")</f>
        <v>May</v>
      </c>
      <c r="Y1263" s="3" t="str">
        <f aca="false">LEFT(G1263,1)&amp;MID(G1263,FIND(" ",G1263)+1,1)</f>
        <v>MS</v>
      </c>
    </row>
    <row r="1264" customFormat="false" ht="15" hidden="false" customHeight="false" outlineLevel="0" collapsed="false">
      <c r="A1264" s="3" t="n">
        <v>1263</v>
      </c>
      <c r="B1264" s="3" t="s">
        <v>2920</v>
      </c>
      <c r="C1264" s="4" t="s">
        <v>2910</v>
      </c>
      <c r="D1264" s="4" t="s">
        <v>2916</v>
      </c>
      <c r="E1264" s="3" t="s">
        <v>28</v>
      </c>
      <c r="F1264" s="3" t="s">
        <v>2921</v>
      </c>
      <c r="G1264" s="3" t="s">
        <v>2922</v>
      </c>
      <c r="H1264" s="3" t="s">
        <v>45</v>
      </c>
      <c r="I1264" s="3" t="s">
        <v>32</v>
      </c>
      <c r="J1264" s="3" t="s">
        <v>299</v>
      </c>
      <c r="K1264" s="3" t="s">
        <v>189</v>
      </c>
      <c r="L1264" s="3" t="s">
        <v>59</v>
      </c>
      <c r="M1264" s="3" t="s">
        <v>135</v>
      </c>
      <c r="N1264" s="3" t="s">
        <v>37</v>
      </c>
      <c r="O1264" s="3" t="s">
        <v>136</v>
      </c>
      <c r="P1264" s="3" t="s">
        <v>137</v>
      </c>
      <c r="Q1264" s="5" t="n">
        <v>5105.27</v>
      </c>
      <c r="R1264" s="3" t="n">
        <v>3</v>
      </c>
      <c r="S1264" s="6" t="n">
        <v>0</v>
      </c>
      <c r="T1264" s="5" t="n">
        <v>-886.3</v>
      </c>
      <c r="U1264" s="3" t="str">
        <f aca="false">IF(T1264&lt;0,"Loss",IF(T1264=0,"Break-even","Profit"))</f>
        <v>Loss</v>
      </c>
      <c r="V1264" s="3" t="str">
        <f aca="false">IF(Q1264&lt;100,"Low",IF(Q1264&lt;=500,"Medium","High"))</f>
        <v>High</v>
      </c>
      <c r="W1264" s="3" t="n">
        <f aca="false">D1264-C1264</f>
        <v>5</v>
      </c>
      <c r="X1264" s="3" t="str">
        <f aca="false">TEXT(C1264,"mmmm")</f>
        <v>May</v>
      </c>
      <c r="Y1264" s="3" t="str">
        <f aca="false">LEFT(G1264,1)&amp;MID(G1264,FIND(" ",G1264)+1,1)</f>
        <v>MM</v>
      </c>
    </row>
    <row r="1265" customFormat="false" ht="15" hidden="false" customHeight="false" outlineLevel="0" collapsed="false">
      <c r="A1265" s="3" t="n">
        <v>1264</v>
      </c>
      <c r="B1265" s="3" t="s">
        <v>2923</v>
      </c>
      <c r="C1265" s="4" t="s">
        <v>2924</v>
      </c>
      <c r="D1265" s="4" t="s">
        <v>2912</v>
      </c>
      <c r="E1265" s="3" t="s">
        <v>84</v>
      </c>
      <c r="F1265" s="3" t="s">
        <v>626</v>
      </c>
      <c r="G1265" s="3" t="s">
        <v>627</v>
      </c>
      <c r="H1265" s="3" t="s">
        <v>31</v>
      </c>
      <c r="I1265" s="3" t="s">
        <v>32</v>
      </c>
      <c r="J1265" s="3" t="s">
        <v>95</v>
      </c>
      <c r="K1265" s="3" t="s">
        <v>96</v>
      </c>
      <c r="L1265" s="3" t="s">
        <v>59</v>
      </c>
      <c r="M1265" s="3" t="s">
        <v>48</v>
      </c>
      <c r="N1265" s="3" t="s">
        <v>49</v>
      </c>
      <c r="O1265" s="3" t="s">
        <v>50</v>
      </c>
      <c r="P1265" s="3" t="s">
        <v>51</v>
      </c>
      <c r="Q1265" s="5" t="n">
        <v>105.37</v>
      </c>
      <c r="R1265" s="3" t="n">
        <v>3</v>
      </c>
      <c r="S1265" s="6" t="n">
        <v>0</v>
      </c>
      <c r="T1265" s="5" t="n">
        <v>36.8</v>
      </c>
      <c r="U1265" s="3" t="str">
        <f aca="false">IF(T1265&lt;0,"Loss",IF(T1265=0,"Break-even","Profit"))</f>
        <v>Profit</v>
      </c>
      <c r="V1265" s="3" t="str">
        <f aca="false">IF(Q1265&lt;100,"Low",IF(Q1265&lt;=500,"Medium","High"))</f>
        <v>Medium</v>
      </c>
      <c r="W1265" s="3" t="n">
        <f aca="false">D1265-C1265</f>
        <v>2</v>
      </c>
      <c r="X1265" s="3" t="str">
        <f aca="false">TEXT(C1265,"mmmm")</f>
        <v>May</v>
      </c>
      <c r="Y1265" s="3" t="str">
        <f aca="false">LEFT(G1265,1)&amp;MID(G1265,FIND(" ",G1265)+1,1)</f>
        <v>CD</v>
      </c>
    </row>
    <row r="1266" customFormat="false" ht="15" hidden="false" customHeight="false" outlineLevel="0" collapsed="false">
      <c r="A1266" s="3" t="n">
        <v>1265</v>
      </c>
      <c r="B1266" s="3" t="s">
        <v>2925</v>
      </c>
      <c r="C1266" s="4" t="s">
        <v>2916</v>
      </c>
      <c r="D1266" s="4" t="s">
        <v>2926</v>
      </c>
      <c r="E1266" s="3" t="s">
        <v>84</v>
      </c>
      <c r="F1266" s="3" t="s">
        <v>1102</v>
      </c>
      <c r="G1266" s="3" t="s">
        <v>1103</v>
      </c>
      <c r="H1266" s="3" t="s">
        <v>56</v>
      </c>
      <c r="I1266" s="3" t="s">
        <v>32</v>
      </c>
      <c r="J1266" s="3" t="s">
        <v>679</v>
      </c>
      <c r="K1266" s="3" t="s">
        <v>202</v>
      </c>
      <c r="L1266" s="3" t="s">
        <v>35</v>
      </c>
      <c r="M1266" s="3" t="s">
        <v>135</v>
      </c>
      <c r="N1266" s="3" t="s">
        <v>37</v>
      </c>
      <c r="O1266" s="3" t="s">
        <v>136</v>
      </c>
      <c r="P1266" s="3" t="s">
        <v>137</v>
      </c>
      <c r="Q1266" s="5" t="n">
        <v>9938.75</v>
      </c>
      <c r="R1266" s="3" t="n">
        <v>10</v>
      </c>
      <c r="S1266" s="6" t="n">
        <v>0.1</v>
      </c>
      <c r="T1266" s="5" t="n">
        <v>2331.1</v>
      </c>
      <c r="U1266" s="3" t="str">
        <f aca="false">IF(T1266&lt;0,"Loss",IF(T1266=0,"Break-even","Profit"))</f>
        <v>Profit</v>
      </c>
      <c r="V1266" s="3" t="str">
        <f aca="false">IF(Q1266&lt;100,"Low",IF(Q1266&lt;=500,"Medium","High"))</f>
        <v>High</v>
      </c>
      <c r="W1266" s="3" t="n">
        <f aca="false">D1266-C1266</f>
        <v>4</v>
      </c>
      <c r="X1266" s="3" t="str">
        <f aca="false">TEXT(C1266,"mmmm")</f>
        <v>May</v>
      </c>
      <c r="Y1266" s="3" t="str">
        <f aca="false">LEFT(G1266,1)&amp;MID(G1266,FIND(" ",G1266)+1,1)</f>
        <v>DS</v>
      </c>
    </row>
    <row r="1267" customFormat="false" ht="15" hidden="false" customHeight="false" outlineLevel="0" collapsed="false">
      <c r="A1267" s="3" t="n">
        <v>1266</v>
      </c>
      <c r="B1267" s="3" t="s">
        <v>2927</v>
      </c>
      <c r="C1267" s="4" t="s">
        <v>2916</v>
      </c>
      <c r="D1267" s="4" t="s">
        <v>2928</v>
      </c>
      <c r="E1267" s="3" t="s">
        <v>42</v>
      </c>
      <c r="F1267" s="3" t="s">
        <v>1918</v>
      </c>
      <c r="G1267" s="3" t="s">
        <v>1919</v>
      </c>
      <c r="H1267" s="3" t="s">
        <v>31</v>
      </c>
      <c r="I1267" s="3" t="s">
        <v>32</v>
      </c>
      <c r="J1267" s="3" t="s">
        <v>243</v>
      </c>
      <c r="K1267" s="3" t="s">
        <v>244</v>
      </c>
      <c r="L1267" s="3" t="s">
        <v>157</v>
      </c>
      <c r="M1267" s="3" t="s">
        <v>79</v>
      </c>
      <c r="N1267" s="3" t="s">
        <v>49</v>
      </c>
      <c r="O1267" s="3" t="s">
        <v>80</v>
      </c>
      <c r="P1267" s="3" t="s">
        <v>81</v>
      </c>
      <c r="Q1267" s="5" t="n">
        <v>177.29</v>
      </c>
      <c r="R1267" s="3" t="n">
        <v>2</v>
      </c>
      <c r="S1267" s="6" t="n">
        <v>0.4</v>
      </c>
      <c r="T1267" s="5" t="n">
        <v>-41.7</v>
      </c>
      <c r="U1267" s="3" t="str">
        <f aca="false">IF(T1267&lt;0,"Loss",IF(T1267=0,"Break-even","Profit"))</f>
        <v>Loss</v>
      </c>
      <c r="V1267" s="3" t="str">
        <f aca="false">IF(Q1267&lt;100,"Low",IF(Q1267&lt;=500,"Medium","High"))</f>
        <v>Medium</v>
      </c>
      <c r="W1267" s="3" t="n">
        <f aca="false">D1267-C1267</f>
        <v>2</v>
      </c>
      <c r="X1267" s="3" t="str">
        <f aca="false">TEXT(C1267,"mmmm")</f>
        <v>May</v>
      </c>
      <c r="Y1267" s="3" t="str">
        <f aca="false">LEFT(G1267,1)&amp;MID(G1267,FIND(" ",G1267)+1,1)</f>
        <v>MJ</v>
      </c>
    </row>
    <row r="1268" customFormat="false" ht="15" hidden="false" customHeight="false" outlineLevel="0" collapsed="false">
      <c r="A1268" s="3" t="n">
        <v>1267</v>
      </c>
      <c r="B1268" s="3" t="s">
        <v>2929</v>
      </c>
      <c r="C1268" s="4" t="s">
        <v>2930</v>
      </c>
      <c r="D1268" s="4" t="s">
        <v>2931</v>
      </c>
      <c r="E1268" s="3" t="s">
        <v>42</v>
      </c>
      <c r="F1268" s="3" t="s">
        <v>1428</v>
      </c>
      <c r="G1268" s="3" t="s">
        <v>1429</v>
      </c>
      <c r="H1268" s="3" t="s">
        <v>56</v>
      </c>
      <c r="I1268" s="3" t="s">
        <v>32</v>
      </c>
      <c r="J1268" s="3" t="s">
        <v>208</v>
      </c>
      <c r="K1268" s="3" t="s">
        <v>134</v>
      </c>
      <c r="L1268" s="3" t="s">
        <v>69</v>
      </c>
      <c r="M1268" s="3" t="s">
        <v>105</v>
      </c>
      <c r="N1268" s="3" t="s">
        <v>49</v>
      </c>
      <c r="O1268" s="3" t="s">
        <v>106</v>
      </c>
      <c r="P1268" s="3" t="s">
        <v>107</v>
      </c>
      <c r="Q1268" s="5" t="n">
        <v>153.34</v>
      </c>
      <c r="R1268" s="3" t="n">
        <v>3</v>
      </c>
      <c r="S1268" s="6" t="n">
        <v>0.5</v>
      </c>
      <c r="T1268" s="5" t="n">
        <v>20.68</v>
      </c>
      <c r="U1268" s="3" t="str">
        <f aca="false">IF(T1268&lt;0,"Loss",IF(T1268=0,"Break-even","Profit"))</f>
        <v>Profit</v>
      </c>
      <c r="V1268" s="3" t="str">
        <f aca="false">IF(Q1268&lt;100,"Low",IF(Q1268&lt;=500,"Medium","High"))</f>
        <v>Medium</v>
      </c>
      <c r="W1268" s="3" t="n">
        <f aca="false">D1268-C1268</f>
        <v>2</v>
      </c>
      <c r="X1268" s="3" t="str">
        <f aca="false">TEXT(C1268,"mmmm")</f>
        <v>May</v>
      </c>
      <c r="Y1268" s="3" t="str">
        <f aca="false">LEFT(G1268,1)&amp;MID(G1268,FIND(" ",G1268)+1,1)</f>
        <v>RS</v>
      </c>
    </row>
    <row r="1269" customFormat="false" ht="15" hidden="false" customHeight="false" outlineLevel="0" collapsed="false">
      <c r="A1269" s="3" t="n">
        <v>1268</v>
      </c>
      <c r="B1269" s="3" t="s">
        <v>2932</v>
      </c>
      <c r="C1269" s="4" t="s">
        <v>2930</v>
      </c>
      <c r="D1269" s="4" t="s">
        <v>2933</v>
      </c>
      <c r="E1269" s="3" t="s">
        <v>28</v>
      </c>
      <c r="F1269" s="3" t="s">
        <v>1301</v>
      </c>
      <c r="G1269" s="3" t="s">
        <v>1302</v>
      </c>
      <c r="H1269" s="3" t="s">
        <v>56</v>
      </c>
      <c r="I1269" s="3" t="s">
        <v>32</v>
      </c>
      <c r="J1269" s="3" t="s">
        <v>415</v>
      </c>
      <c r="K1269" s="3" t="s">
        <v>202</v>
      </c>
      <c r="L1269" s="3" t="s">
        <v>35</v>
      </c>
      <c r="M1269" s="3" t="s">
        <v>88</v>
      </c>
      <c r="N1269" s="3" t="s">
        <v>89</v>
      </c>
      <c r="O1269" s="3" t="s">
        <v>90</v>
      </c>
      <c r="P1269" s="3" t="s">
        <v>91</v>
      </c>
      <c r="Q1269" s="5" t="n">
        <v>3024.35</v>
      </c>
      <c r="R1269" s="3" t="n">
        <v>4</v>
      </c>
      <c r="S1269" s="6" t="n">
        <v>0</v>
      </c>
      <c r="T1269" s="5" t="n">
        <v>-601.87</v>
      </c>
      <c r="U1269" s="3" t="str">
        <f aca="false">IF(T1269&lt;0,"Loss",IF(T1269=0,"Break-even","Profit"))</f>
        <v>Loss</v>
      </c>
      <c r="V1269" s="3" t="str">
        <f aca="false">IF(Q1269&lt;100,"Low",IF(Q1269&lt;=500,"Medium","High"))</f>
        <v>High</v>
      </c>
      <c r="W1269" s="3" t="n">
        <f aca="false">D1269-C1269</f>
        <v>7</v>
      </c>
      <c r="X1269" s="3" t="str">
        <f aca="false">TEXT(C1269,"mmmm")</f>
        <v>May</v>
      </c>
      <c r="Y1269" s="3" t="str">
        <f aca="false">LEFT(G1269,1)&amp;MID(G1269,FIND(" ",G1269)+1,1)</f>
        <v>JA</v>
      </c>
    </row>
    <row r="1270" customFormat="false" ht="15" hidden="false" customHeight="false" outlineLevel="0" collapsed="false">
      <c r="A1270" s="3" t="n">
        <v>1269</v>
      </c>
      <c r="B1270" s="3" t="s">
        <v>2934</v>
      </c>
      <c r="C1270" s="4" t="s">
        <v>2930</v>
      </c>
      <c r="D1270" s="4" t="s">
        <v>2935</v>
      </c>
      <c r="E1270" s="3" t="s">
        <v>84</v>
      </c>
      <c r="F1270" s="3" t="s">
        <v>848</v>
      </c>
      <c r="G1270" s="3" t="s">
        <v>849</v>
      </c>
      <c r="H1270" s="3" t="s">
        <v>56</v>
      </c>
      <c r="I1270" s="3" t="s">
        <v>32</v>
      </c>
      <c r="J1270" s="3" t="s">
        <v>814</v>
      </c>
      <c r="K1270" s="3" t="s">
        <v>156</v>
      </c>
      <c r="L1270" s="3" t="s">
        <v>157</v>
      </c>
      <c r="M1270" s="3" t="s">
        <v>470</v>
      </c>
      <c r="N1270" s="3" t="s">
        <v>49</v>
      </c>
      <c r="O1270" s="3" t="s">
        <v>159</v>
      </c>
      <c r="P1270" s="3" t="s">
        <v>471</v>
      </c>
      <c r="Q1270" s="5" t="n">
        <v>34.91</v>
      </c>
      <c r="R1270" s="3" t="n">
        <v>6</v>
      </c>
      <c r="S1270" s="6" t="n">
        <v>0</v>
      </c>
      <c r="T1270" s="5" t="n">
        <v>2.54</v>
      </c>
      <c r="U1270" s="3" t="str">
        <f aca="false">IF(T1270&lt;0,"Loss",IF(T1270=0,"Break-even","Profit"))</f>
        <v>Profit</v>
      </c>
      <c r="V1270" s="3" t="str">
        <f aca="false">IF(Q1270&lt;100,"Low",IF(Q1270&lt;=500,"Medium","High"))</f>
        <v>Low</v>
      </c>
      <c r="W1270" s="3" t="n">
        <f aca="false">D1270-C1270</f>
        <v>4</v>
      </c>
      <c r="X1270" s="3" t="str">
        <f aca="false">TEXT(C1270,"mmmm")</f>
        <v>May</v>
      </c>
      <c r="Y1270" s="3" t="str">
        <f aca="false">LEFT(G1270,1)&amp;MID(G1270,FIND(" ",G1270)+1,1)</f>
        <v>JS</v>
      </c>
    </row>
    <row r="1271" customFormat="false" ht="15" hidden="false" customHeight="false" outlineLevel="0" collapsed="false">
      <c r="A1271" s="3" t="n">
        <v>1270</v>
      </c>
      <c r="B1271" s="3" t="s">
        <v>2936</v>
      </c>
      <c r="C1271" s="4" t="s">
        <v>2928</v>
      </c>
      <c r="D1271" s="4" t="s">
        <v>2926</v>
      </c>
      <c r="E1271" s="3" t="s">
        <v>42</v>
      </c>
      <c r="F1271" s="3" t="s">
        <v>1544</v>
      </c>
      <c r="G1271" s="3" t="s">
        <v>1545</v>
      </c>
      <c r="H1271" s="3" t="s">
        <v>56</v>
      </c>
      <c r="I1271" s="3" t="s">
        <v>32</v>
      </c>
      <c r="J1271" s="3" t="s">
        <v>365</v>
      </c>
      <c r="K1271" s="3" t="s">
        <v>366</v>
      </c>
      <c r="L1271" s="3" t="s">
        <v>157</v>
      </c>
      <c r="M1271" s="3" t="s">
        <v>347</v>
      </c>
      <c r="N1271" s="3" t="s">
        <v>49</v>
      </c>
      <c r="O1271" s="3" t="s">
        <v>220</v>
      </c>
      <c r="P1271" s="3" t="s">
        <v>348</v>
      </c>
      <c r="Q1271" s="5" t="n">
        <v>367.63</v>
      </c>
      <c r="R1271" s="3" t="n">
        <v>5</v>
      </c>
      <c r="S1271" s="6" t="n">
        <v>0</v>
      </c>
      <c r="T1271" s="5" t="n">
        <v>-9.6</v>
      </c>
      <c r="U1271" s="3" t="str">
        <f aca="false">IF(T1271&lt;0,"Loss",IF(T1271=0,"Break-even","Profit"))</f>
        <v>Loss</v>
      </c>
      <c r="V1271" s="3" t="str">
        <f aca="false">IF(Q1271&lt;100,"Low",IF(Q1271&lt;=500,"Medium","High"))</f>
        <v>Medium</v>
      </c>
      <c r="W1271" s="3" t="n">
        <f aca="false">D1271-C1271</f>
        <v>2</v>
      </c>
      <c r="X1271" s="3" t="str">
        <f aca="false">TEXT(C1271,"mmmm")</f>
        <v>May</v>
      </c>
      <c r="Y1271" s="3" t="str">
        <f aca="false">LEFT(G1271,1)&amp;MID(G1271,FIND(" ",G1271)+1,1)</f>
        <v>PK</v>
      </c>
    </row>
    <row r="1272" customFormat="false" ht="15" hidden="false" customHeight="false" outlineLevel="0" collapsed="false">
      <c r="A1272" s="3" t="n">
        <v>1271</v>
      </c>
      <c r="B1272" s="3" t="s">
        <v>2937</v>
      </c>
      <c r="C1272" s="4" t="s">
        <v>2926</v>
      </c>
      <c r="D1272" s="4" t="s">
        <v>2938</v>
      </c>
      <c r="E1272" s="3" t="s">
        <v>28</v>
      </c>
      <c r="F1272" s="3" t="s">
        <v>1081</v>
      </c>
      <c r="G1272" s="3" t="s">
        <v>1082</v>
      </c>
      <c r="H1272" s="3" t="s">
        <v>56</v>
      </c>
      <c r="I1272" s="3" t="s">
        <v>32</v>
      </c>
      <c r="J1272" s="3" t="s">
        <v>616</v>
      </c>
      <c r="K1272" s="3" t="s">
        <v>156</v>
      </c>
      <c r="L1272" s="3" t="s">
        <v>157</v>
      </c>
      <c r="M1272" s="3" t="s">
        <v>190</v>
      </c>
      <c r="N1272" s="3" t="s">
        <v>49</v>
      </c>
      <c r="O1272" s="3" t="s">
        <v>150</v>
      </c>
      <c r="P1272" s="3" t="s">
        <v>191</v>
      </c>
      <c r="Q1272" s="5" t="n">
        <v>232.29</v>
      </c>
      <c r="R1272" s="3" t="n">
        <v>14</v>
      </c>
      <c r="S1272" s="6" t="n">
        <v>0.4</v>
      </c>
      <c r="T1272" s="5" t="n">
        <v>21.45</v>
      </c>
      <c r="U1272" s="3" t="str">
        <f aca="false">IF(T1272&lt;0,"Loss",IF(T1272=0,"Break-even","Profit"))</f>
        <v>Profit</v>
      </c>
      <c r="V1272" s="3" t="str">
        <f aca="false">IF(Q1272&lt;100,"Low",IF(Q1272&lt;=500,"Medium","High"))</f>
        <v>Medium</v>
      </c>
      <c r="W1272" s="3" t="n">
        <f aca="false">D1272-C1272</f>
        <v>7</v>
      </c>
      <c r="X1272" s="3" t="str">
        <f aca="false">TEXT(C1272,"mmmm")</f>
        <v>June</v>
      </c>
      <c r="Y1272" s="3" t="str">
        <f aca="false">LEFT(G1272,1)&amp;MID(G1272,FIND(" ",G1272)+1,1)</f>
        <v>SB</v>
      </c>
    </row>
    <row r="1273" customFormat="false" ht="15" hidden="false" customHeight="false" outlineLevel="0" collapsed="false">
      <c r="A1273" s="3" t="n">
        <v>1272</v>
      </c>
      <c r="B1273" s="3" t="s">
        <v>2939</v>
      </c>
      <c r="C1273" s="4" t="s">
        <v>2926</v>
      </c>
      <c r="D1273" s="4" t="s">
        <v>2938</v>
      </c>
      <c r="E1273" s="3" t="s">
        <v>28</v>
      </c>
      <c r="F1273" s="3" t="s">
        <v>293</v>
      </c>
      <c r="G1273" s="3" t="s">
        <v>294</v>
      </c>
      <c r="H1273" s="3" t="s">
        <v>45</v>
      </c>
      <c r="I1273" s="3" t="s">
        <v>32</v>
      </c>
      <c r="J1273" s="3" t="s">
        <v>299</v>
      </c>
      <c r="K1273" s="3" t="s">
        <v>189</v>
      </c>
      <c r="L1273" s="3" t="s">
        <v>59</v>
      </c>
      <c r="M1273" s="3" t="s">
        <v>195</v>
      </c>
      <c r="N1273" s="3" t="s">
        <v>37</v>
      </c>
      <c r="O1273" s="3" t="s">
        <v>196</v>
      </c>
      <c r="P1273" s="3" t="s">
        <v>197</v>
      </c>
      <c r="Q1273" s="5" t="n">
        <v>2719.93</v>
      </c>
      <c r="R1273" s="3" t="n">
        <v>7</v>
      </c>
      <c r="S1273" s="6" t="n">
        <v>0.4</v>
      </c>
      <c r="T1273" s="5" t="n">
        <v>-435.3</v>
      </c>
      <c r="U1273" s="3" t="str">
        <f aca="false">IF(T1273&lt;0,"Loss",IF(T1273=0,"Break-even","Profit"))</f>
        <v>Loss</v>
      </c>
      <c r="V1273" s="3" t="str">
        <f aca="false">IF(Q1273&lt;100,"Low",IF(Q1273&lt;=500,"Medium","High"))</f>
        <v>High</v>
      </c>
      <c r="W1273" s="3" t="n">
        <f aca="false">D1273-C1273</f>
        <v>7</v>
      </c>
      <c r="X1273" s="3" t="str">
        <f aca="false">TEXT(C1273,"mmmm")</f>
        <v>June</v>
      </c>
      <c r="Y1273" s="3" t="str">
        <f aca="false">LEFT(G1273,1)&amp;MID(G1273,FIND(" ",G1273)+1,1)</f>
        <v>LB</v>
      </c>
    </row>
    <row r="1274" customFormat="false" ht="15" hidden="false" customHeight="false" outlineLevel="0" collapsed="false">
      <c r="A1274" s="3" t="n">
        <v>1273</v>
      </c>
      <c r="B1274" s="3" t="s">
        <v>2940</v>
      </c>
      <c r="C1274" s="4" t="s">
        <v>2935</v>
      </c>
      <c r="D1274" s="4" t="s">
        <v>2941</v>
      </c>
      <c r="E1274" s="3" t="s">
        <v>84</v>
      </c>
      <c r="F1274" s="3" t="s">
        <v>131</v>
      </c>
      <c r="G1274" s="3" t="s">
        <v>132</v>
      </c>
      <c r="H1274" s="3" t="s">
        <v>56</v>
      </c>
      <c r="I1274" s="3" t="s">
        <v>32</v>
      </c>
      <c r="J1274" s="3" t="s">
        <v>148</v>
      </c>
      <c r="K1274" s="3" t="s">
        <v>78</v>
      </c>
      <c r="L1274" s="3" t="s">
        <v>59</v>
      </c>
      <c r="M1274" s="3" t="s">
        <v>300</v>
      </c>
      <c r="N1274" s="3" t="s">
        <v>49</v>
      </c>
      <c r="O1274" s="3" t="s">
        <v>143</v>
      </c>
      <c r="P1274" s="3" t="s">
        <v>301</v>
      </c>
      <c r="Q1274" s="5" t="n">
        <v>999.8</v>
      </c>
      <c r="R1274" s="3" t="n">
        <v>9</v>
      </c>
      <c r="S1274" s="6" t="n">
        <v>0</v>
      </c>
      <c r="T1274" s="5" t="n">
        <v>348.4</v>
      </c>
      <c r="U1274" s="3" t="str">
        <f aca="false">IF(T1274&lt;0,"Loss",IF(T1274=0,"Break-even","Profit"))</f>
        <v>Profit</v>
      </c>
      <c r="V1274" s="3" t="str">
        <f aca="false">IF(Q1274&lt;100,"Low",IF(Q1274&lt;=500,"Medium","High"))</f>
        <v>High</v>
      </c>
      <c r="W1274" s="3" t="n">
        <f aca="false">D1274-C1274</f>
        <v>4</v>
      </c>
      <c r="X1274" s="3" t="str">
        <f aca="false">TEXT(C1274,"mmmm")</f>
        <v>June</v>
      </c>
      <c r="Y1274" s="3" t="str">
        <f aca="false">LEFT(G1274,1)&amp;MID(G1274,FIND(" ",G1274)+1,1)</f>
        <v>JM</v>
      </c>
    </row>
    <row r="1275" customFormat="false" ht="15" hidden="false" customHeight="false" outlineLevel="0" collapsed="false">
      <c r="A1275" s="3" t="n">
        <v>1274</v>
      </c>
      <c r="B1275" s="3" t="s">
        <v>2942</v>
      </c>
      <c r="C1275" s="4" t="s">
        <v>2943</v>
      </c>
      <c r="D1275" s="4" t="s">
        <v>2941</v>
      </c>
      <c r="E1275" s="3" t="s">
        <v>28</v>
      </c>
      <c r="F1275" s="3" t="s">
        <v>1452</v>
      </c>
      <c r="G1275" s="3" t="s">
        <v>1453</v>
      </c>
      <c r="H1275" s="3" t="s">
        <v>56</v>
      </c>
      <c r="I1275" s="3" t="s">
        <v>32</v>
      </c>
      <c r="J1275" s="3" t="s">
        <v>77</v>
      </c>
      <c r="K1275" s="3" t="s">
        <v>78</v>
      </c>
      <c r="L1275" s="3" t="s">
        <v>59</v>
      </c>
      <c r="M1275" s="3" t="s">
        <v>48</v>
      </c>
      <c r="N1275" s="3" t="s">
        <v>49</v>
      </c>
      <c r="O1275" s="3" t="s">
        <v>50</v>
      </c>
      <c r="P1275" s="3" t="s">
        <v>51</v>
      </c>
      <c r="Q1275" s="5" t="n">
        <v>1039.51</v>
      </c>
      <c r="R1275" s="3" t="n">
        <v>11</v>
      </c>
      <c r="S1275" s="6" t="n">
        <v>0.1</v>
      </c>
      <c r="T1275" s="5" t="n">
        <v>-2.87</v>
      </c>
      <c r="U1275" s="3" t="str">
        <f aca="false">IF(T1275&lt;0,"Loss",IF(T1275=0,"Break-even","Profit"))</f>
        <v>Loss</v>
      </c>
      <c r="V1275" s="3" t="str">
        <f aca="false">IF(Q1275&lt;100,"Low",IF(Q1275&lt;=500,"Medium","High"))</f>
        <v>High</v>
      </c>
      <c r="W1275" s="3" t="n">
        <f aca="false">D1275-C1275</f>
        <v>3</v>
      </c>
      <c r="X1275" s="3" t="str">
        <f aca="false">TEXT(C1275,"mmmm")</f>
        <v>June</v>
      </c>
      <c r="Y1275" s="3" t="str">
        <f aca="false">LEFT(G1275,1)&amp;MID(G1275,FIND(" ",G1275)+1,1)</f>
        <v>OA</v>
      </c>
    </row>
    <row r="1276" customFormat="false" ht="15" hidden="false" customHeight="false" outlineLevel="0" collapsed="false">
      <c r="A1276" s="3" t="n">
        <v>1275</v>
      </c>
      <c r="B1276" s="3" t="s">
        <v>2944</v>
      </c>
      <c r="C1276" s="4" t="s">
        <v>2945</v>
      </c>
      <c r="D1276" s="4" t="s">
        <v>2946</v>
      </c>
      <c r="E1276" s="3" t="s">
        <v>28</v>
      </c>
      <c r="F1276" s="3" t="s">
        <v>776</v>
      </c>
      <c r="G1276" s="3" t="s">
        <v>777</v>
      </c>
      <c r="H1276" s="3" t="s">
        <v>31</v>
      </c>
      <c r="I1276" s="3" t="s">
        <v>32</v>
      </c>
      <c r="J1276" s="3" t="s">
        <v>208</v>
      </c>
      <c r="K1276" s="3" t="s">
        <v>134</v>
      </c>
      <c r="L1276" s="3" t="s">
        <v>69</v>
      </c>
      <c r="M1276" s="3" t="s">
        <v>259</v>
      </c>
      <c r="N1276" s="3" t="s">
        <v>89</v>
      </c>
      <c r="O1276" s="3" t="s">
        <v>174</v>
      </c>
      <c r="P1276" s="3" t="s">
        <v>260</v>
      </c>
      <c r="Q1276" s="5" t="n">
        <v>1509.47</v>
      </c>
      <c r="R1276" s="3" t="n">
        <v>14</v>
      </c>
      <c r="S1276" s="6" t="n">
        <v>0</v>
      </c>
      <c r="T1276" s="5" t="n">
        <v>188.7</v>
      </c>
      <c r="U1276" s="3" t="str">
        <f aca="false">IF(T1276&lt;0,"Loss",IF(T1276=0,"Break-even","Profit"))</f>
        <v>Profit</v>
      </c>
      <c r="V1276" s="3" t="str">
        <f aca="false">IF(Q1276&lt;100,"Low",IF(Q1276&lt;=500,"Medium","High"))</f>
        <v>High</v>
      </c>
      <c r="W1276" s="3" t="n">
        <f aca="false">D1276-C1276</f>
        <v>7</v>
      </c>
      <c r="X1276" s="3" t="str">
        <f aca="false">TEXT(C1276,"mmmm")</f>
        <v>June</v>
      </c>
      <c r="Y1276" s="3" t="str">
        <f aca="false">LEFT(G1276,1)&amp;MID(G1276,FIND(" ",G1276)+1,1)</f>
        <v>AM</v>
      </c>
    </row>
    <row r="1277" customFormat="false" ht="15" hidden="false" customHeight="false" outlineLevel="0" collapsed="false">
      <c r="A1277" s="3" t="n">
        <v>1276</v>
      </c>
      <c r="B1277" s="3" t="s">
        <v>2947</v>
      </c>
      <c r="C1277" s="4" t="s">
        <v>2945</v>
      </c>
      <c r="D1277" s="4" t="s">
        <v>2948</v>
      </c>
      <c r="E1277" s="3" t="s">
        <v>84</v>
      </c>
      <c r="F1277" s="3" t="s">
        <v>293</v>
      </c>
      <c r="G1277" s="3" t="s">
        <v>294</v>
      </c>
      <c r="H1277" s="3" t="s">
        <v>31</v>
      </c>
      <c r="I1277" s="3" t="s">
        <v>32</v>
      </c>
      <c r="J1277" s="3" t="s">
        <v>386</v>
      </c>
      <c r="K1277" s="3" t="s">
        <v>387</v>
      </c>
      <c r="L1277" s="3" t="s">
        <v>35</v>
      </c>
      <c r="M1277" s="3" t="s">
        <v>105</v>
      </c>
      <c r="N1277" s="3" t="s">
        <v>49</v>
      </c>
      <c r="O1277" s="3" t="s">
        <v>106</v>
      </c>
      <c r="P1277" s="3" t="s">
        <v>107</v>
      </c>
      <c r="Q1277" s="5" t="n">
        <v>159.28</v>
      </c>
      <c r="R1277" s="3" t="n">
        <v>3</v>
      </c>
      <c r="S1277" s="6" t="n">
        <v>0.2</v>
      </c>
      <c r="T1277" s="5" t="n">
        <v>3.59</v>
      </c>
      <c r="U1277" s="3" t="str">
        <f aca="false">IF(T1277&lt;0,"Loss",IF(T1277=0,"Break-even","Profit"))</f>
        <v>Profit</v>
      </c>
      <c r="V1277" s="3" t="str">
        <f aca="false">IF(Q1277&lt;100,"Low",IF(Q1277&lt;=500,"Medium","High"))</f>
        <v>Medium</v>
      </c>
      <c r="W1277" s="3" t="n">
        <f aca="false">D1277-C1277</f>
        <v>3</v>
      </c>
      <c r="X1277" s="3" t="str">
        <f aca="false">TEXT(C1277,"mmmm")</f>
        <v>June</v>
      </c>
      <c r="Y1277" s="3" t="str">
        <f aca="false">LEFT(G1277,1)&amp;MID(G1277,FIND(" ",G1277)+1,1)</f>
        <v>LB</v>
      </c>
    </row>
    <row r="1278" customFormat="false" ht="15" hidden="false" customHeight="false" outlineLevel="0" collapsed="false">
      <c r="A1278" s="3" t="n">
        <v>1277</v>
      </c>
      <c r="B1278" s="3" t="s">
        <v>2949</v>
      </c>
      <c r="C1278" s="4" t="s">
        <v>2933</v>
      </c>
      <c r="D1278" s="4" t="s">
        <v>2946</v>
      </c>
      <c r="E1278" s="3" t="s">
        <v>28</v>
      </c>
      <c r="F1278" s="3" t="s">
        <v>743</v>
      </c>
      <c r="G1278" s="3" t="s">
        <v>744</v>
      </c>
      <c r="H1278" s="3" t="s">
        <v>31</v>
      </c>
      <c r="I1278" s="3" t="s">
        <v>32</v>
      </c>
      <c r="J1278" s="3" t="s">
        <v>179</v>
      </c>
      <c r="K1278" s="3" t="s">
        <v>47</v>
      </c>
      <c r="L1278" s="3" t="s">
        <v>35</v>
      </c>
      <c r="M1278" s="3" t="s">
        <v>219</v>
      </c>
      <c r="N1278" s="3" t="s">
        <v>49</v>
      </c>
      <c r="O1278" s="3" t="s">
        <v>220</v>
      </c>
      <c r="P1278" s="3" t="s">
        <v>221</v>
      </c>
      <c r="Q1278" s="5" t="n">
        <v>226.98</v>
      </c>
      <c r="R1278" s="3" t="n">
        <v>8</v>
      </c>
      <c r="S1278" s="6" t="n">
        <v>0.1</v>
      </c>
      <c r="T1278" s="5" t="n">
        <v>-54.88</v>
      </c>
      <c r="U1278" s="3" t="str">
        <f aca="false">IF(T1278&lt;0,"Loss",IF(T1278=0,"Break-even","Profit"))</f>
        <v>Loss</v>
      </c>
      <c r="V1278" s="3" t="str">
        <f aca="false">IF(Q1278&lt;100,"Low",IF(Q1278&lt;=500,"Medium","High"))</f>
        <v>Medium</v>
      </c>
      <c r="W1278" s="3" t="n">
        <f aca="false">D1278-C1278</f>
        <v>6</v>
      </c>
      <c r="X1278" s="3" t="str">
        <f aca="false">TEXT(C1278,"mmmm")</f>
        <v>June</v>
      </c>
      <c r="Y1278" s="3" t="str">
        <f aca="false">LEFT(G1278,1)&amp;MID(G1278,FIND(" ",G1278)+1,1)</f>
        <v>AN</v>
      </c>
    </row>
    <row r="1279" customFormat="false" ht="15" hidden="false" customHeight="false" outlineLevel="0" collapsed="false">
      <c r="A1279" s="3" t="n">
        <v>1278</v>
      </c>
      <c r="B1279" s="3" t="s">
        <v>2950</v>
      </c>
      <c r="C1279" s="4" t="s">
        <v>2941</v>
      </c>
      <c r="D1279" s="4" t="s">
        <v>2951</v>
      </c>
      <c r="E1279" s="3" t="s">
        <v>84</v>
      </c>
      <c r="F1279" s="3" t="s">
        <v>1270</v>
      </c>
      <c r="G1279" s="3" t="s">
        <v>1271</v>
      </c>
      <c r="H1279" s="3" t="s">
        <v>45</v>
      </c>
      <c r="I1279" s="3" t="s">
        <v>32</v>
      </c>
      <c r="J1279" s="3" t="s">
        <v>386</v>
      </c>
      <c r="K1279" s="3" t="s">
        <v>387</v>
      </c>
      <c r="L1279" s="3" t="s">
        <v>35</v>
      </c>
      <c r="M1279" s="3" t="s">
        <v>114</v>
      </c>
      <c r="N1279" s="3" t="s">
        <v>49</v>
      </c>
      <c r="O1279" s="3" t="s">
        <v>61</v>
      </c>
      <c r="P1279" s="3" t="s">
        <v>115</v>
      </c>
      <c r="Q1279" s="5" t="n">
        <v>546.09</v>
      </c>
      <c r="R1279" s="3" t="n">
        <v>8</v>
      </c>
      <c r="S1279" s="6" t="n">
        <v>0.4</v>
      </c>
      <c r="T1279" s="5" t="n">
        <v>-112.7</v>
      </c>
      <c r="U1279" s="3" t="str">
        <f aca="false">IF(T1279&lt;0,"Loss",IF(T1279=0,"Break-even","Profit"))</f>
        <v>Loss</v>
      </c>
      <c r="V1279" s="3" t="str">
        <f aca="false">IF(Q1279&lt;100,"Low",IF(Q1279&lt;=500,"Medium","High"))</f>
        <v>High</v>
      </c>
      <c r="W1279" s="3" t="n">
        <f aca="false">D1279-C1279</f>
        <v>4</v>
      </c>
      <c r="X1279" s="3" t="str">
        <f aca="false">TEXT(C1279,"mmmm")</f>
        <v>June</v>
      </c>
      <c r="Y1279" s="3" t="str">
        <f aca="false">LEFT(G1279,1)&amp;MID(G1279,FIND(" ",G1279)+1,1)</f>
        <v>RM</v>
      </c>
    </row>
    <row r="1280" customFormat="false" ht="15" hidden="false" customHeight="false" outlineLevel="0" collapsed="false">
      <c r="A1280" s="3" t="n">
        <v>1279</v>
      </c>
      <c r="B1280" s="3" t="s">
        <v>2952</v>
      </c>
      <c r="C1280" s="4" t="s">
        <v>2941</v>
      </c>
      <c r="D1280" s="4" t="s">
        <v>2948</v>
      </c>
      <c r="E1280" s="3" t="s">
        <v>42</v>
      </c>
      <c r="F1280" s="3" t="s">
        <v>2105</v>
      </c>
      <c r="G1280" s="3" t="s">
        <v>2106</v>
      </c>
      <c r="H1280" s="3" t="s">
        <v>56</v>
      </c>
      <c r="I1280" s="3" t="s">
        <v>32</v>
      </c>
      <c r="J1280" s="3" t="s">
        <v>201</v>
      </c>
      <c r="K1280" s="3" t="s">
        <v>202</v>
      </c>
      <c r="L1280" s="3" t="s">
        <v>35</v>
      </c>
      <c r="M1280" s="3" t="s">
        <v>173</v>
      </c>
      <c r="N1280" s="3" t="s">
        <v>89</v>
      </c>
      <c r="O1280" s="3" t="s">
        <v>174</v>
      </c>
      <c r="P1280" s="3" t="s">
        <v>175</v>
      </c>
      <c r="Q1280" s="5" t="n">
        <v>5993.49</v>
      </c>
      <c r="R1280" s="3" t="n">
        <v>9</v>
      </c>
      <c r="S1280" s="6" t="n">
        <v>0.5</v>
      </c>
      <c r="T1280" s="5" t="n">
        <v>521.25</v>
      </c>
      <c r="U1280" s="3" t="str">
        <f aca="false">IF(T1280&lt;0,"Loss",IF(T1280=0,"Break-even","Profit"))</f>
        <v>Profit</v>
      </c>
      <c r="V1280" s="3" t="str">
        <f aca="false">IF(Q1280&lt;100,"Low",IF(Q1280&lt;=500,"Medium","High"))</f>
        <v>High</v>
      </c>
      <c r="W1280" s="3" t="n">
        <f aca="false">D1280-C1280</f>
        <v>1</v>
      </c>
      <c r="X1280" s="3" t="str">
        <f aca="false">TEXT(C1280,"mmmm")</f>
        <v>June</v>
      </c>
      <c r="Y1280" s="3" t="str">
        <f aca="false">LEFT(G1280,1)&amp;MID(G1280,FIND(" ",G1280)+1,1)</f>
        <v>AM</v>
      </c>
    </row>
    <row r="1281" customFormat="false" ht="15" hidden="false" customHeight="false" outlineLevel="0" collapsed="false">
      <c r="A1281" s="3" t="n">
        <v>1280</v>
      </c>
      <c r="B1281" s="3" t="s">
        <v>2953</v>
      </c>
      <c r="C1281" s="4" t="s">
        <v>2948</v>
      </c>
      <c r="D1281" s="4" t="s">
        <v>2954</v>
      </c>
      <c r="E1281" s="3" t="s">
        <v>84</v>
      </c>
      <c r="F1281" s="3" t="s">
        <v>943</v>
      </c>
      <c r="G1281" s="3" t="s">
        <v>944</v>
      </c>
      <c r="H1281" s="3" t="s">
        <v>45</v>
      </c>
      <c r="I1281" s="3" t="s">
        <v>32</v>
      </c>
      <c r="J1281" s="3" t="s">
        <v>365</v>
      </c>
      <c r="K1281" s="3" t="s">
        <v>366</v>
      </c>
      <c r="L1281" s="3" t="s">
        <v>157</v>
      </c>
      <c r="M1281" s="3" t="s">
        <v>127</v>
      </c>
      <c r="N1281" s="3" t="s">
        <v>49</v>
      </c>
      <c r="O1281" s="3" t="s">
        <v>61</v>
      </c>
      <c r="P1281" s="3" t="s">
        <v>128</v>
      </c>
      <c r="Q1281" s="5" t="n">
        <v>56.72</v>
      </c>
      <c r="R1281" s="3" t="n">
        <v>5</v>
      </c>
      <c r="S1281" s="6" t="n">
        <v>0</v>
      </c>
      <c r="T1281" s="5" t="n">
        <v>19.31</v>
      </c>
      <c r="U1281" s="3" t="str">
        <f aca="false">IF(T1281&lt;0,"Loss",IF(T1281=0,"Break-even","Profit"))</f>
        <v>Profit</v>
      </c>
      <c r="V1281" s="3" t="str">
        <f aca="false">IF(Q1281&lt;100,"Low",IF(Q1281&lt;=500,"Medium","High"))</f>
        <v>Low</v>
      </c>
      <c r="W1281" s="3" t="n">
        <f aca="false">D1281-C1281</f>
        <v>2</v>
      </c>
      <c r="X1281" s="3" t="str">
        <f aca="false">TEXT(C1281,"mmmm")</f>
        <v>June</v>
      </c>
      <c r="Y1281" s="3" t="str">
        <f aca="false">LEFT(G1281,1)&amp;MID(G1281,FIND(" ",G1281)+1,1)</f>
        <v>AW</v>
      </c>
    </row>
    <row r="1282" customFormat="false" ht="15" hidden="false" customHeight="false" outlineLevel="0" collapsed="false">
      <c r="A1282" s="3" t="n">
        <v>1281</v>
      </c>
      <c r="B1282" s="3" t="s">
        <v>2955</v>
      </c>
      <c r="C1282" s="4" t="s">
        <v>2938</v>
      </c>
      <c r="D1282" s="4" t="s">
        <v>2951</v>
      </c>
      <c r="E1282" s="3" t="s">
        <v>84</v>
      </c>
      <c r="F1282" s="3" t="s">
        <v>1258</v>
      </c>
      <c r="G1282" s="3" t="s">
        <v>1259</v>
      </c>
      <c r="H1282" s="3" t="s">
        <v>31</v>
      </c>
      <c r="I1282" s="3" t="s">
        <v>32</v>
      </c>
      <c r="J1282" s="3" t="s">
        <v>215</v>
      </c>
      <c r="K1282" s="3" t="s">
        <v>34</v>
      </c>
      <c r="L1282" s="3" t="s">
        <v>35</v>
      </c>
      <c r="M1282" s="3" t="s">
        <v>290</v>
      </c>
      <c r="N1282" s="3" t="s">
        <v>37</v>
      </c>
      <c r="O1282" s="3" t="s">
        <v>38</v>
      </c>
      <c r="P1282" s="3" t="s">
        <v>291</v>
      </c>
      <c r="Q1282" s="5" t="n">
        <v>2689.99</v>
      </c>
      <c r="R1282" s="3" t="n">
        <v>12</v>
      </c>
      <c r="S1282" s="6" t="n">
        <v>0</v>
      </c>
      <c r="T1282" s="5" t="n">
        <v>-622.17</v>
      </c>
      <c r="U1282" s="3" t="str">
        <f aca="false">IF(T1282&lt;0,"Loss",IF(T1282=0,"Break-even","Profit"))</f>
        <v>Loss</v>
      </c>
      <c r="V1282" s="3" t="str">
        <f aca="false">IF(Q1282&lt;100,"Low",IF(Q1282&lt;=500,"Medium","High"))</f>
        <v>High</v>
      </c>
      <c r="W1282" s="3" t="n">
        <f aca="false">D1282-C1282</f>
        <v>2</v>
      </c>
      <c r="X1282" s="3" t="str">
        <f aca="false">TEXT(C1282,"mmmm")</f>
        <v>June</v>
      </c>
      <c r="Y1282" s="3" t="str">
        <f aca="false">LEFT(G1282,1)&amp;MID(G1282,FIND(" ",G1282)+1,1)</f>
        <v>MS</v>
      </c>
    </row>
    <row r="1283" customFormat="false" ht="15" hidden="false" customHeight="false" outlineLevel="0" collapsed="false">
      <c r="A1283" s="3" t="n">
        <v>1282</v>
      </c>
      <c r="B1283" s="3" t="s">
        <v>2956</v>
      </c>
      <c r="C1283" s="4" t="s">
        <v>2938</v>
      </c>
      <c r="D1283" s="4" t="s">
        <v>2954</v>
      </c>
      <c r="E1283" s="3" t="s">
        <v>42</v>
      </c>
      <c r="F1283" s="3" t="s">
        <v>2166</v>
      </c>
      <c r="G1283" s="3" t="s">
        <v>2167</v>
      </c>
      <c r="H1283" s="3" t="s">
        <v>31</v>
      </c>
      <c r="I1283" s="3" t="s">
        <v>32</v>
      </c>
      <c r="J1283" s="3" t="s">
        <v>476</v>
      </c>
      <c r="K1283" s="3" t="s">
        <v>366</v>
      </c>
      <c r="L1283" s="3" t="s">
        <v>157</v>
      </c>
      <c r="M1283" s="3" t="s">
        <v>149</v>
      </c>
      <c r="N1283" s="3" t="s">
        <v>49</v>
      </c>
      <c r="O1283" s="3" t="s">
        <v>150</v>
      </c>
      <c r="P1283" s="3" t="s">
        <v>151</v>
      </c>
      <c r="Q1283" s="5" t="n">
        <v>918.06</v>
      </c>
      <c r="R1283" s="3" t="n">
        <v>10</v>
      </c>
      <c r="S1283" s="6" t="n">
        <v>0.4</v>
      </c>
      <c r="T1283" s="5" t="n">
        <v>-96.84</v>
      </c>
      <c r="U1283" s="3" t="str">
        <f aca="false">IF(T1283&lt;0,"Loss",IF(T1283=0,"Break-even","Profit"))</f>
        <v>Loss</v>
      </c>
      <c r="V1283" s="3" t="str">
        <f aca="false">IF(Q1283&lt;100,"Low",IF(Q1283&lt;=500,"Medium","High"))</f>
        <v>High</v>
      </c>
      <c r="W1283" s="3" t="n">
        <f aca="false">D1283-C1283</f>
        <v>1</v>
      </c>
      <c r="X1283" s="3" t="str">
        <f aca="false">TEXT(C1283,"mmmm")</f>
        <v>June</v>
      </c>
      <c r="Y1283" s="3" t="str">
        <f aca="false">LEFT(G1283,1)&amp;MID(G1283,FIND(" ",G1283)+1,1)</f>
        <v>JR</v>
      </c>
    </row>
    <row r="1284" customFormat="false" ht="15" hidden="false" customHeight="false" outlineLevel="0" collapsed="false">
      <c r="A1284" s="3" t="n">
        <v>1283</v>
      </c>
      <c r="B1284" s="3" t="s">
        <v>2957</v>
      </c>
      <c r="C1284" s="4" t="s">
        <v>2954</v>
      </c>
      <c r="D1284" s="4" t="s">
        <v>2958</v>
      </c>
      <c r="E1284" s="3" t="s">
        <v>28</v>
      </c>
      <c r="F1284" s="3" t="s">
        <v>743</v>
      </c>
      <c r="G1284" s="3" t="s">
        <v>744</v>
      </c>
      <c r="H1284" s="3" t="s">
        <v>31</v>
      </c>
      <c r="I1284" s="3" t="s">
        <v>32</v>
      </c>
      <c r="J1284" s="3" t="s">
        <v>329</v>
      </c>
      <c r="K1284" s="3" t="s">
        <v>156</v>
      </c>
      <c r="L1284" s="3" t="s">
        <v>157</v>
      </c>
      <c r="M1284" s="3" t="s">
        <v>209</v>
      </c>
      <c r="N1284" s="3" t="s">
        <v>49</v>
      </c>
      <c r="O1284" s="3" t="s">
        <v>106</v>
      </c>
      <c r="P1284" s="3" t="s">
        <v>210</v>
      </c>
      <c r="Q1284" s="5" t="n">
        <v>1078.42</v>
      </c>
      <c r="R1284" s="3" t="n">
        <v>14</v>
      </c>
      <c r="S1284" s="6" t="n">
        <v>0.3</v>
      </c>
      <c r="T1284" s="5" t="n">
        <v>-261.5</v>
      </c>
      <c r="U1284" s="3" t="str">
        <f aca="false">IF(T1284&lt;0,"Loss",IF(T1284=0,"Break-even","Profit"))</f>
        <v>Loss</v>
      </c>
      <c r="V1284" s="3" t="str">
        <f aca="false">IF(Q1284&lt;100,"Low",IF(Q1284&lt;=500,"Medium","High"))</f>
        <v>High</v>
      </c>
      <c r="W1284" s="3" t="n">
        <f aca="false">D1284-C1284</f>
        <v>5</v>
      </c>
      <c r="X1284" s="3" t="str">
        <f aca="false">TEXT(C1284,"mmmm")</f>
        <v>June</v>
      </c>
      <c r="Y1284" s="3" t="str">
        <f aca="false">LEFT(G1284,1)&amp;MID(G1284,FIND(" ",G1284)+1,1)</f>
        <v>AN</v>
      </c>
    </row>
    <row r="1285" customFormat="false" ht="15" hidden="false" customHeight="false" outlineLevel="0" collapsed="false">
      <c r="A1285" s="3" t="n">
        <v>1284</v>
      </c>
      <c r="B1285" s="3" t="s">
        <v>2959</v>
      </c>
      <c r="C1285" s="4" t="s">
        <v>2954</v>
      </c>
      <c r="D1285" s="4" t="s">
        <v>2960</v>
      </c>
      <c r="E1285" s="3" t="s">
        <v>28</v>
      </c>
      <c r="F1285" s="3" t="s">
        <v>2961</v>
      </c>
      <c r="G1285" s="3" t="s">
        <v>2962</v>
      </c>
      <c r="H1285" s="3" t="s">
        <v>56</v>
      </c>
      <c r="I1285" s="3" t="s">
        <v>32</v>
      </c>
      <c r="J1285" s="3" t="s">
        <v>112</v>
      </c>
      <c r="K1285" s="3" t="s">
        <v>113</v>
      </c>
      <c r="L1285" s="3" t="s">
        <v>69</v>
      </c>
      <c r="M1285" s="3" t="s">
        <v>420</v>
      </c>
      <c r="N1285" s="3" t="s">
        <v>49</v>
      </c>
      <c r="O1285" s="3" t="s">
        <v>80</v>
      </c>
      <c r="P1285" s="3" t="s">
        <v>421</v>
      </c>
      <c r="Q1285" s="5" t="n">
        <v>1052.63</v>
      </c>
      <c r="R1285" s="3" t="n">
        <v>11</v>
      </c>
      <c r="S1285" s="6" t="n">
        <v>0</v>
      </c>
      <c r="T1285" s="5" t="n">
        <v>-184.6</v>
      </c>
      <c r="U1285" s="3" t="str">
        <f aca="false">IF(T1285&lt;0,"Loss",IF(T1285=0,"Break-even","Profit"))</f>
        <v>Loss</v>
      </c>
      <c r="V1285" s="3" t="str">
        <f aca="false">IF(Q1285&lt;100,"Low",IF(Q1285&lt;=500,"Medium","High"))</f>
        <v>High</v>
      </c>
      <c r="W1285" s="3" t="n">
        <f aca="false">D1285-C1285</f>
        <v>7</v>
      </c>
      <c r="X1285" s="3" t="str">
        <f aca="false">TEXT(C1285,"mmmm")</f>
        <v>June</v>
      </c>
      <c r="Y1285" s="3" t="str">
        <f aca="false">LEFT(G1285,1)&amp;MID(G1285,FIND(" ",G1285)+1,1)</f>
        <v>JN</v>
      </c>
    </row>
    <row r="1286" customFormat="false" ht="15" hidden="false" customHeight="false" outlineLevel="0" collapsed="false">
      <c r="A1286" s="3" t="n">
        <v>1285</v>
      </c>
      <c r="B1286" s="3" t="s">
        <v>2963</v>
      </c>
      <c r="C1286" s="4" t="s">
        <v>2954</v>
      </c>
      <c r="D1286" s="4" t="s">
        <v>2964</v>
      </c>
      <c r="E1286" s="3" t="s">
        <v>28</v>
      </c>
      <c r="F1286" s="3" t="s">
        <v>232</v>
      </c>
      <c r="G1286" s="3" t="s">
        <v>233</v>
      </c>
      <c r="H1286" s="3" t="s">
        <v>45</v>
      </c>
      <c r="I1286" s="3" t="s">
        <v>32</v>
      </c>
      <c r="J1286" s="3" t="s">
        <v>243</v>
      </c>
      <c r="K1286" s="3" t="s">
        <v>244</v>
      </c>
      <c r="L1286" s="3" t="s">
        <v>157</v>
      </c>
      <c r="M1286" s="3" t="s">
        <v>79</v>
      </c>
      <c r="N1286" s="3" t="s">
        <v>49</v>
      </c>
      <c r="O1286" s="3" t="s">
        <v>80</v>
      </c>
      <c r="P1286" s="3" t="s">
        <v>81</v>
      </c>
      <c r="Q1286" s="5" t="n">
        <v>230.31</v>
      </c>
      <c r="R1286" s="3" t="n">
        <v>12</v>
      </c>
      <c r="S1286" s="6" t="n">
        <v>0</v>
      </c>
      <c r="T1286" s="5" t="n">
        <v>-33.54</v>
      </c>
      <c r="U1286" s="3" t="str">
        <f aca="false">IF(T1286&lt;0,"Loss",IF(T1286=0,"Break-even","Profit"))</f>
        <v>Loss</v>
      </c>
      <c r="V1286" s="3" t="str">
        <f aca="false">IF(Q1286&lt;100,"Low",IF(Q1286&lt;=500,"Medium","High"))</f>
        <v>Medium</v>
      </c>
      <c r="W1286" s="3" t="n">
        <f aca="false">D1286-C1286</f>
        <v>3</v>
      </c>
      <c r="X1286" s="3" t="str">
        <f aca="false">TEXT(C1286,"mmmm")</f>
        <v>June</v>
      </c>
      <c r="Y1286" s="3" t="str">
        <f aca="false">LEFT(G1286,1)&amp;MID(G1286,FIND(" ",G1286)+1,1)</f>
        <v>PN</v>
      </c>
    </row>
    <row r="1287" customFormat="false" ht="15" hidden="false" customHeight="false" outlineLevel="0" collapsed="false">
      <c r="A1287" s="3" t="n">
        <v>1286</v>
      </c>
      <c r="B1287" s="3" t="s">
        <v>2965</v>
      </c>
      <c r="C1287" s="4" t="s">
        <v>2951</v>
      </c>
      <c r="D1287" s="4" t="s">
        <v>2966</v>
      </c>
      <c r="E1287" s="3" t="s">
        <v>28</v>
      </c>
      <c r="F1287" s="3" t="s">
        <v>327</v>
      </c>
      <c r="G1287" s="3" t="s">
        <v>328</v>
      </c>
      <c r="H1287" s="3" t="s">
        <v>56</v>
      </c>
      <c r="I1287" s="3" t="s">
        <v>32</v>
      </c>
      <c r="J1287" s="3" t="s">
        <v>679</v>
      </c>
      <c r="K1287" s="3" t="s">
        <v>202</v>
      </c>
      <c r="L1287" s="3" t="s">
        <v>35</v>
      </c>
      <c r="M1287" s="3" t="s">
        <v>559</v>
      </c>
      <c r="N1287" s="3" t="s">
        <v>37</v>
      </c>
      <c r="O1287" s="3" t="s">
        <v>38</v>
      </c>
      <c r="P1287" s="3" t="s">
        <v>560</v>
      </c>
      <c r="Q1287" s="5" t="n">
        <v>7340.5</v>
      </c>
      <c r="R1287" s="3" t="n">
        <v>5</v>
      </c>
      <c r="S1287" s="6" t="n">
        <v>0</v>
      </c>
      <c r="T1287" s="5" t="n">
        <v>-1084.9</v>
      </c>
      <c r="U1287" s="3" t="str">
        <f aca="false">IF(T1287&lt;0,"Loss",IF(T1287=0,"Break-even","Profit"))</f>
        <v>Loss</v>
      </c>
      <c r="V1287" s="3" t="str">
        <f aca="false">IF(Q1287&lt;100,"Low",IF(Q1287&lt;=500,"Medium","High"))</f>
        <v>High</v>
      </c>
      <c r="W1287" s="3" t="n">
        <f aca="false">D1287-C1287</f>
        <v>5</v>
      </c>
      <c r="X1287" s="3" t="str">
        <f aca="false">TEXT(C1287,"mmmm")</f>
        <v>June</v>
      </c>
      <c r="Y1287" s="3" t="str">
        <f aca="false">LEFT(G1287,1)&amp;MID(G1287,FIND(" ",G1287)+1,1)</f>
        <v>EW</v>
      </c>
    </row>
    <row r="1288" customFormat="false" ht="15" hidden="false" customHeight="false" outlineLevel="0" collapsed="false">
      <c r="A1288" s="3" t="n">
        <v>1287</v>
      </c>
      <c r="B1288" s="3" t="s">
        <v>2967</v>
      </c>
      <c r="C1288" s="4" t="s">
        <v>2951</v>
      </c>
      <c r="D1288" s="4" t="s">
        <v>2958</v>
      </c>
      <c r="E1288" s="3" t="s">
        <v>28</v>
      </c>
      <c r="F1288" s="3" t="s">
        <v>1735</v>
      </c>
      <c r="G1288" s="3" t="s">
        <v>1736</v>
      </c>
      <c r="H1288" s="3" t="s">
        <v>56</v>
      </c>
      <c r="I1288" s="3" t="s">
        <v>32</v>
      </c>
      <c r="J1288" s="3" t="s">
        <v>306</v>
      </c>
      <c r="K1288" s="3" t="s">
        <v>307</v>
      </c>
      <c r="L1288" s="3" t="s">
        <v>69</v>
      </c>
      <c r="M1288" s="3" t="s">
        <v>70</v>
      </c>
      <c r="N1288" s="3" t="s">
        <v>37</v>
      </c>
      <c r="O1288" s="3" t="s">
        <v>71</v>
      </c>
      <c r="P1288" s="3" t="s">
        <v>72</v>
      </c>
      <c r="Q1288" s="5" t="n">
        <v>12583.99</v>
      </c>
      <c r="R1288" s="3" t="n">
        <v>9</v>
      </c>
      <c r="S1288" s="6" t="n">
        <v>0</v>
      </c>
      <c r="T1288" s="5" t="n">
        <v>578.56</v>
      </c>
      <c r="U1288" s="3" t="str">
        <f aca="false">IF(T1288&lt;0,"Loss",IF(T1288=0,"Break-even","Profit"))</f>
        <v>Profit</v>
      </c>
      <c r="V1288" s="3" t="str">
        <f aca="false">IF(Q1288&lt;100,"Low",IF(Q1288&lt;=500,"Medium","High"))</f>
        <v>High</v>
      </c>
      <c r="W1288" s="3" t="n">
        <f aca="false">D1288-C1288</f>
        <v>4</v>
      </c>
      <c r="X1288" s="3" t="str">
        <f aca="false">TEXT(C1288,"mmmm")</f>
        <v>June</v>
      </c>
      <c r="Y1288" s="3" t="str">
        <f aca="false">LEFT(G1288,1)&amp;MID(G1288,FIND(" ",G1288)+1,1)</f>
        <v>CG</v>
      </c>
    </row>
    <row r="1289" customFormat="false" ht="15" hidden="false" customHeight="false" outlineLevel="0" collapsed="false">
      <c r="A1289" s="3" t="n">
        <v>1288</v>
      </c>
      <c r="B1289" s="3" t="s">
        <v>2968</v>
      </c>
      <c r="C1289" s="4" t="s">
        <v>2946</v>
      </c>
      <c r="D1289" s="4" t="s">
        <v>2969</v>
      </c>
      <c r="E1289" s="3" t="s">
        <v>28</v>
      </c>
      <c r="F1289" s="3" t="s">
        <v>486</v>
      </c>
      <c r="G1289" s="3" t="s">
        <v>487</v>
      </c>
      <c r="H1289" s="3" t="s">
        <v>31</v>
      </c>
      <c r="I1289" s="3" t="s">
        <v>32</v>
      </c>
      <c r="J1289" s="3" t="s">
        <v>148</v>
      </c>
      <c r="K1289" s="3" t="s">
        <v>78</v>
      </c>
      <c r="L1289" s="3" t="s">
        <v>59</v>
      </c>
      <c r="M1289" s="3" t="s">
        <v>105</v>
      </c>
      <c r="N1289" s="3" t="s">
        <v>49</v>
      </c>
      <c r="O1289" s="3" t="s">
        <v>106</v>
      </c>
      <c r="P1289" s="3" t="s">
        <v>107</v>
      </c>
      <c r="Q1289" s="5" t="n">
        <v>804.68</v>
      </c>
      <c r="R1289" s="3" t="n">
        <v>8</v>
      </c>
      <c r="S1289" s="6" t="n">
        <v>0.3</v>
      </c>
      <c r="T1289" s="5" t="n">
        <v>-131.98</v>
      </c>
      <c r="U1289" s="3" t="str">
        <f aca="false">IF(T1289&lt;0,"Loss",IF(T1289=0,"Break-even","Profit"))</f>
        <v>Loss</v>
      </c>
      <c r="V1289" s="3" t="str">
        <f aca="false">IF(Q1289&lt;100,"Low",IF(Q1289&lt;=500,"Medium","High"))</f>
        <v>High</v>
      </c>
      <c r="W1289" s="3" t="n">
        <f aca="false">D1289-C1289</f>
        <v>7</v>
      </c>
      <c r="X1289" s="3" t="str">
        <f aca="false">TEXT(C1289,"mmmm")</f>
        <v>June</v>
      </c>
      <c r="Y1289" s="3" t="str">
        <f aca="false">LEFT(G1289,1)&amp;MID(G1289,FIND(" ",G1289)+1,1)</f>
        <v>JB</v>
      </c>
    </row>
    <row r="1290" customFormat="false" ht="15" hidden="false" customHeight="false" outlineLevel="0" collapsed="false">
      <c r="A1290" s="3" t="n">
        <v>1289</v>
      </c>
      <c r="B1290" s="3" t="s">
        <v>2970</v>
      </c>
      <c r="C1290" s="4" t="s">
        <v>2946</v>
      </c>
      <c r="D1290" s="4" t="s">
        <v>2964</v>
      </c>
      <c r="E1290" s="3" t="s">
        <v>42</v>
      </c>
      <c r="F1290" s="3" t="s">
        <v>2742</v>
      </c>
      <c r="G1290" s="3" t="s">
        <v>2743</v>
      </c>
      <c r="H1290" s="3" t="s">
        <v>56</v>
      </c>
      <c r="I1290" s="3" t="s">
        <v>32</v>
      </c>
      <c r="J1290" s="3" t="s">
        <v>663</v>
      </c>
      <c r="K1290" s="3" t="s">
        <v>307</v>
      </c>
      <c r="L1290" s="3" t="s">
        <v>69</v>
      </c>
      <c r="M1290" s="3" t="s">
        <v>190</v>
      </c>
      <c r="N1290" s="3" t="s">
        <v>49</v>
      </c>
      <c r="O1290" s="3" t="s">
        <v>150</v>
      </c>
      <c r="P1290" s="3" t="s">
        <v>191</v>
      </c>
      <c r="Q1290" s="5" t="n">
        <v>53.88</v>
      </c>
      <c r="R1290" s="3" t="n">
        <v>4</v>
      </c>
      <c r="S1290" s="6" t="n">
        <v>0.4</v>
      </c>
      <c r="T1290" s="5" t="n">
        <v>11.87</v>
      </c>
      <c r="U1290" s="3" t="str">
        <f aca="false">IF(T1290&lt;0,"Loss",IF(T1290=0,"Break-even","Profit"))</f>
        <v>Profit</v>
      </c>
      <c r="V1290" s="3" t="str">
        <f aca="false">IF(Q1290&lt;100,"Low",IF(Q1290&lt;=500,"Medium","High"))</f>
        <v>Low</v>
      </c>
      <c r="W1290" s="3" t="n">
        <f aca="false">D1290-C1290</f>
        <v>1</v>
      </c>
      <c r="X1290" s="3" t="str">
        <f aca="false">TEXT(C1290,"mmmm")</f>
        <v>June</v>
      </c>
      <c r="Y1290" s="3" t="str">
        <f aca="false">LEFT(G1290,1)&amp;MID(G1290,FIND(" ",G1290)+1,1)</f>
        <v>DA</v>
      </c>
    </row>
    <row r="1291" customFormat="false" ht="15" hidden="false" customHeight="false" outlineLevel="0" collapsed="false">
      <c r="A1291" s="3" t="n">
        <v>1290</v>
      </c>
      <c r="B1291" s="3" t="s">
        <v>2971</v>
      </c>
      <c r="C1291" s="4" t="s">
        <v>2946</v>
      </c>
      <c r="D1291" s="4" t="s">
        <v>2972</v>
      </c>
      <c r="E1291" s="3" t="s">
        <v>28</v>
      </c>
      <c r="F1291" s="3" t="s">
        <v>2921</v>
      </c>
      <c r="G1291" s="3" t="s">
        <v>2922</v>
      </c>
      <c r="H1291" s="3" t="s">
        <v>56</v>
      </c>
      <c r="I1291" s="3" t="s">
        <v>32</v>
      </c>
      <c r="J1291" s="3" t="s">
        <v>476</v>
      </c>
      <c r="K1291" s="3" t="s">
        <v>366</v>
      </c>
      <c r="L1291" s="3" t="s">
        <v>157</v>
      </c>
      <c r="M1291" s="3" t="s">
        <v>114</v>
      </c>
      <c r="N1291" s="3" t="s">
        <v>49</v>
      </c>
      <c r="O1291" s="3" t="s">
        <v>61</v>
      </c>
      <c r="P1291" s="3" t="s">
        <v>115</v>
      </c>
      <c r="Q1291" s="5" t="n">
        <v>263.33</v>
      </c>
      <c r="R1291" s="3" t="n">
        <v>3</v>
      </c>
      <c r="S1291" s="6" t="n">
        <v>0.1</v>
      </c>
      <c r="T1291" s="5" t="n">
        <v>33.68</v>
      </c>
      <c r="U1291" s="3" t="str">
        <f aca="false">IF(T1291&lt;0,"Loss",IF(T1291=0,"Break-even","Profit"))</f>
        <v>Profit</v>
      </c>
      <c r="V1291" s="3" t="str">
        <f aca="false">IF(Q1291&lt;100,"Low",IF(Q1291&lt;=500,"Medium","High"))</f>
        <v>Medium</v>
      </c>
      <c r="W1291" s="3" t="n">
        <f aca="false">D1291-C1291</f>
        <v>6</v>
      </c>
      <c r="X1291" s="3" t="str">
        <f aca="false">TEXT(C1291,"mmmm")</f>
        <v>June</v>
      </c>
      <c r="Y1291" s="3" t="str">
        <f aca="false">LEFT(G1291,1)&amp;MID(G1291,FIND(" ",G1291)+1,1)</f>
        <v>MM</v>
      </c>
    </row>
    <row r="1292" customFormat="false" ht="15" hidden="false" customHeight="false" outlineLevel="0" collapsed="false">
      <c r="A1292" s="3" t="n">
        <v>1291</v>
      </c>
      <c r="B1292" s="3" t="s">
        <v>2973</v>
      </c>
      <c r="C1292" s="4" t="s">
        <v>2964</v>
      </c>
      <c r="D1292" s="4" t="s">
        <v>2974</v>
      </c>
      <c r="E1292" s="3" t="s">
        <v>28</v>
      </c>
      <c r="F1292" s="3" t="s">
        <v>943</v>
      </c>
      <c r="G1292" s="3" t="s">
        <v>944</v>
      </c>
      <c r="H1292" s="3" t="s">
        <v>56</v>
      </c>
      <c r="I1292" s="3" t="s">
        <v>32</v>
      </c>
      <c r="J1292" s="3" t="s">
        <v>179</v>
      </c>
      <c r="K1292" s="3" t="s">
        <v>47</v>
      </c>
      <c r="L1292" s="3" t="s">
        <v>35</v>
      </c>
      <c r="M1292" s="3" t="s">
        <v>559</v>
      </c>
      <c r="N1292" s="3" t="s">
        <v>37</v>
      </c>
      <c r="O1292" s="3" t="s">
        <v>38</v>
      </c>
      <c r="P1292" s="3" t="s">
        <v>560</v>
      </c>
      <c r="Q1292" s="5" t="n">
        <v>13885.66</v>
      </c>
      <c r="R1292" s="3" t="n">
        <v>14</v>
      </c>
      <c r="S1292" s="6" t="n">
        <v>0.3</v>
      </c>
      <c r="T1292" s="5" t="n">
        <v>3792.22</v>
      </c>
      <c r="U1292" s="3" t="str">
        <f aca="false">IF(T1292&lt;0,"Loss",IF(T1292=0,"Break-even","Profit"))</f>
        <v>Profit</v>
      </c>
      <c r="V1292" s="3" t="str">
        <f aca="false">IF(Q1292&lt;100,"Low",IF(Q1292&lt;=500,"Medium","High"))</f>
        <v>High</v>
      </c>
      <c r="W1292" s="3" t="n">
        <f aca="false">D1292-C1292</f>
        <v>7</v>
      </c>
      <c r="X1292" s="3" t="str">
        <f aca="false">TEXT(C1292,"mmmm")</f>
        <v>June</v>
      </c>
      <c r="Y1292" s="3" t="str">
        <f aca="false">LEFT(G1292,1)&amp;MID(G1292,FIND(" ",G1292)+1,1)</f>
        <v>AW</v>
      </c>
    </row>
    <row r="1293" customFormat="false" ht="15" hidden="false" customHeight="false" outlineLevel="0" collapsed="false">
      <c r="A1293" s="3" t="n">
        <v>1292</v>
      </c>
      <c r="B1293" s="3" t="s">
        <v>2975</v>
      </c>
      <c r="C1293" s="4" t="s">
        <v>2964</v>
      </c>
      <c r="D1293" s="4" t="s">
        <v>2974</v>
      </c>
      <c r="E1293" s="3" t="s">
        <v>28</v>
      </c>
      <c r="F1293" s="3" t="s">
        <v>2232</v>
      </c>
      <c r="G1293" s="3" t="s">
        <v>2233</v>
      </c>
      <c r="H1293" s="3" t="s">
        <v>56</v>
      </c>
      <c r="I1293" s="3" t="s">
        <v>32</v>
      </c>
      <c r="J1293" s="3" t="s">
        <v>215</v>
      </c>
      <c r="K1293" s="3" t="s">
        <v>34</v>
      </c>
      <c r="L1293" s="3" t="s">
        <v>35</v>
      </c>
      <c r="M1293" s="3" t="s">
        <v>447</v>
      </c>
      <c r="N1293" s="3" t="s">
        <v>89</v>
      </c>
      <c r="O1293" s="3" t="s">
        <v>323</v>
      </c>
      <c r="P1293" s="3" t="s">
        <v>448</v>
      </c>
      <c r="Q1293" s="5" t="n">
        <v>2874.21</v>
      </c>
      <c r="R1293" s="3" t="n">
        <v>10</v>
      </c>
      <c r="S1293" s="6" t="n">
        <v>0</v>
      </c>
      <c r="T1293" s="5" t="n">
        <v>-585.42</v>
      </c>
      <c r="U1293" s="3" t="str">
        <f aca="false">IF(T1293&lt;0,"Loss",IF(T1293=0,"Break-even","Profit"))</f>
        <v>Loss</v>
      </c>
      <c r="V1293" s="3" t="str">
        <f aca="false">IF(Q1293&lt;100,"Low",IF(Q1293&lt;=500,"Medium","High"))</f>
        <v>High</v>
      </c>
      <c r="W1293" s="3" t="n">
        <f aca="false">D1293-C1293</f>
        <v>7</v>
      </c>
      <c r="X1293" s="3" t="str">
        <f aca="false">TEXT(C1293,"mmmm")</f>
        <v>June</v>
      </c>
      <c r="Y1293" s="3" t="str">
        <f aca="false">LEFT(G1293,1)&amp;MID(G1293,FIND(" ",G1293)+1,1)</f>
        <v>EB</v>
      </c>
    </row>
    <row r="1294" customFormat="false" ht="15" hidden="false" customHeight="false" outlineLevel="0" collapsed="false">
      <c r="A1294" s="3" t="n">
        <v>1293</v>
      </c>
      <c r="B1294" s="3" t="s">
        <v>2976</v>
      </c>
      <c r="C1294" s="4" t="s">
        <v>2958</v>
      </c>
      <c r="D1294" s="4" t="s">
        <v>2969</v>
      </c>
      <c r="E1294" s="3" t="s">
        <v>28</v>
      </c>
      <c r="F1294" s="3" t="s">
        <v>1459</v>
      </c>
      <c r="G1294" s="3" t="s">
        <v>1460</v>
      </c>
      <c r="H1294" s="3" t="s">
        <v>56</v>
      </c>
      <c r="I1294" s="3" t="s">
        <v>32</v>
      </c>
      <c r="J1294" s="3" t="s">
        <v>548</v>
      </c>
      <c r="K1294" s="3" t="s">
        <v>244</v>
      </c>
      <c r="L1294" s="3" t="s">
        <v>157</v>
      </c>
      <c r="M1294" s="3" t="s">
        <v>195</v>
      </c>
      <c r="N1294" s="3" t="s">
        <v>37</v>
      </c>
      <c r="O1294" s="3" t="s">
        <v>196</v>
      </c>
      <c r="P1294" s="3" t="s">
        <v>197</v>
      </c>
      <c r="Q1294" s="5" t="n">
        <v>1481.78</v>
      </c>
      <c r="R1294" s="3" t="n">
        <v>11</v>
      </c>
      <c r="S1294" s="6" t="n">
        <v>0</v>
      </c>
      <c r="T1294" s="5" t="n">
        <v>268.27</v>
      </c>
      <c r="U1294" s="3" t="str">
        <f aca="false">IF(T1294&lt;0,"Loss",IF(T1294=0,"Break-even","Profit"))</f>
        <v>Profit</v>
      </c>
      <c r="V1294" s="3" t="str">
        <f aca="false">IF(Q1294&lt;100,"Low",IF(Q1294&lt;=500,"Medium","High"))</f>
        <v>High</v>
      </c>
      <c r="W1294" s="3" t="n">
        <f aca="false">D1294-C1294</f>
        <v>4</v>
      </c>
      <c r="X1294" s="3" t="str">
        <f aca="false">TEXT(C1294,"mmmm")</f>
        <v>June</v>
      </c>
      <c r="Y1294" s="3" t="str">
        <f aca="false">LEFT(G1294,1)&amp;MID(G1294,FIND(" ",G1294)+1,1)</f>
        <v>AS</v>
      </c>
    </row>
    <row r="1295" customFormat="false" ht="15" hidden="false" customHeight="false" outlineLevel="0" collapsed="false">
      <c r="A1295" s="3" t="n">
        <v>1294</v>
      </c>
      <c r="B1295" s="3" t="s">
        <v>2977</v>
      </c>
      <c r="C1295" s="4" t="s">
        <v>2958</v>
      </c>
      <c r="D1295" s="4" t="s">
        <v>2966</v>
      </c>
      <c r="E1295" s="3" t="s">
        <v>42</v>
      </c>
      <c r="F1295" s="3" t="s">
        <v>342</v>
      </c>
      <c r="G1295" s="3" t="s">
        <v>343</v>
      </c>
      <c r="H1295" s="3" t="s">
        <v>45</v>
      </c>
      <c r="I1295" s="3" t="s">
        <v>32</v>
      </c>
      <c r="J1295" s="3" t="s">
        <v>46</v>
      </c>
      <c r="K1295" s="3" t="s">
        <v>47</v>
      </c>
      <c r="L1295" s="3" t="s">
        <v>35</v>
      </c>
      <c r="M1295" s="3" t="s">
        <v>158</v>
      </c>
      <c r="N1295" s="3" t="s">
        <v>49</v>
      </c>
      <c r="O1295" s="3" t="s">
        <v>159</v>
      </c>
      <c r="P1295" s="3" t="s">
        <v>160</v>
      </c>
      <c r="Q1295" s="5" t="n">
        <v>1075.01</v>
      </c>
      <c r="R1295" s="3" t="n">
        <v>11</v>
      </c>
      <c r="S1295" s="6" t="n">
        <v>0</v>
      </c>
      <c r="T1295" s="5" t="n">
        <v>224.26</v>
      </c>
      <c r="U1295" s="3" t="str">
        <f aca="false">IF(T1295&lt;0,"Loss",IF(T1295=0,"Break-even","Profit"))</f>
        <v>Profit</v>
      </c>
      <c r="V1295" s="3" t="str">
        <f aca="false">IF(Q1295&lt;100,"Low",IF(Q1295&lt;=500,"Medium","High"))</f>
        <v>High</v>
      </c>
      <c r="W1295" s="3" t="n">
        <f aca="false">D1295-C1295</f>
        <v>1</v>
      </c>
      <c r="X1295" s="3" t="str">
        <f aca="false">TEXT(C1295,"mmmm")</f>
        <v>June</v>
      </c>
      <c r="Y1295" s="3" t="str">
        <f aca="false">LEFT(G1295,1)&amp;MID(G1295,FIND(" ",G1295)+1,1)</f>
        <v>JN</v>
      </c>
    </row>
    <row r="1296" customFormat="false" ht="15" hidden="false" customHeight="false" outlineLevel="0" collapsed="false">
      <c r="A1296" s="3" t="n">
        <v>1295</v>
      </c>
      <c r="B1296" s="3" t="s">
        <v>2978</v>
      </c>
      <c r="C1296" s="4" t="s">
        <v>2972</v>
      </c>
      <c r="D1296" s="4" t="s">
        <v>2979</v>
      </c>
      <c r="E1296" s="3" t="s">
        <v>28</v>
      </c>
      <c r="F1296" s="3" t="s">
        <v>699</v>
      </c>
      <c r="G1296" s="3" t="s">
        <v>700</v>
      </c>
      <c r="H1296" s="3" t="s">
        <v>56</v>
      </c>
      <c r="I1296" s="3" t="s">
        <v>32</v>
      </c>
      <c r="J1296" s="3" t="s">
        <v>148</v>
      </c>
      <c r="K1296" s="3" t="s">
        <v>78</v>
      </c>
      <c r="L1296" s="3" t="s">
        <v>59</v>
      </c>
      <c r="M1296" s="3" t="s">
        <v>290</v>
      </c>
      <c r="N1296" s="3" t="s">
        <v>37</v>
      </c>
      <c r="O1296" s="3" t="s">
        <v>38</v>
      </c>
      <c r="P1296" s="3" t="s">
        <v>291</v>
      </c>
      <c r="Q1296" s="5" t="n">
        <v>6546.09</v>
      </c>
      <c r="R1296" s="3" t="n">
        <v>11</v>
      </c>
      <c r="S1296" s="6" t="n">
        <v>0</v>
      </c>
      <c r="T1296" s="5" t="n">
        <v>338.71</v>
      </c>
      <c r="U1296" s="3" t="str">
        <f aca="false">IF(T1296&lt;0,"Loss",IF(T1296=0,"Break-even","Profit"))</f>
        <v>Profit</v>
      </c>
      <c r="V1296" s="3" t="str">
        <f aca="false">IF(Q1296&lt;100,"Low",IF(Q1296&lt;=500,"Medium","High"))</f>
        <v>High</v>
      </c>
      <c r="W1296" s="3" t="n">
        <f aca="false">D1296-C1296</f>
        <v>5</v>
      </c>
      <c r="X1296" s="3" t="str">
        <f aca="false">TEXT(C1296,"mmmm")</f>
        <v>June</v>
      </c>
      <c r="Y1296" s="3" t="str">
        <f aca="false">LEFT(G1296,1)&amp;MID(G1296,FIND(" ",G1296)+1,1)</f>
        <v>RJ</v>
      </c>
    </row>
    <row r="1297" customFormat="false" ht="15" hidden="false" customHeight="false" outlineLevel="0" collapsed="false">
      <c r="A1297" s="3" t="n">
        <v>1296</v>
      </c>
      <c r="B1297" s="3" t="s">
        <v>2980</v>
      </c>
      <c r="C1297" s="4" t="s">
        <v>2972</v>
      </c>
      <c r="D1297" s="4" t="s">
        <v>2981</v>
      </c>
      <c r="E1297" s="3" t="s">
        <v>28</v>
      </c>
      <c r="F1297" s="3" t="s">
        <v>2862</v>
      </c>
      <c r="G1297" s="3" t="s">
        <v>2863</v>
      </c>
      <c r="H1297" s="3" t="s">
        <v>56</v>
      </c>
      <c r="I1297" s="3" t="s">
        <v>32</v>
      </c>
      <c r="J1297" s="3" t="s">
        <v>46</v>
      </c>
      <c r="K1297" s="3" t="s">
        <v>47</v>
      </c>
      <c r="L1297" s="3" t="s">
        <v>35</v>
      </c>
      <c r="M1297" s="3" t="s">
        <v>97</v>
      </c>
      <c r="N1297" s="3" t="s">
        <v>89</v>
      </c>
      <c r="O1297" s="3" t="s">
        <v>90</v>
      </c>
      <c r="P1297" s="3" t="s">
        <v>98</v>
      </c>
      <c r="Q1297" s="5" t="n">
        <v>167.2</v>
      </c>
      <c r="R1297" s="3" t="n">
        <v>1</v>
      </c>
      <c r="S1297" s="6" t="n">
        <v>0.2</v>
      </c>
      <c r="T1297" s="5" t="n">
        <v>-21.82</v>
      </c>
      <c r="U1297" s="3" t="str">
        <f aca="false">IF(T1297&lt;0,"Loss",IF(T1297=0,"Break-even","Profit"))</f>
        <v>Loss</v>
      </c>
      <c r="V1297" s="3" t="str">
        <f aca="false">IF(Q1297&lt;100,"Low",IF(Q1297&lt;=500,"Medium","High"))</f>
        <v>Medium</v>
      </c>
      <c r="W1297" s="3" t="n">
        <f aca="false">D1297-C1297</f>
        <v>6</v>
      </c>
      <c r="X1297" s="3" t="str">
        <f aca="false">TEXT(C1297,"mmmm")</f>
        <v>June</v>
      </c>
      <c r="Y1297" s="3" t="str">
        <f aca="false">LEFT(G1297,1)&amp;MID(G1297,FIND(" ",G1297)+1,1)</f>
        <v>AK</v>
      </c>
    </row>
    <row r="1298" customFormat="false" ht="15" hidden="false" customHeight="false" outlineLevel="0" collapsed="false">
      <c r="A1298" s="3" t="n">
        <v>1297</v>
      </c>
      <c r="B1298" s="3" t="s">
        <v>2982</v>
      </c>
      <c r="C1298" s="4" t="s">
        <v>2983</v>
      </c>
      <c r="D1298" s="4" t="s">
        <v>2981</v>
      </c>
      <c r="E1298" s="3" t="s">
        <v>28</v>
      </c>
      <c r="F1298" s="3" t="s">
        <v>1314</v>
      </c>
      <c r="G1298" s="3" t="s">
        <v>1315</v>
      </c>
      <c r="H1298" s="3" t="s">
        <v>56</v>
      </c>
      <c r="I1298" s="3" t="s">
        <v>32</v>
      </c>
      <c r="J1298" s="3" t="s">
        <v>215</v>
      </c>
      <c r="K1298" s="3" t="s">
        <v>34</v>
      </c>
      <c r="L1298" s="3" t="s">
        <v>35</v>
      </c>
      <c r="M1298" s="3" t="s">
        <v>461</v>
      </c>
      <c r="N1298" s="3" t="s">
        <v>37</v>
      </c>
      <c r="O1298" s="3" t="s">
        <v>71</v>
      </c>
      <c r="P1298" s="3" t="s">
        <v>462</v>
      </c>
      <c r="Q1298" s="5" t="n">
        <v>18423.14</v>
      </c>
      <c r="R1298" s="3" t="n">
        <v>12</v>
      </c>
      <c r="S1298" s="6" t="n">
        <v>0.1</v>
      </c>
      <c r="T1298" s="5" t="n">
        <v>-1522.58</v>
      </c>
      <c r="U1298" s="3" t="str">
        <f aca="false">IF(T1298&lt;0,"Loss",IF(T1298=0,"Break-even","Profit"))</f>
        <v>Loss</v>
      </c>
      <c r="V1298" s="3" t="str">
        <f aca="false">IF(Q1298&lt;100,"Low",IF(Q1298&lt;=500,"Medium","High"))</f>
        <v>High</v>
      </c>
      <c r="W1298" s="3" t="n">
        <f aca="false">D1298-C1298</f>
        <v>3</v>
      </c>
      <c r="X1298" s="3" t="str">
        <f aca="false">TEXT(C1298,"mmmm")</f>
        <v>June</v>
      </c>
      <c r="Y1298" s="3" t="str">
        <f aca="false">LEFT(G1298,1)&amp;MID(G1298,FIND(" ",G1298)+1,1)</f>
        <v>MR</v>
      </c>
    </row>
    <row r="1299" customFormat="false" ht="15" hidden="false" customHeight="false" outlineLevel="0" collapsed="false">
      <c r="A1299" s="3" t="n">
        <v>1298</v>
      </c>
      <c r="B1299" s="3" t="s">
        <v>2984</v>
      </c>
      <c r="C1299" s="4" t="s">
        <v>2983</v>
      </c>
      <c r="D1299" s="4" t="s">
        <v>2985</v>
      </c>
      <c r="E1299" s="3" t="s">
        <v>28</v>
      </c>
      <c r="F1299" s="3" t="s">
        <v>1639</v>
      </c>
      <c r="G1299" s="3" t="s">
        <v>1640</v>
      </c>
      <c r="H1299" s="3" t="s">
        <v>56</v>
      </c>
      <c r="I1299" s="3" t="s">
        <v>32</v>
      </c>
      <c r="J1299" s="3" t="s">
        <v>120</v>
      </c>
      <c r="K1299" s="3" t="s">
        <v>113</v>
      </c>
      <c r="L1299" s="3" t="s">
        <v>69</v>
      </c>
      <c r="M1299" s="3" t="s">
        <v>225</v>
      </c>
      <c r="N1299" s="3" t="s">
        <v>37</v>
      </c>
      <c r="O1299" s="3" t="s">
        <v>196</v>
      </c>
      <c r="P1299" s="3" t="s">
        <v>226</v>
      </c>
      <c r="Q1299" s="5" t="n">
        <v>7707.56</v>
      </c>
      <c r="R1299" s="3" t="n">
        <v>7</v>
      </c>
      <c r="S1299" s="6" t="n">
        <v>0</v>
      </c>
      <c r="T1299" s="5" t="n">
        <v>-287</v>
      </c>
      <c r="U1299" s="3" t="str">
        <f aca="false">IF(T1299&lt;0,"Loss",IF(T1299=0,"Break-even","Profit"))</f>
        <v>Loss</v>
      </c>
      <c r="V1299" s="3" t="str">
        <f aca="false">IF(Q1299&lt;100,"Low",IF(Q1299&lt;=500,"Medium","High"))</f>
        <v>High</v>
      </c>
      <c r="W1299" s="3" t="n">
        <f aca="false">D1299-C1299</f>
        <v>7</v>
      </c>
      <c r="X1299" s="3" t="str">
        <f aca="false">TEXT(C1299,"mmmm")</f>
        <v>June</v>
      </c>
      <c r="Y1299" s="3" t="str">
        <f aca="false">LEFT(G1299,1)&amp;MID(G1299,FIND(" ",G1299)+1,1)</f>
        <v>FN</v>
      </c>
    </row>
    <row r="1300" customFormat="false" ht="15" hidden="false" customHeight="false" outlineLevel="0" collapsed="false">
      <c r="A1300" s="3" t="n">
        <v>1299</v>
      </c>
      <c r="B1300" s="3" t="s">
        <v>2986</v>
      </c>
      <c r="C1300" s="4" t="s">
        <v>2987</v>
      </c>
      <c r="D1300" s="4" t="s">
        <v>2988</v>
      </c>
      <c r="E1300" s="3" t="s">
        <v>28</v>
      </c>
      <c r="F1300" s="3" t="s">
        <v>479</v>
      </c>
      <c r="G1300" s="3" t="s">
        <v>480</v>
      </c>
      <c r="H1300" s="3" t="s">
        <v>56</v>
      </c>
      <c r="I1300" s="3" t="s">
        <v>32</v>
      </c>
      <c r="J1300" s="3" t="s">
        <v>77</v>
      </c>
      <c r="K1300" s="3" t="s">
        <v>78</v>
      </c>
      <c r="L1300" s="3" t="s">
        <v>59</v>
      </c>
      <c r="M1300" s="3" t="s">
        <v>300</v>
      </c>
      <c r="N1300" s="3" t="s">
        <v>49</v>
      </c>
      <c r="O1300" s="3" t="s">
        <v>143</v>
      </c>
      <c r="P1300" s="3" t="s">
        <v>301</v>
      </c>
      <c r="Q1300" s="5" t="n">
        <v>157.05</v>
      </c>
      <c r="R1300" s="3" t="n">
        <v>7</v>
      </c>
      <c r="S1300" s="6" t="n">
        <v>0</v>
      </c>
      <c r="T1300" s="5" t="n">
        <v>-5.88</v>
      </c>
      <c r="U1300" s="3" t="str">
        <f aca="false">IF(T1300&lt;0,"Loss",IF(T1300=0,"Break-even","Profit"))</f>
        <v>Loss</v>
      </c>
      <c r="V1300" s="3" t="str">
        <f aca="false">IF(Q1300&lt;100,"Low",IF(Q1300&lt;=500,"Medium","High"))</f>
        <v>Medium</v>
      </c>
      <c r="W1300" s="3" t="n">
        <f aca="false">D1300-C1300</f>
        <v>4</v>
      </c>
      <c r="X1300" s="3" t="str">
        <f aca="false">TEXT(C1300,"mmmm")</f>
        <v>June</v>
      </c>
      <c r="Y1300" s="3" t="str">
        <f aca="false">LEFT(G1300,1)&amp;MID(G1300,FIND(" ",G1300)+1,1)</f>
        <v>MK</v>
      </c>
    </row>
    <row r="1301" customFormat="false" ht="15" hidden="false" customHeight="false" outlineLevel="0" collapsed="false">
      <c r="A1301" s="3" t="n">
        <v>1300</v>
      </c>
      <c r="B1301" s="3" t="s">
        <v>2989</v>
      </c>
      <c r="C1301" s="4" t="s">
        <v>2987</v>
      </c>
      <c r="D1301" s="4" t="s">
        <v>2988</v>
      </c>
      <c r="E1301" s="3" t="s">
        <v>84</v>
      </c>
      <c r="F1301" s="3" t="s">
        <v>2085</v>
      </c>
      <c r="G1301" s="3" t="s">
        <v>2086</v>
      </c>
      <c r="H1301" s="3" t="s">
        <v>56</v>
      </c>
      <c r="I1301" s="3" t="s">
        <v>32</v>
      </c>
      <c r="J1301" s="3" t="s">
        <v>306</v>
      </c>
      <c r="K1301" s="3" t="s">
        <v>307</v>
      </c>
      <c r="L1301" s="3" t="s">
        <v>69</v>
      </c>
      <c r="M1301" s="3" t="s">
        <v>127</v>
      </c>
      <c r="N1301" s="3" t="s">
        <v>49</v>
      </c>
      <c r="O1301" s="3" t="s">
        <v>61</v>
      </c>
      <c r="P1301" s="3" t="s">
        <v>128</v>
      </c>
      <c r="Q1301" s="5" t="n">
        <v>81.53</v>
      </c>
      <c r="R1301" s="3" t="n">
        <v>4</v>
      </c>
      <c r="S1301" s="6" t="n">
        <v>0.3</v>
      </c>
      <c r="T1301" s="5" t="n">
        <v>10.78</v>
      </c>
      <c r="U1301" s="3" t="str">
        <f aca="false">IF(T1301&lt;0,"Loss",IF(T1301=0,"Break-even","Profit"))</f>
        <v>Profit</v>
      </c>
      <c r="V1301" s="3" t="str">
        <f aca="false">IF(Q1301&lt;100,"Low",IF(Q1301&lt;=500,"Medium","High"))</f>
        <v>Low</v>
      </c>
      <c r="W1301" s="3" t="n">
        <f aca="false">D1301-C1301</f>
        <v>4</v>
      </c>
      <c r="X1301" s="3" t="str">
        <f aca="false">TEXT(C1301,"mmmm")</f>
        <v>June</v>
      </c>
      <c r="Y1301" s="3" t="str">
        <f aca="false">LEFT(G1301,1)&amp;MID(G1301,FIND(" ",G1301)+1,1)</f>
        <v>RK</v>
      </c>
    </row>
    <row r="1302" customFormat="false" ht="15" hidden="false" customHeight="false" outlineLevel="0" collapsed="false">
      <c r="A1302" s="3" t="n">
        <v>1301</v>
      </c>
      <c r="B1302" s="3" t="s">
        <v>2990</v>
      </c>
      <c r="C1302" s="4" t="s">
        <v>2987</v>
      </c>
      <c r="D1302" s="4" t="s">
        <v>2985</v>
      </c>
      <c r="E1302" s="3" t="s">
        <v>28</v>
      </c>
      <c r="F1302" s="3" t="s">
        <v>426</v>
      </c>
      <c r="G1302" s="3" t="s">
        <v>427</v>
      </c>
      <c r="H1302" s="3" t="s">
        <v>56</v>
      </c>
      <c r="I1302" s="3" t="s">
        <v>32</v>
      </c>
      <c r="J1302" s="3" t="s">
        <v>179</v>
      </c>
      <c r="K1302" s="3" t="s">
        <v>47</v>
      </c>
      <c r="L1302" s="3" t="s">
        <v>35</v>
      </c>
      <c r="M1302" s="3" t="s">
        <v>165</v>
      </c>
      <c r="N1302" s="3" t="s">
        <v>89</v>
      </c>
      <c r="O1302" s="3" t="s">
        <v>166</v>
      </c>
      <c r="P1302" s="3" t="s">
        <v>167</v>
      </c>
      <c r="Q1302" s="5" t="n">
        <v>1499.56</v>
      </c>
      <c r="R1302" s="3" t="n">
        <v>5</v>
      </c>
      <c r="S1302" s="6" t="n">
        <v>0</v>
      </c>
      <c r="T1302" s="5" t="n">
        <v>135.41</v>
      </c>
      <c r="U1302" s="3" t="str">
        <f aca="false">IF(T1302&lt;0,"Loss",IF(T1302=0,"Break-even","Profit"))</f>
        <v>Profit</v>
      </c>
      <c r="V1302" s="3" t="str">
        <f aca="false">IF(Q1302&lt;100,"Low",IF(Q1302&lt;=500,"Medium","High"))</f>
        <v>High</v>
      </c>
      <c r="W1302" s="3" t="n">
        <f aca="false">D1302-C1302</f>
        <v>6</v>
      </c>
      <c r="X1302" s="3" t="str">
        <f aca="false">TEXT(C1302,"mmmm")</f>
        <v>June</v>
      </c>
      <c r="Y1302" s="3" t="str">
        <f aca="false">LEFT(G1302,1)&amp;MID(G1302,FIND(" ",G1302)+1,1)</f>
        <v>JG</v>
      </c>
    </row>
    <row r="1303" customFormat="false" ht="15" hidden="false" customHeight="false" outlineLevel="0" collapsed="false">
      <c r="A1303" s="3" t="n">
        <v>1302</v>
      </c>
      <c r="B1303" s="3" t="s">
        <v>2991</v>
      </c>
      <c r="C1303" s="4" t="s">
        <v>2979</v>
      </c>
      <c r="D1303" s="4" t="s">
        <v>2992</v>
      </c>
      <c r="E1303" s="3" t="s">
        <v>28</v>
      </c>
      <c r="F1303" s="3" t="s">
        <v>808</v>
      </c>
      <c r="G1303" s="3" t="s">
        <v>809</v>
      </c>
      <c r="H1303" s="3" t="s">
        <v>45</v>
      </c>
      <c r="I1303" s="3" t="s">
        <v>32</v>
      </c>
      <c r="J1303" s="3" t="s">
        <v>548</v>
      </c>
      <c r="K1303" s="3" t="s">
        <v>244</v>
      </c>
      <c r="L1303" s="3" t="s">
        <v>157</v>
      </c>
      <c r="M1303" s="3" t="s">
        <v>88</v>
      </c>
      <c r="N1303" s="3" t="s">
        <v>89</v>
      </c>
      <c r="O1303" s="3" t="s">
        <v>90</v>
      </c>
      <c r="P1303" s="3" t="s">
        <v>91</v>
      </c>
      <c r="Q1303" s="5" t="n">
        <v>2487.08</v>
      </c>
      <c r="R1303" s="3" t="n">
        <v>6</v>
      </c>
      <c r="S1303" s="6" t="n">
        <v>0</v>
      </c>
      <c r="T1303" s="5" t="n">
        <v>-534.91</v>
      </c>
      <c r="U1303" s="3" t="str">
        <f aca="false">IF(T1303&lt;0,"Loss",IF(T1303=0,"Break-even","Profit"))</f>
        <v>Loss</v>
      </c>
      <c r="V1303" s="3" t="str">
        <f aca="false">IF(Q1303&lt;100,"Low",IF(Q1303&lt;=500,"Medium","High"))</f>
        <v>High</v>
      </c>
      <c r="W1303" s="3" t="n">
        <f aca="false">D1303-C1303</f>
        <v>7</v>
      </c>
      <c r="X1303" s="3" t="str">
        <f aca="false">TEXT(C1303,"mmmm")</f>
        <v>June</v>
      </c>
      <c r="Y1303" s="3" t="str">
        <f aca="false">LEFT(G1303,1)&amp;MID(G1303,FIND(" ",G1303)+1,1)</f>
        <v>ET</v>
      </c>
    </row>
    <row r="1304" customFormat="false" ht="15" hidden="false" customHeight="false" outlineLevel="0" collapsed="false">
      <c r="A1304" s="3" t="n">
        <v>1303</v>
      </c>
      <c r="B1304" s="3" t="s">
        <v>2993</v>
      </c>
      <c r="C1304" s="4" t="s">
        <v>2981</v>
      </c>
      <c r="D1304" s="4" t="s">
        <v>2985</v>
      </c>
      <c r="E1304" s="3" t="s">
        <v>84</v>
      </c>
      <c r="F1304" s="3" t="s">
        <v>1095</v>
      </c>
      <c r="G1304" s="3" t="s">
        <v>1096</v>
      </c>
      <c r="H1304" s="3" t="s">
        <v>56</v>
      </c>
      <c r="I1304" s="3" t="s">
        <v>32</v>
      </c>
      <c r="J1304" s="3" t="s">
        <v>46</v>
      </c>
      <c r="K1304" s="3" t="s">
        <v>47</v>
      </c>
      <c r="L1304" s="3" t="s">
        <v>35</v>
      </c>
      <c r="M1304" s="3" t="s">
        <v>88</v>
      </c>
      <c r="N1304" s="3" t="s">
        <v>89</v>
      </c>
      <c r="O1304" s="3" t="s">
        <v>90</v>
      </c>
      <c r="P1304" s="3" t="s">
        <v>91</v>
      </c>
      <c r="Q1304" s="5" t="n">
        <v>2122.37</v>
      </c>
      <c r="R1304" s="3" t="n">
        <v>3</v>
      </c>
      <c r="S1304" s="6" t="n">
        <v>0</v>
      </c>
      <c r="T1304" s="5" t="n">
        <v>98.95</v>
      </c>
      <c r="U1304" s="3" t="str">
        <f aca="false">IF(T1304&lt;0,"Loss",IF(T1304=0,"Break-even","Profit"))</f>
        <v>Profit</v>
      </c>
      <c r="V1304" s="3" t="str">
        <f aca="false">IF(Q1304&lt;100,"Low",IF(Q1304&lt;=500,"Medium","High"))</f>
        <v>High</v>
      </c>
      <c r="W1304" s="3" t="n">
        <f aca="false">D1304-C1304</f>
        <v>4</v>
      </c>
      <c r="X1304" s="3" t="str">
        <f aca="false">TEXT(C1304,"mmmm")</f>
        <v>June</v>
      </c>
      <c r="Y1304" s="3" t="str">
        <f aca="false">LEFT(G1304,1)&amp;MID(G1304,FIND(" ",G1304)+1,1)</f>
        <v>JS</v>
      </c>
    </row>
    <row r="1305" customFormat="false" ht="15" hidden="false" customHeight="false" outlineLevel="0" collapsed="false">
      <c r="A1305" s="3" t="n">
        <v>1304</v>
      </c>
      <c r="B1305" s="3" t="s">
        <v>2994</v>
      </c>
      <c r="C1305" s="4" t="s">
        <v>2981</v>
      </c>
      <c r="D1305" s="4" t="s">
        <v>2995</v>
      </c>
      <c r="E1305" s="3" t="s">
        <v>28</v>
      </c>
      <c r="F1305" s="3" t="s">
        <v>304</v>
      </c>
      <c r="G1305" s="3" t="s">
        <v>305</v>
      </c>
      <c r="H1305" s="3" t="s">
        <v>45</v>
      </c>
      <c r="I1305" s="3" t="s">
        <v>32</v>
      </c>
      <c r="J1305" s="3" t="s">
        <v>365</v>
      </c>
      <c r="K1305" s="3" t="s">
        <v>366</v>
      </c>
      <c r="L1305" s="3" t="s">
        <v>157</v>
      </c>
      <c r="M1305" s="3" t="s">
        <v>470</v>
      </c>
      <c r="N1305" s="3" t="s">
        <v>49</v>
      </c>
      <c r="O1305" s="3" t="s">
        <v>159</v>
      </c>
      <c r="P1305" s="3" t="s">
        <v>471</v>
      </c>
      <c r="Q1305" s="5" t="n">
        <v>720.46</v>
      </c>
      <c r="R1305" s="3" t="n">
        <v>8</v>
      </c>
      <c r="S1305" s="6" t="n">
        <v>0.2</v>
      </c>
      <c r="T1305" s="5" t="n">
        <v>-198.9</v>
      </c>
      <c r="U1305" s="3" t="str">
        <f aca="false">IF(T1305&lt;0,"Loss",IF(T1305=0,"Break-even","Profit"))</f>
        <v>Loss</v>
      </c>
      <c r="V1305" s="3" t="str">
        <f aca="false">IF(Q1305&lt;100,"Low",IF(Q1305&lt;=500,"Medium","High"))</f>
        <v>High</v>
      </c>
      <c r="W1305" s="3" t="n">
        <f aca="false">D1305-C1305</f>
        <v>5</v>
      </c>
      <c r="X1305" s="3" t="str">
        <f aca="false">TEXT(C1305,"mmmm")</f>
        <v>June</v>
      </c>
      <c r="Y1305" s="3" t="str">
        <f aca="false">LEFT(G1305,1)&amp;MID(G1305,FIND(" ",G1305)+1,1)</f>
        <v>DW</v>
      </c>
    </row>
    <row r="1306" customFormat="false" ht="15" hidden="false" customHeight="false" outlineLevel="0" collapsed="false">
      <c r="A1306" s="3" t="n">
        <v>1305</v>
      </c>
      <c r="B1306" s="3" t="s">
        <v>2996</v>
      </c>
      <c r="C1306" s="4" t="s">
        <v>2981</v>
      </c>
      <c r="D1306" s="4" t="s">
        <v>2997</v>
      </c>
      <c r="E1306" s="3" t="s">
        <v>28</v>
      </c>
      <c r="F1306" s="3" t="s">
        <v>1493</v>
      </c>
      <c r="G1306" s="3" t="s">
        <v>1494</v>
      </c>
      <c r="H1306" s="3" t="s">
        <v>56</v>
      </c>
      <c r="I1306" s="3" t="s">
        <v>32</v>
      </c>
      <c r="J1306" s="3" t="s">
        <v>112</v>
      </c>
      <c r="K1306" s="3" t="s">
        <v>113</v>
      </c>
      <c r="L1306" s="3" t="s">
        <v>69</v>
      </c>
      <c r="M1306" s="3" t="s">
        <v>447</v>
      </c>
      <c r="N1306" s="3" t="s">
        <v>89</v>
      </c>
      <c r="O1306" s="3" t="s">
        <v>323</v>
      </c>
      <c r="P1306" s="3" t="s">
        <v>448</v>
      </c>
      <c r="Q1306" s="5" t="n">
        <v>2624.1</v>
      </c>
      <c r="R1306" s="3" t="n">
        <v>6</v>
      </c>
      <c r="S1306" s="6" t="n">
        <v>0</v>
      </c>
      <c r="T1306" s="5" t="n">
        <v>834.71</v>
      </c>
      <c r="U1306" s="3" t="str">
        <f aca="false">IF(T1306&lt;0,"Loss",IF(T1306=0,"Break-even","Profit"))</f>
        <v>Profit</v>
      </c>
      <c r="V1306" s="3" t="str">
        <f aca="false">IF(Q1306&lt;100,"Low",IF(Q1306&lt;=500,"Medium","High"))</f>
        <v>High</v>
      </c>
      <c r="W1306" s="3" t="n">
        <f aca="false">D1306-C1306</f>
        <v>7</v>
      </c>
      <c r="X1306" s="3" t="str">
        <f aca="false">TEXT(C1306,"mmmm")</f>
        <v>June</v>
      </c>
      <c r="Y1306" s="3" t="str">
        <f aca="false">LEFT(G1306,1)&amp;MID(G1306,FIND(" ",G1306)+1,1)</f>
        <v>DG</v>
      </c>
    </row>
    <row r="1307" customFormat="false" ht="15" hidden="false" customHeight="false" outlineLevel="0" collapsed="false">
      <c r="A1307" s="3" t="n">
        <v>1306</v>
      </c>
      <c r="B1307" s="3" t="s">
        <v>2998</v>
      </c>
      <c r="C1307" s="4" t="s">
        <v>2999</v>
      </c>
      <c r="D1307" s="4" t="s">
        <v>2999</v>
      </c>
      <c r="E1307" s="3" t="s">
        <v>53</v>
      </c>
      <c r="F1307" s="3" t="s">
        <v>393</v>
      </c>
      <c r="G1307" s="3" t="s">
        <v>394</v>
      </c>
      <c r="H1307" s="3" t="s">
        <v>56</v>
      </c>
      <c r="I1307" s="3" t="s">
        <v>32</v>
      </c>
      <c r="J1307" s="3" t="s">
        <v>77</v>
      </c>
      <c r="K1307" s="3" t="s">
        <v>78</v>
      </c>
      <c r="L1307" s="3" t="s">
        <v>59</v>
      </c>
      <c r="M1307" s="3" t="s">
        <v>48</v>
      </c>
      <c r="N1307" s="3" t="s">
        <v>49</v>
      </c>
      <c r="O1307" s="3" t="s">
        <v>50</v>
      </c>
      <c r="P1307" s="3" t="s">
        <v>51</v>
      </c>
      <c r="Q1307" s="5" t="n">
        <v>1491.65</v>
      </c>
      <c r="R1307" s="3" t="n">
        <v>13</v>
      </c>
      <c r="S1307" s="6" t="n">
        <v>0</v>
      </c>
      <c r="T1307" s="5" t="n">
        <v>371.88</v>
      </c>
      <c r="U1307" s="3" t="str">
        <f aca="false">IF(T1307&lt;0,"Loss",IF(T1307=0,"Break-even","Profit"))</f>
        <v>Profit</v>
      </c>
      <c r="V1307" s="3" t="str">
        <f aca="false">IF(Q1307&lt;100,"Low",IF(Q1307&lt;=500,"Medium","High"))</f>
        <v>High</v>
      </c>
      <c r="W1307" s="3" t="n">
        <f aca="false">D1307-C1307</f>
        <v>0</v>
      </c>
      <c r="X1307" s="3" t="str">
        <f aca="false">TEXT(C1307,"mmmm")</f>
        <v>June</v>
      </c>
      <c r="Y1307" s="3" t="str">
        <f aca="false">LEFT(G1307,1)&amp;MID(G1307,FIND(" ",G1307)+1,1)</f>
        <v>LD</v>
      </c>
    </row>
    <row r="1308" customFormat="false" ht="15" hidden="false" customHeight="false" outlineLevel="0" collapsed="false">
      <c r="A1308" s="3" t="n">
        <v>1307</v>
      </c>
      <c r="B1308" s="3" t="s">
        <v>3000</v>
      </c>
      <c r="C1308" s="4" t="s">
        <v>2988</v>
      </c>
      <c r="D1308" s="4" t="s">
        <v>3001</v>
      </c>
      <c r="E1308" s="3" t="s">
        <v>28</v>
      </c>
      <c r="F1308" s="3" t="s">
        <v>390</v>
      </c>
      <c r="G1308" s="3" t="s">
        <v>391</v>
      </c>
      <c r="H1308" s="3" t="s">
        <v>56</v>
      </c>
      <c r="I1308" s="3" t="s">
        <v>32</v>
      </c>
      <c r="J1308" s="3" t="s">
        <v>873</v>
      </c>
      <c r="K1308" s="3" t="s">
        <v>387</v>
      </c>
      <c r="L1308" s="3" t="s">
        <v>35</v>
      </c>
      <c r="M1308" s="3" t="s">
        <v>121</v>
      </c>
      <c r="N1308" s="3" t="s">
        <v>49</v>
      </c>
      <c r="O1308" s="3" t="s">
        <v>50</v>
      </c>
      <c r="P1308" s="3" t="s">
        <v>122</v>
      </c>
      <c r="Q1308" s="5" t="n">
        <v>529.07</v>
      </c>
      <c r="R1308" s="3" t="n">
        <v>9</v>
      </c>
      <c r="S1308" s="6" t="n">
        <v>0</v>
      </c>
      <c r="T1308" s="5" t="n">
        <v>-115.73</v>
      </c>
      <c r="U1308" s="3" t="str">
        <f aca="false">IF(T1308&lt;0,"Loss",IF(T1308=0,"Break-even","Profit"))</f>
        <v>Loss</v>
      </c>
      <c r="V1308" s="3" t="str">
        <f aca="false">IF(Q1308&lt;100,"Low",IF(Q1308&lt;=500,"Medium","High"))</f>
        <v>High</v>
      </c>
      <c r="W1308" s="3" t="n">
        <f aca="false">D1308-C1308</f>
        <v>6</v>
      </c>
      <c r="X1308" s="3" t="str">
        <f aca="false">TEXT(C1308,"mmmm")</f>
        <v>June</v>
      </c>
      <c r="Y1308" s="3" t="str">
        <f aca="false">LEFT(G1308,1)&amp;MID(G1308,FIND(" ",G1308)+1,1)</f>
        <v>MA</v>
      </c>
    </row>
    <row r="1309" customFormat="false" ht="15" hidden="false" customHeight="false" outlineLevel="0" collapsed="false">
      <c r="A1309" s="3" t="n">
        <v>1308</v>
      </c>
      <c r="B1309" s="3" t="s">
        <v>3002</v>
      </c>
      <c r="C1309" s="4" t="s">
        <v>2988</v>
      </c>
      <c r="D1309" s="4" t="s">
        <v>2992</v>
      </c>
      <c r="E1309" s="3" t="s">
        <v>28</v>
      </c>
      <c r="F1309" s="3" t="s">
        <v>2647</v>
      </c>
      <c r="G1309" s="3" t="s">
        <v>2648</v>
      </c>
      <c r="H1309" s="3" t="s">
        <v>45</v>
      </c>
      <c r="I1309" s="3" t="s">
        <v>32</v>
      </c>
      <c r="J1309" s="3" t="s">
        <v>381</v>
      </c>
      <c r="K1309" s="3" t="s">
        <v>58</v>
      </c>
      <c r="L1309" s="3" t="s">
        <v>59</v>
      </c>
      <c r="M1309" s="3" t="s">
        <v>60</v>
      </c>
      <c r="N1309" s="3" t="s">
        <v>49</v>
      </c>
      <c r="O1309" s="3" t="s">
        <v>61</v>
      </c>
      <c r="P1309" s="3" t="s">
        <v>62</v>
      </c>
      <c r="Q1309" s="5" t="n">
        <v>937.84</v>
      </c>
      <c r="R1309" s="3" t="n">
        <v>11</v>
      </c>
      <c r="S1309" s="6" t="n">
        <v>0.1</v>
      </c>
      <c r="T1309" s="5" t="n">
        <v>145.21</v>
      </c>
      <c r="U1309" s="3" t="str">
        <f aca="false">IF(T1309&lt;0,"Loss",IF(T1309=0,"Break-even","Profit"))</f>
        <v>Profit</v>
      </c>
      <c r="V1309" s="3" t="str">
        <f aca="false">IF(Q1309&lt;100,"Low",IF(Q1309&lt;=500,"Medium","High"))</f>
        <v>High</v>
      </c>
      <c r="W1309" s="3" t="n">
        <f aca="false">D1309-C1309</f>
        <v>4</v>
      </c>
      <c r="X1309" s="3" t="str">
        <f aca="false">TEXT(C1309,"mmmm")</f>
        <v>June</v>
      </c>
      <c r="Y1309" s="3" t="str">
        <f aca="false">LEFT(G1309,1)&amp;MID(G1309,FIND(" ",G1309)+1,1)</f>
        <v>EJ</v>
      </c>
    </row>
    <row r="1310" customFormat="false" ht="15" hidden="false" customHeight="false" outlineLevel="0" collapsed="false">
      <c r="A1310" s="3" t="n">
        <v>1309</v>
      </c>
      <c r="B1310" s="3" t="s">
        <v>3003</v>
      </c>
      <c r="C1310" s="4" t="s">
        <v>2988</v>
      </c>
      <c r="D1310" s="4" t="s">
        <v>2995</v>
      </c>
      <c r="E1310" s="3" t="s">
        <v>84</v>
      </c>
      <c r="F1310" s="3" t="s">
        <v>169</v>
      </c>
      <c r="G1310" s="3" t="s">
        <v>170</v>
      </c>
      <c r="H1310" s="3" t="s">
        <v>45</v>
      </c>
      <c r="I1310" s="3" t="s">
        <v>32</v>
      </c>
      <c r="J1310" s="3" t="s">
        <v>215</v>
      </c>
      <c r="K1310" s="3" t="s">
        <v>34</v>
      </c>
      <c r="L1310" s="3" t="s">
        <v>35</v>
      </c>
      <c r="M1310" s="3" t="s">
        <v>253</v>
      </c>
      <c r="N1310" s="3" t="s">
        <v>89</v>
      </c>
      <c r="O1310" s="3" t="s">
        <v>90</v>
      </c>
      <c r="P1310" s="3" t="s">
        <v>254</v>
      </c>
      <c r="Q1310" s="5" t="n">
        <v>1491.85</v>
      </c>
      <c r="R1310" s="3" t="n">
        <v>6</v>
      </c>
      <c r="S1310" s="6" t="n">
        <v>0.2</v>
      </c>
      <c r="T1310" s="5" t="n">
        <v>142.06</v>
      </c>
      <c r="U1310" s="3" t="str">
        <f aca="false">IF(T1310&lt;0,"Loss",IF(T1310=0,"Break-even","Profit"))</f>
        <v>Profit</v>
      </c>
      <c r="V1310" s="3" t="str">
        <f aca="false">IF(Q1310&lt;100,"Low",IF(Q1310&lt;=500,"Medium","High"))</f>
        <v>High</v>
      </c>
      <c r="W1310" s="3" t="n">
        <f aca="false">D1310-C1310</f>
        <v>3</v>
      </c>
      <c r="X1310" s="3" t="str">
        <f aca="false">TEXT(C1310,"mmmm")</f>
        <v>June</v>
      </c>
      <c r="Y1310" s="3" t="str">
        <f aca="false">LEFT(G1310,1)&amp;MID(G1310,FIND(" ",G1310)+1,1)</f>
        <v>PK</v>
      </c>
    </row>
    <row r="1311" customFormat="false" ht="15" hidden="false" customHeight="false" outlineLevel="0" collapsed="false">
      <c r="A1311" s="3" t="n">
        <v>1310</v>
      </c>
      <c r="B1311" s="3" t="s">
        <v>3004</v>
      </c>
      <c r="C1311" s="4" t="s">
        <v>2988</v>
      </c>
      <c r="D1311" s="4" t="s">
        <v>2995</v>
      </c>
      <c r="E1311" s="3" t="s">
        <v>28</v>
      </c>
      <c r="F1311" s="3" t="s">
        <v>536</v>
      </c>
      <c r="G1311" s="3" t="s">
        <v>537</v>
      </c>
      <c r="H1311" s="3" t="s">
        <v>56</v>
      </c>
      <c r="I1311" s="3" t="s">
        <v>32</v>
      </c>
      <c r="J1311" s="3" t="s">
        <v>112</v>
      </c>
      <c r="K1311" s="3" t="s">
        <v>113</v>
      </c>
      <c r="L1311" s="3" t="s">
        <v>69</v>
      </c>
      <c r="M1311" s="3" t="s">
        <v>470</v>
      </c>
      <c r="N1311" s="3" t="s">
        <v>49</v>
      </c>
      <c r="O1311" s="3" t="s">
        <v>159</v>
      </c>
      <c r="P1311" s="3" t="s">
        <v>471</v>
      </c>
      <c r="Q1311" s="5" t="n">
        <v>73.68</v>
      </c>
      <c r="R1311" s="3" t="n">
        <v>4</v>
      </c>
      <c r="S1311" s="6" t="n">
        <v>0.3</v>
      </c>
      <c r="T1311" s="5" t="n">
        <v>11.9</v>
      </c>
      <c r="U1311" s="3" t="str">
        <f aca="false">IF(T1311&lt;0,"Loss",IF(T1311=0,"Break-even","Profit"))</f>
        <v>Profit</v>
      </c>
      <c r="V1311" s="3" t="str">
        <f aca="false">IF(Q1311&lt;100,"Low",IF(Q1311&lt;=500,"Medium","High"))</f>
        <v>Low</v>
      </c>
      <c r="W1311" s="3" t="n">
        <f aca="false">D1311-C1311</f>
        <v>3</v>
      </c>
      <c r="X1311" s="3" t="str">
        <f aca="false">TEXT(C1311,"mmmm")</f>
        <v>June</v>
      </c>
      <c r="Y1311" s="3" t="str">
        <f aca="false">LEFT(G1311,1)&amp;MID(G1311,FIND(" ",G1311)+1,1)</f>
        <v>EB</v>
      </c>
    </row>
    <row r="1312" customFormat="false" ht="15" hidden="false" customHeight="false" outlineLevel="0" collapsed="false">
      <c r="A1312" s="3" t="n">
        <v>1311</v>
      </c>
      <c r="B1312" s="3" t="s">
        <v>3005</v>
      </c>
      <c r="C1312" s="4" t="s">
        <v>3006</v>
      </c>
      <c r="D1312" s="4" t="s">
        <v>2997</v>
      </c>
      <c r="E1312" s="3" t="s">
        <v>28</v>
      </c>
      <c r="F1312" s="3" t="s">
        <v>1544</v>
      </c>
      <c r="G1312" s="3" t="s">
        <v>1545</v>
      </c>
      <c r="H1312" s="3" t="s">
        <v>56</v>
      </c>
      <c r="I1312" s="3" t="s">
        <v>32</v>
      </c>
      <c r="J1312" s="3" t="s">
        <v>133</v>
      </c>
      <c r="K1312" s="3" t="s">
        <v>134</v>
      </c>
      <c r="L1312" s="3" t="s">
        <v>69</v>
      </c>
      <c r="M1312" s="3" t="s">
        <v>121</v>
      </c>
      <c r="N1312" s="3" t="s">
        <v>49</v>
      </c>
      <c r="O1312" s="3" t="s">
        <v>50</v>
      </c>
      <c r="P1312" s="3" t="s">
        <v>122</v>
      </c>
      <c r="Q1312" s="5" t="n">
        <v>288.33</v>
      </c>
      <c r="R1312" s="3" t="n">
        <v>11</v>
      </c>
      <c r="S1312" s="6" t="n">
        <v>0</v>
      </c>
      <c r="T1312" s="5" t="n">
        <v>77.53</v>
      </c>
      <c r="U1312" s="3" t="str">
        <f aca="false">IF(T1312&lt;0,"Loss",IF(T1312=0,"Break-even","Profit"))</f>
        <v>Profit</v>
      </c>
      <c r="V1312" s="3" t="str">
        <f aca="false">IF(Q1312&lt;100,"Low",IF(Q1312&lt;=500,"Medium","High"))</f>
        <v>Medium</v>
      </c>
      <c r="W1312" s="3" t="n">
        <f aca="false">D1312-C1312</f>
        <v>4</v>
      </c>
      <c r="X1312" s="3" t="str">
        <f aca="false">TEXT(C1312,"mmmm")</f>
        <v>June</v>
      </c>
      <c r="Y1312" s="3" t="str">
        <f aca="false">LEFT(G1312,1)&amp;MID(G1312,FIND(" ",G1312)+1,1)</f>
        <v>PK</v>
      </c>
    </row>
    <row r="1313" customFormat="false" ht="15" hidden="false" customHeight="false" outlineLevel="0" collapsed="false">
      <c r="A1313" s="3" t="n">
        <v>1312</v>
      </c>
      <c r="B1313" s="3" t="s">
        <v>3007</v>
      </c>
      <c r="C1313" s="4" t="s">
        <v>3006</v>
      </c>
      <c r="D1313" s="4" t="s">
        <v>2992</v>
      </c>
      <c r="E1313" s="3" t="s">
        <v>28</v>
      </c>
      <c r="F1313" s="3" t="s">
        <v>2105</v>
      </c>
      <c r="G1313" s="3" t="s">
        <v>2106</v>
      </c>
      <c r="H1313" s="3" t="s">
        <v>56</v>
      </c>
      <c r="I1313" s="3" t="s">
        <v>32</v>
      </c>
      <c r="J1313" s="3" t="s">
        <v>155</v>
      </c>
      <c r="K1313" s="3" t="s">
        <v>156</v>
      </c>
      <c r="L1313" s="3" t="s">
        <v>157</v>
      </c>
      <c r="M1313" s="3" t="s">
        <v>105</v>
      </c>
      <c r="N1313" s="3" t="s">
        <v>49</v>
      </c>
      <c r="O1313" s="3" t="s">
        <v>106</v>
      </c>
      <c r="P1313" s="3" t="s">
        <v>107</v>
      </c>
      <c r="Q1313" s="5" t="n">
        <v>213.52</v>
      </c>
      <c r="R1313" s="3" t="n">
        <v>11</v>
      </c>
      <c r="S1313" s="6" t="n">
        <v>0.4</v>
      </c>
      <c r="T1313" s="5" t="n">
        <v>8.93</v>
      </c>
      <c r="U1313" s="3" t="str">
        <f aca="false">IF(T1313&lt;0,"Loss",IF(T1313=0,"Break-even","Profit"))</f>
        <v>Profit</v>
      </c>
      <c r="V1313" s="3" t="str">
        <f aca="false">IF(Q1313&lt;100,"Low",IF(Q1313&lt;=500,"Medium","High"))</f>
        <v>Medium</v>
      </c>
      <c r="W1313" s="3" t="n">
        <f aca="false">D1313-C1313</f>
        <v>3</v>
      </c>
      <c r="X1313" s="3" t="str">
        <f aca="false">TEXT(C1313,"mmmm")</f>
        <v>June</v>
      </c>
      <c r="Y1313" s="3" t="str">
        <f aca="false">LEFT(G1313,1)&amp;MID(G1313,FIND(" ",G1313)+1,1)</f>
        <v>AM</v>
      </c>
    </row>
    <row r="1314" customFormat="false" ht="15" hidden="false" customHeight="false" outlineLevel="0" collapsed="false">
      <c r="A1314" s="3" t="n">
        <v>1313</v>
      </c>
      <c r="B1314" s="3" t="s">
        <v>3008</v>
      </c>
      <c r="C1314" s="4" t="s">
        <v>2985</v>
      </c>
      <c r="D1314" s="4" t="s">
        <v>2997</v>
      </c>
      <c r="E1314" s="3" t="s">
        <v>84</v>
      </c>
      <c r="F1314" s="3" t="s">
        <v>565</v>
      </c>
      <c r="G1314" s="3" t="s">
        <v>566</v>
      </c>
      <c r="H1314" s="3" t="s">
        <v>31</v>
      </c>
      <c r="I1314" s="3" t="s">
        <v>32</v>
      </c>
      <c r="J1314" s="3" t="s">
        <v>415</v>
      </c>
      <c r="K1314" s="3" t="s">
        <v>202</v>
      </c>
      <c r="L1314" s="3" t="s">
        <v>35</v>
      </c>
      <c r="M1314" s="3" t="s">
        <v>48</v>
      </c>
      <c r="N1314" s="3" t="s">
        <v>49</v>
      </c>
      <c r="O1314" s="3" t="s">
        <v>50</v>
      </c>
      <c r="P1314" s="3" t="s">
        <v>51</v>
      </c>
      <c r="Q1314" s="5" t="n">
        <v>91.49</v>
      </c>
      <c r="R1314" s="3" t="n">
        <v>4</v>
      </c>
      <c r="S1314" s="6" t="n">
        <v>0.1</v>
      </c>
      <c r="T1314" s="5" t="n">
        <v>20.15</v>
      </c>
      <c r="U1314" s="3" t="str">
        <f aca="false">IF(T1314&lt;0,"Loss",IF(T1314=0,"Break-even","Profit"))</f>
        <v>Profit</v>
      </c>
      <c r="V1314" s="3" t="str">
        <f aca="false">IF(Q1314&lt;100,"Low",IF(Q1314&lt;=500,"Medium","High"))</f>
        <v>Low</v>
      </c>
      <c r="W1314" s="3" t="n">
        <f aca="false">D1314-C1314</f>
        <v>3</v>
      </c>
      <c r="X1314" s="3" t="str">
        <f aca="false">TEXT(C1314,"mmmm")</f>
        <v>June</v>
      </c>
      <c r="Y1314" s="3" t="str">
        <f aca="false">LEFT(G1314,1)&amp;MID(G1314,FIND(" ",G1314)+1,1)</f>
        <v>CS</v>
      </c>
    </row>
    <row r="1315" customFormat="false" ht="15" hidden="false" customHeight="false" outlineLevel="0" collapsed="false">
      <c r="A1315" s="3" t="n">
        <v>1314</v>
      </c>
      <c r="B1315" s="3" t="s">
        <v>3009</v>
      </c>
      <c r="C1315" s="4" t="s">
        <v>2985</v>
      </c>
      <c r="D1315" s="4" t="s">
        <v>2995</v>
      </c>
      <c r="E1315" s="3" t="s">
        <v>42</v>
      </c>
      <c r="F1315" s="3" t="s">
        <v>1927</v>
      </c>
      <c r="G1315" s="3" t="s">
        <v>1928</v>
      </c>
      <c r="H1315" s="3" t="s">
        <v>31</v>
      </c>
      <c r="I1315" s="3" t="s">
        <v>32</v>
      </c>
      <c r="J1315" s="3" t="s">
        <v>148</v>
      </c>
      <c r="K1315" s="3" t="s">
        <v>78</v>
      </c>
      <c r="L1315" s="3" t="s">
        <v>59</v>
      </c>
      <c r="M1315" s="3" t="s">
        <v>165</v>
      </c>
      <c r="N1315" s="3" t="s">
        <v>89</v>
      </c>
      <c r="O1315" s="3" t="s">
        <v>166</v>
      </c>
      <c r="P1315" s="3" t="s">
        <v>167</v>
      </c>
      <c r="Q1315" s="5" t="n">
        <v>6760.22</v>
      </c>
      <c r="R1315" s="3" t="n">
        <v>9</v>
      </c>
      <c r="S1315" s="6" t="n">
        <v>0.3</v>
      </c>
      <c r="T1315" s="5" t="n">
        <v>-1607.48</v>
      </c>
      <c r="U1315" s="3" t="str">
        <f aca="false">IF(T1315&lt;0,"Loss",IF(T1315=0,"Break-even","Profit"))</f>
        <v>Loss</v>
      </c>
      <c r="V1315" s="3" t="str">
        <f aca="false">IF(Q1315&lt;100,"Low",IF(Q1315&lt;=500,"Medium","High"))</f>
        <v>High</v>
      </c>
      <c r="W1315" s="3" t="n">
        <f aca="false">D1315-C1315</f>
        <v>1</v>
      </c>
      <c r="X1315" s="3" t="str">
        <f aca="false">TEXT(C1315,"mmmm")</f>
        <v>June</v>
      </c>
      <c r="Y1315" s="3" t="str">
        <f aca="false">LEFT(G1315,1)&amp;MID(G1315,FIND(" ",G1315)+1,1)</f>
        <v>RG</v>
      </c>
    </row>
    <row r="1316" customFormat="false" ht="15" hidden="false" customHeight="false" outlineLevel="0" collapsed="false">
      <c r="A1316" s="3" t="n">
        <v>1315</v>
      </c>
      <c r="B1316" s="3" t="s">
        <v>3010</v>
      </c>
      <c r="C1316" s="4" t="s">
        <v>2985</v>
      </c>
      <c r="D1316" s="4" t="s">
        <v>2992</v>
      </c>
      <c r="E1316" s="3" t="s">
        <v>42</v>
      </c>
      <c r="F1316" s="3" t="s">
        <v>263</v>
      </c>
      <c r="G1316" s="3" t="s">
        <v>264</v>
      </c>
      <c r="H1316" s="3" t="s">
        <v>56</v>
      </c>
      <c r="I1316" s="3" t="s">
        <v>32</v>
      </c>
      <c r="J1316" s="3" t="s">
        <v>120</v>
      </c>
      <c r="K1316" s="3" t="s">
        <v>113</v>
      </c>
      <c r="L1316" s="3" t="s">
        <v>69</v>
      </c>
      <c r="M1316" s="3" t="s">
        <v>48</v>
      </c>
      <c r="N1316" s="3" t="s">
        <v>49</v>
      </c>
      <c r="O1316" s="3" t="s">
        <v>50</v>
      </c>
      <c r="P1316" s="3" t="s">
        <v>51</v>
      </c>
      <c r="Q1316" s="5" t="n">
        <v>561.26</v>
      </c>
      <c r="R1316" s="3" t="n">
        <v>9</v>
      </c>
      <c r="S1316" s="6" t="n">
        <v>0</v>
      </c>
      <c r="T1316" s="5" t="n">
        <v>166.86</v>
      </c>
      <c r="U1316" s="3" t="str">
        <f aca="false">IF(T1316&lt;0,"Loss",IF(T1316=0,"Break-even","Profit"))</f>
        <v>Profit</v>
      </c>
      <c r="V1316" s="3" t="str">
        <f aca="false">IF(Q1316&lt;100,"Low",IF(Q1316&lt;=500,"Medium","High"))</f>
        <v>High</v>
      </c>
      <c r="W1316" s="3" t="n">
        <f aca="false">D1316-C1316</f>
        <v>2</v>
      </c>
      <c r="X1316" s="3" t="str">
        <f aca="false">TEXT(C1316,"mmmm")</f>
        <v>June</v>
      </c>
      <c r="Y1316" s="3" t="str">
        <f aca="false">LEFT(G1316,1)&amp;MID(G1316,FIND(" ",G1316)+1,1)</f>
        <v>MB</v>
      </c>
    </row>
    <row r="1317" customFormat="false" ht="15" hidden="false" customHeight="false" outlineLevel="0" collapsed="false">
      <c r="A1317" s="3" t="n">
        <v>1316</v>
      </c>
      <c r="B1317" s="3" t="s">
        <v>3011</v>
      </c>
      <c r="C1317" s="4" t="s">
        <v>2995</v>
      </c>
      <c r="D1317" s="4" t="s">
        <v>3012</v>
      </c>
      <c r="E1317" s="3" t="s">
        <v>28</v>
      </c>
      <c r="F1317" s="3" t="s">
        <v>423</v>
      </c>
      <c r="G1317" s="3" t="s">
        <v>424</v>
      </c>
      <c r="H1317" s="3" t="s">
        <v>45</v>
      </c>
      <c r="I1317" s="3" t="s">
        <v>32</v>
      </c>
      <c r="J1317" s="3" t="s">
        <v>171</v>
      </c>
      <c r="K1317" s="3" t="s">
        <v>172</v>
      </c>
      <c r="L1317" s="3" t="s">
        <v>157</v>
      </c>
      <c r="M1317" s="3" t="s">
        <v>219</v>
      </c>
      <c r="N1317" s="3" t="s">
        <v>49</v>
      </c>
      <c r="O1317" s="3" t="s">
        <v>220</v>
      </c>
      <c r="P1317" s="3" t="s">
        <v>221</v>
      </c>
      <c r="Q1317" s="5" t="n">
        <v>275.64</v>
      </c>
      <c r="R1317" s="3" t="n">
        <v>4</v>
      </c>
      <c r="S1317" s="6" t="n">
        <v>0.1</v>
      </c>
      <c r="T1317" s="5" t="n">
        <v>-38.67</v>
      </c>
      <c r="U1317" s="3" t="str">
        <f aca="false">IF(T1317&lt;0,"Loss",IF(T1317=0,"Break-even","Profit"))</f>
        <v>Loss</v>
      </c>
      <c r="V1317" s="3" t="str">
        <f aca="false">IF(Q1317&lt;100,"Low",IF(Q1317&lt;=500,"Medium","High"))</f>
        <v>Medium</v>
      </c>
      <c r="W1317" s="3" t="n">
        <f aca="false">D1317-C1317</f>
        <v>4</v>
      </c>
      <c r="X1317" s="3" t="str">
        <f aca="false">TEXT(C1317,"mmmm")</f>
        <v>June</v>
      </c>
      <c r="Y1317" s="3" t="str">
        <f aca="false">LEFT(G1317,1)&amp;MID(G1317,FIND(" ",G1317)+1,1)</f>
        <v>MC</v>
      </c>
    </row>
    <row r="1318" customFormat="false" ht="15" hidden="false" customHeight="false" outlineLevel="0" collapsed="false">
      <c r="A1318" s="3" t="n">
        <v>1317</v>
      </c>
      <c r="B1318" s="3" t="s">
        <v>3013</v>
      </c>
      <c r="C1318" s="4" t="s">
        <v>2997</v>
      </c>
      <c r="D1318" s="4" t="s">
        <v>3014</v>
      </c>
      <c r="E1318" s="3" t="s">
        <v>84</v>
      </c>
      <c r="F1318" s="3" t="s">
        <v>278</v>
      </c>
      <c r="G1318" s="3" t="s">
        <v>279</v>
      </c>
      <c r="H1318" s="3" t="s">
        <v>56</v>
      </c>
      <c r="I1318" s="3" t="s">
        <v>32</v>
      </c>
      <c r="J1318" s="3" t="s">
        <v>87</v>
      </c>
      <c r="K1318" s="3" t="s">
        <v>68</v>
      </c>
      <c r="L1318" s="3" t="s">
        <v>69</v>
      </c>
      <c r="M1318" s="3" t="s">
        <v>334</v>
      </c>
      <c r="N1318" s="3" t="s">
        <v>37</v>
      </c>
      <c r="O1318" s="3" t="s">
        <v>136</v>
      </c>
      <c r="P1318" s="3" t="s">
        <v>335</v>
      </c>
      <c r="Q1318" s="5" t="n">
        <v>8788.99</v>
      </c>
      <c r="R1318" s="3" t="n">
        <v>8</v>
      </c>
      <c r="S1318" s="6" t="n">
        <v>0</v>
      </c>
      <c r="T1318" s="5" t="n">
        <v>592.45</v>
      </c>
      <c r="U1318" s="3" t="str">
        <f aca="false">IF(T1318&lt;0,"Loss",IF(T1318=0,"Break-even","Profit"))</f>
        <v>Profit</v>
      </c>
      <c r="V1318" s="3" t="str">
        <f aca="false">IF(Q1318&lt;100,"Low",IF(Q1318&lt;=500,"Medium","High"))</f>
        <v>High</v>
      </c>
      <c r="W1318" s="3" t="n">
        <f aca="false">D1318-C1318</f>
        <v>4</v>
      </c>
      <c r="X1318" s="3" t="str">
        <f aca="false">TEXT(C1318,"mmmm")</f>
        <v>July</v>
      </c>
      <c r="Y1318" s="3" t="str">
        <f aca="false">LEFT(G1318,1)&amp;MID(G1318,FIND(" ",G1318)+1,1)</f>
        <v>FC</v>
      </c>
    </row>
    <row r="1319" customFormat="false" ht="15" hidden="false" customHeight="false" outlineLevel="0" collapsed="false">
      <c r="A1319" s="3" t="n">
        <v>1318</v>
      </c>
      <c r="B1319" s="3" t="s">
        <v>2717</v>
      </c>
      <c r="C1319" s="4" t="s">
        <v>3001</v>
      </c>
      <c r="D1319" s="4" t="s">
        <v>3014</v>
      </c>
      <c r="E1319" s="3" t="s">
        <v>84</v>
      </c>
      <c r="F1319" s="3" t="s">
        <v>542</v>
      </c>
      <c r="G1319" s="3" t="s">
        <v>543</v>
      </c>
      <c r="H1319" s="3" t="s">
        <v>31</v>
      </c>
      <c r="I1319" s="3" t="s">
        <v>32</v>
      </c>
      <c r="J1319" s="3" t="s">
        <v>208</v>
      </c>
      <c r="K1319" s="3" t="s">
        <v>134</v>
      </c>
      <c r="L1319" s="3" t="s">
        <v>69</v>
      </c>
      <c r="M1319" s="3" t="s">
        <v>88</v>
      </c>
      <c r="N1319" s="3" t="s">
        <v>89</v>
      </c>
      <c r="O1319" s="3" t="s">
        <v>90</v>
      </c>
      <c r="P1319" s="3" t="s">
        <v>91</v>
      </c>
      <c r="Q1319" s="5" t="n">
        <v>1803.87</v>
      </c>
      <c r="R1319" s="3" t="n">
        <v>11</v>
      </c>
      <c r="S1319" s="6" t="n">
        <v>0</v>
      </c>
      <c r="T1319" s="5" t="n">
        <v>-40.92</v>
      </c>
      <c r="U1319" s="3" t="str">
        <f aca="false">IF(T1319&lt;0,"Loss",IF(T1319=0,"Break-even","Profit"))</f>
        <v>Loss</v>
      </c>
      <c r="V1319" s="3" t="str">
        <f aca="false">IF(Q1319&lt;100,"Low",IF(Q1319&lt;=500,"Medium","High"))</f>
        <v>High</v>
      </c>
      <c r="W1319" s="3" t="n">
        <f aca="false">D1319-C1319</f>
        <v>3</v>
      </c>
      <c r="X1319" s="3" t="str">
        <f aca="false">TEXT(C1319,"mmmm")</f>
        <v>July</v>
      </c>
      <c r="Y1319" s="3" t="str">
        <f aca="false">LEFT(G1319,1)&amp;MID(G1319,FIND(" ",G1319)+1,1)</f>
        <v>WM</v>
      </c>
    </row>
    <row r="1320" customFormat="false" ht="15" hidden="false" customHeight="false" outlineLevel="0" collapsed="false">
      <c r="A1320" s="3" t="n">
        <v>1319</v>
      </c>
      <c r="B1320" s="3" t="s">
        <v>3015</v>
      </c>
      <c r="C1320" s="4" t="s">
        <v>3012</v>
      </c>
      <c r="D1320" s="4" t="s">
        <v>3014</v>
      </c>
      <c r="E1320" s="3" t="s">
        <v>84</v>
      </c>
      <c r="F1320" s="3" t="s">
        <v>1340</v>
      </c>
      <c r="G1320" s="3" t="s">
        <v>1341</v>
      </c>
      <c r="H1320" s="3" t="s">
        <v>31</v>
      </c>
      <c r="I1320" s="3" t="s">
        <v>32</v>
      </c>
      <c r="J1320" s="3" t="s">
        <v>104</v>
      </c>
      <c r="K1320" s="3" t="s">
        <v>96</v>
      </c>
      <c r="L1320" s="3" t="s">
        <v>59</v>
      </c>
      <c r="M1320" s="3" t="s">
        <v>447</v>
      </c>
      <c r="N1320" s="3" t="s">
        <v>89</v>
      </c>
      <c r="O1320" s="3" t="s">
        <v>323</v>
      </c>
      <c r="P1320" s="3" t="s">
        <v>448</v>
      </c>
      <c r="Q1320" s="5" t="n">
        <v>761.97</v>
      </c>
      <c r="R1320" s="3" t="n">
        <v>7</v>
      </c>
      <c r="S1320" s="6" t="n">
        <v>0.2</v>
      </c>
      <c r="T1320" s="5" t="n">
        <v>110.25</v>
      </c>
      <c r="U1320" s="3" t="str">
        <f aca="false">IF(T1320&lt;0,"Loss",IF(T1320=0,"Break-even","Profit"))</f>
        <v>Profit</v>
      </c>
      <c r="V1320" s="3" t="str">
        <f aca="false">IF(Q1320&lt;100,"Low",IF(Q1320&lt;=500,"Medium","High"))</f>
        <v>High</v>
      </c>
      <c r="W1320" s="3" t="n">
        <f aca="false">D1320-C1320</f>
        <v>2</v>
      </c>
      <c r="X1320" s="3" t="str">
        <f aca="false">TEXT(C1320,"mmmm")</f>
        <v>July</v>
      </c>
      <c r="Y1320" s="3" t="str">
        <f aca="false">LEFT(G1320,1)&amp;MID(G1320,FIND(" ",G1320)+1,1)</f>
        <v>MB</v>
      </c>
    </row>
    <row r="1321" customFormat="false" ht="15" hidden="false" customHeight="false" outlineLevel="0" collapsed="false">
      <c r="A1321" s="3" t="n">
        <v>1320</v>
      </c>
      <c r="B1321" s="3" t="s">
        <v>3016</v>
      </c>
      <c r="C1321" s="4" t="s">
        <v>3014</v>
      </c>
      <c r="D1321" s="4" t="s">
        <v>3017</v>
      </c>
      <c r="E1321" s="3" t="s">
        <v>28</v>
      </c>
      <c r="F1321" s="3" t="s">
        <v>1826</v>
      </c>
      <c r="G1321" s="3" t="s">
        <v>1827</v>
      </c>
      <c r="H1321" s="3" t="s">
        <v>56</v>
      </c>
      <c r="I1321" s="3" t="s">
        <v>32</v>
      </c>
      <c r="J1321" s="3" t="s">
        <v>33</v>
      </c>
      <c r="K1321" s="3" t="s">
        <v>34</v>
      </c>
      <c r="L1321" s="3" t="s">
        <v>35</v>
      </c>
      <c r="M1321" s="3" t="s">
        <v>225</v>
      </c>
      <c r="N1321" s="3" t="s">
        <v>37</v>
      </c>
      <c r="O1321" s="3" t="s">
        <v>196</v>
      </c>
      <c r="P1321" s="3" t="s">
        <v>226</v>
      </c>
      <c r="Q1321" s="5" t="n">
        <v>11668.78</v>
      </c>
      <c r="R1321" s="3" t="n">
        <v>8</v>
      </c>
      <c r="S1321" s="6" t="n">
        <v>0.1</v>
      </c>
      <c r="T1321" s="5" t="n">
        <v>1645.88</v>
      </c>
      <c r="U1321" s="3" t="str">
        <f aca="false">IF(T1321&lt;0,"Loss",IF(T1321=0,"Break-even","Profit"))</f>
        <v>Profit</v>
      </c>
      <c r="V1321" s="3" t="str">
        <f aca="false">IF(Q1321&lt;100,"Low",IF(Q1321&lt;=500,"Medium","High"))</f>
        <v>High</v>
      </c>
      <c r="W1321" s="3" t="n">
        <f aca="false">D1321-C1321</f>
        <v>7</v>
      </c>
      <c r="X1321" s="3" t="str">
        <f aca="false">TEXT(C1321,"mmmm")</f>
        <v>July</v>
      </c>
      <c r="Y1321" s="3" t="str">
        <f aca="false">LEFT(G1321,1)&amp;MID(G1321,FIND(" ",G1321)+1,1)</f>
        <v>EG</v>
      </c>
    </row>
    <row r="1322" customFormat="false" ht="15" hidden="false" customHeight="false" outlineLevel="0" collapsed="false">
      <c r="A1322" s="3" t="n">
        <v>1321</v>
      </c>
      <c r="B1322" s="3" t="s">
        <v>3018</v>
      </c>
      <c r="C1322" s="4" t="s">
        <v>3019</v>
      </c>
      <c r="D1322" s="4" t="s">
        <v>3020</v>
      </c>
      <c r="E1322" s="3" t="s">
        <v>28</v>
      </c>
      <c r="F1322" s="3" t="s">
        <v>1459</v>
      </c>
      <c r="G1322" s="3" t="s">
        <v>1460</v>
      </c>
      <c r="H1322" s="3" t="s">
        <v>56</v>
      </c>
      <c r="I1322" s="3" t="s">
        <v>32</v>
      </c>
      <c r="J1322" s="3" t="s">
        <v>46</v>
      </c>
      <c r="K1322" s="3" t="s">
        <v>47</v>
      </c>
      <c r="L1322" s="3" t="s">
        <v>35</v>
      </c>
      <c r="M1322" s="3" t="s">
        <v>190</v>
      </c>
      <c r="N1322" s="3" t="s">
        <v>49</v>
      </c>
      <c r="O1322" s="3" t="s">
        <v>150</v>
      </c>
      <c r="P1322" s="3" t="s">
        <v>191</v>
      </c>
      <c r="Q1322" s="5" t="n">
        <v>529.5</v>
      </c>
      <c r="R1322" s="3" t="n">
        <v>6</v>
      </c>
      <c r="S1322" s="6" t="n">
        <v>0</v>
      </c>
      <c r="T1322" s="5" t="n">
        <v>68.82</v>
      </c>
      <c r="U1322" s="3" t="str">
        <f aca="false">IF(T1322&lt;0,"Loss",IF(T1322=0,"Break-even","Profit"))</f>
        <v>Profit</v>
      </c>
      <c r="V1322" s="3" t="str">
        <f aca="false">IF(Q1322&lt;100,"Low",IF(Q1322&lt;=500,"Medium","High"))</f>
        <v>High</v>
      </c>
      <c r="W1322" s="3" t="n">
        <f aca="false">D1322-C1322</f>
        <v>6</v>
      </c>
      <c r="X1322" s="3" t="str">
        <f aca="false">TEXT(C1322,"mmmm")</f>
        <v>July</v>
      </c>
      <c r="Y1322" s="3" t="str">
        <f aca="false">LEFT(G1322,1)&amp;MID(G1322,FIND(" ",G1322)+1,1)</f>
        <v>AS</v>
      </c>
    </row>
    <row r="1323" customFormat="false" ht="15" hidden="false" customHeight="false" outlineLevel="0" collapsed="false">
      <c r="A1323" s="3" t="n">
        <v>1322</v>
      </c>
      <c r="B1323" s="3" t="s">
        <v>3021</v>
      </c>
      <c r="C1323" s="4" t="s">
        <v>3019</v>
      </c>
      <c r="D1323" s="4" t="s">
        <v>3022</v>
      </c>
      <c r="E1323" s="3" t="s">
        <v>42</v>
      </c>
      <c r="F1323" s="3" t="s">
        <v>29</v>
      </c>
      <c r="G1323" s="3" t="s">
        <v>30</v>
      </c>
      <c r="H1323" s="3" t="s">
        <v>45</v>
      </c>
      <c r="I1323" s="3" t="s">
        <v>32</v>
      </c>
      <c r="J1323" s="3" t="s">
        <v>365</v>
      </c>
      <c r="K1323" s="3" t="s">
        <v>366</v>
      </c>
      <c r="L1323" s="3" t="s">
        <v>157</v>
      </c>
      <c r="M1323" s="3" t="s">
        <v>219</v>
      </c>
      <c r="N1323" s="3" t="s">
        <v>49</v>
      </c>
      <c r="O1323" s="3" t="s">
        <v>220</v>
      </c>
      <c r="P1323" s="3" t="s">
        <v>221</v>
      </c>
      <c r="Q1323" s="5" t="n">
        <v>972.56</v>
      </c>
      <c r="R1323" s="3" t="n">
        <v>14</v>
      </c>
      <c r="S1323" s="6" t="n">
        <v>0.1</v>
      </c>
      <c r="T1323" s="5" t="n">
        <v>-33.87</v>
      </c>
      <c r="U1323" s="3" t="str">
        <f aca="false">IF(T1323&lt;0,"Loss",IF(T1323=0,"Break-even","Profit"))</f>
        <v>Loss</v>
      </c>
      <c r="V1323" s="3" t="str">
        <f aca="false">IF(Q1323&lt;100,"Low",IF(Q1323&lt;=500,"Medium","High"))</f>
        <v>High</v>
      </c>
      <c r="W1323" s="3" t="n">
        <f aca="false">D1323-C1323</f>
        <v>2</v>
      </c>
      <c r="X1323" s="3" t="str">
        <f aca="false">TEXT(C1323,"mmmm")</f>
        <v>July</v>
      </c>
      <c r="Y1323" s="3" t="str">
        <f aca="false">LEFT(G1323,1)&amp;MID(G1323,FIND(" ",G1323)+1,1)</f>
        <v>MK</v>
      </c>
    </row>
    <row r="1324" customFormat="false" ht="15" hidden="false" customHeight="false" outlineLevel="0" collapsed="false">
      <c r="A1324" s="3" t="n">
        <v>1323</v>
      </c>
      <c r="B1324" s="3" t="s">
        <v>3023</v>
      </c>
      <c r="C1324" s="4" t="s">
        <v>3019</v>
      </c>
      <c r="D1324" s="4" t="s">
        <v>3017</v>
      </c>
      <c r="E1324" s="3" t="s">
        <v>28</v>
      </c>
      <c r="F1324" s="3" t="s">
        <v>522</v>
      </c>
      <c r="G1324" s="3" t="s">
        <v>523</v>
      </c>
      <c r="H1324" s="3" t="s">
        <v>31</v>
      </c>
      <c r="I1324" s="3" t="s">
        <v>32</v>
      </c>
      <c r="J1324" s="3" t="s">
        <v>285</v>
      </c>
      <c r="K1324" s="3" t="s">
        <v>202</v>
      </c>
      <c r="L1324" s="3" t="s">
        <v>35</v>
      </c>
      <c r="M1324" s="3" t="s">
        <v>334</v>
      </c>
      <c r="N1324" s="3" t="s">
        <v>37</v>
      </c>
      <c r="O1324" s="3" t="s">
        <v>136</v>
      </c>
      <c r="P1324" s="3" t="s">
        <v>335</v>
      </c>
      <c r="Q1324" s="5" t="n">
        <v>14107.46</v>
      </c>
      <c r="R1324" s="3" t="n">
        <v>12</v>
      </c>
      <c r="S1324" s="6" t="n">
        <v>0</v>
      </c>
      <c r="T1324" s="5" t="n">
        <v>4057.11</v>
      </c>
      <c r="U1324" s="3" t="str">
        <f aca="false">IF(T1324&lt;0,"Loss",IF(T1324=0,"Break-even","Profit"))</f>
        <v>Profit</v>
      </c>
      <c r="V1324" s="3" t="str">
        <f aca="false">IF(Q1324&lt;100,"Low",IF(Q1324&lt;=500,"Medium","High"))</f>
        <v>High</v>
      </c>
      <c r="W1324" s="3" t="n">
        <f aca="false">D1324-C1324</f>
        <v>5</v>
      </c>
      <c r="X1324" s="3" t="str">
        <f aca="false">TEXT(C1324,"mmmm")</f>
        <v>July</v>
      </c>
      <c r="Y1324" s="3" t="str">
        <f aca="false">LEFT(G1324,1)&amp;MID(G1324,FIND(" ",G1324)+1,1)</f>
        <v>JS</v>
      </c>
    </row>
    <row r="1325" customFormat="false" ht="15" hidden="false" customHeight="false" outlineLevel="0" collapsed="false">
      <c r="A1325" s="3" t="n">
        <v>1324</v>
      </c>
      <c r="B1325" s="3" t="s">
        <v>2761</v>
      </c>
      <c r="C1325" s="4" t="s">
        <v>3024</v>
      </c>
      <c r="D1325" s="4" t="s">
        <v>3025</v>
      </c>
      <c r="E1325" s="3" t="s">
        <v>84</v>
      </c>
      <c r="F1325" s="3" t="s">
        <v>1493</v>
      </c>
      <c r="G1325" s="3" t="s">
        <v>1494</v>
      </c>
      <c r="H1325" s="3" t="s">
        <v>45</v>
      </c>
      <c r="I1325" s="3" t="s">
        <v>32</v>
      </c>
      <c r="J1325" s="3" t="s">
        <v>87</v>
      </c>
      <c r="K1325" s="3" t="s">
        <v>68</v>
      </c>
      <c r="L1325" s="3" t="s">
        <v>69</v>
      </c>
      <c r="M1325" s="3" t="s">
        <v>683</v>
      </c>
      <c r="N1325" s="3" t="s">
        <v>37</v>
      </c>
      <c r="O1325" s="3" t="s">
        <v>136</v>
      </c>
      <c r="P1325" s="3" t="s">
        <v>684</v>
      </c>
      <c r="Q1325" s="5" t="n">
        <v>13030.37</v>
      </c>
      <c r="R1325" s="3" t="n">
        <v>12</v>
      </c>
      <c r="S1325" s="6" t="n">
        <v>0</v>
      </c>
      <c r="T1325" s="5" t="n">
        <v>-300.65</v>
      </c>
      <c r="U1325" s="3" t="str">
        <f aca="false">IF(T1325&lt;0,"Loss",IF(T1325=0,"Break-even","Profit"))</f>
        <v>Loss</v>
      </c>
      <c r="V1325" s="3" t="str">
        <f aca="false">IF(Q1325&lt;100,"Low",IF(Q1325&lt;=500,"Medium","High"))</f>
        <v>High</v>
      </c>
      <c r="W1325" s="3" t="n">
        <f aca="false">D1325-C1325</f>
        <v>3</v>
      </c>
      <c r="X1325" s="3" t="str">
        <f aca="false">TEXT(C1325,"mmmm")</f>
        <v>July</v>
      </c>
      <c r="Y1325" s="3" t="str">
        <f aca="false">LEFT(G1325,1)&amp;MID(G1325,FIND(" ",G1325)+1,1)</f>
        <v>DG</v>
      </c>
    </row>
    <row r="1326" customFormat="false" ht="15" hidden="false" customHeight="false" outlineLevel="0" collapsed="false">
      <c r="A1326" s="3" t="n">
        <v>1325</v>
      </c>
      <c r="B1326" s="3" t="s">
        <v>2706</v>
      </c>
      <c r="C1326" s="4" t="s">
        <v>3024</v>
      </c>
      <c r="D1326" s="4" t="s">
        <v>3026</v>
      </c>
      <c r="E1326" s="3" t="s">
        <v>42</v>
      </c>
      <c r="F1326" s="3" t="s">
        <v>338</v>
      </c>
      <c r="G1326" s="3" t="s">
        <v>469</v>
      </c>
      <c r="H1326" s="3" t="s">
        <v>56</v>
      </c>
      <c r="I1326" s="3" t="s">
        <v>32</v>
      </c>
      <c r="J1326" s="3" t="s">
        <v>133</v>
      </c>
      <c r="K1326" s="3" t="s">
        <v>134</v>
      </c>
      <c r="L1326" s="3" t="s">
        <v>69</v>
      </c>
      <c r="M1326" s="3" t="s">
        <v>470</v>
      </c>
      <c r="N1326" s="3" t="s">
        <v>49</v>
      </c>
      <c r="O1326" s="3" t="s">
        <v>159</v>
      </c>
      <c r="P1326" s="3" t="s">
        <v>471</v>
      </c>
      <c r="Q1326" s="5" t="n">
        <v>887.54</v>
      </c>
      <c r="R1326" s="3" t="n">
        <v>13</v>
      </c>
      <c r="S1326" s="6" t="n">
        <v>0.2</v>
      </c>
      <c r="T1326" s="5" t="n">
        <v>-247.34</v>
      </c>
      <c r="U1326" s="3" t="str">
        <f aca="false">IF(T1326&lt;0,"Loss",IF(T1326=0,"Break-even","Profit"))</f>
        <v>Loss</v>
      </c>
      <c r="V1326" s="3" t="str">
        <f aca="false">IF(Q1326&lt;100,"Low",IF(Q1326&lt;=500,"Medium","High"))</f>
        <v>High</v>
      </c>
      <c r="W1326" s="3" t="n">
        <f aca="false">D1326-C1326</f>
        <v>2</v>
      </c>
      <c r="X1326" s="3" t="str">
        <f aca="false">TEXT(C1326,"mmmm")</f>
        <v>July</v>
      </c>
      <c r="Y1326" s="3" t="str">
        <f aca="false">LEFT(G1326,1)&amp;MID(G1326,FIND(" ",G1326)+1,1)</f>
        <v>WJ</v>
      </c>
    </row>
    <row r="1327" customFormat="false" ht="15" hidden="false" customHeight="false" outlineLevel="0" collapsed="false">
      <c r="A1327" s="3" t="n">
        <v>1326</v>
      </c>
      <c r="B1327" s="3" t="s">
        <v>2840</v>
      </c>
      <c r="C1327" s="4" t="s">
        <v>3022</v>
      </c>
      <c r="D1327" s="4" t="s">
        <v>3022</v>
      </c>
      <c r="E1327" s="3" t="s">
        <v>53</v>
      </c>
      <c r="F1327" s="3" t="s">
        <v>2536</v>
      </c>
      <c r="G1327" s="3" t="s">
        <v>2537</v>
      </c>
      <c r="H1327" s="3" t="s">
        <v>31</v>
      </c>
      <c r="I1327" s="3" t="s">
        <v>32</v>
      </c>
      <c r="J1327" s="3" t="s">
        <v>77</v>
      </c>
      <c r="K1327" s="3" t="s">
        <v>78</v>
      </c>
      <c r="L1327" s="3" t="s">
        <v>59</v>
      </c>
      <c r="M1327" s="3" t="s">
        <v>190</v>
      </c>
      <c r="N1327" s="3" t="s">
        <v>49</v>
      </c>
      <c r="O1327" s="3" t="s">
        <v>150</v>
      </c>
      <c r="P1327" s="3" t="s">
        <v>191</v>
      </c>
      <c r="Q1327" s="5" t="n">
        <v>681.08</v>
      </c>
      <c r="R1327" s="3" t="n">
        <v>7</v>
      </c>
      <c r="S1327" s="6" t="n">
        <v>0</v>
      </c>
      <c r="T1327" s="5" t="n">
        <v>142.16</v>
      </c>
      <c r="U1327" s="3" t="str">
        <f aca="false">IF(T1327&lt;0,"Loss",IF(T1327=0,"Break-even","Profit"))</f>
        <v>Profit</v>
      </c>
      <c r="V1327" s="3" t="str">
        <f aca="false">IF(Q1327&lt;100,"Low",IF(Q1327&lt;=500,"Medium","High"))</f>
        <v>High</v>
      </c>
      <c r="W1327" s="3" t="n">
        <f aca="false">D1327-C1327</f>
        <v>0</v>
      </c>
      <c r="X1327" s="3" t="str">
        <f aca="false">TEXT(C1327,"mmmm")</f>
        <v>July</v>
      </c>
      <c r="Y1327" s="3" t="str">
        <f aca="false">LEFT(G1327,1)&amp;MID(G1327,FIND(" ",G1327)+1,1)</f>
        <v>MD</v>
      </c>
    </row>
    <row r="1328" customFormat="false" ht="15" hidden="false" customHeight="false" outlineLevel="0" collapsed="false">
      <c r="A1328" s="3" t="n">
        <v>1327</v>
      </c>
      <c r="B1328" s="3" t="s">
        <v>3027</v>
      </c>
      <c r="C1328" s="4" t="s">
        <v>3022</v>
      </c>
      <c r="D1328" s="4" t="s">
        <v>3028</v>
      </c>
      <c r="E1328" s="3" t="s">
        <v>28</v>
      </c>
      <c r="F1328" s="3" t="s">
        <v>29</v>
      </c>
      <c r="G1328" s="3" t="s">
        <v>30</v>
      </c>
      <c r="H1328" s="3" t="s">
        <v>45</v>
      </c>
      <c r="I1328" s="3" t="s">
        <v>32</v>
      </c>
      <c r="J1328" s="3" t="s">
        <v>306</v>
      </c>
      <c r="K1328" s="3" t="s">
        <v>307</v>
      </c>
      <c r="L1328" s="3" t="s">
        <v>69</v>
      </c>
      <c r="M1328" s="3" t="s">
        <v>135</v>
      </c>
      <c r="N1328" s="3" t="s">
        <v>37</v>
      </c>
      <c r="O1328" s="3" t="s">
        <v>136</v>
      </c>
      <c r="P1328" s="3" t="s">
        <v>137</v>
      </c>
      <c r="Q1328" s="5" t="n">
        <v>5611.64</v>
      </c>
      <c r="R1328" s="3" t="n">
        <v>7</v>
      </c>
      <c r="S1328" s="6" t="n">
        <v>0.3</v>
      </c>
      <c r="T1328" s="5" t="n">
        <v>827.91</v>
      </c>
      <c r="U1328" s="3" t="str">
        <f aca="false">IF(T1328&lt;0,"Loss",IF(T1328=0,"Break-even","Profit"))</f>
        <v>Profit</v>
      </c>
      <c r="V1328" s="3" t="str">
        <f aca="false">IF(Q1328&lt;100,"Low",IF(Q1328&lt;=500,"Medium","High"))</f>
        <v>High</v>
      </c>
      <c r="W1328" s="3" t="n">
        <f aca="false">D1328-C1328</f>
        <v>7</v>
      </c>
      <c r="X1328" s="3" t="str">
        <f aca="false">TEXT(C1328,"mmmm")</f>
        <v>July</v>
      </c>
      <c r="Y1328" s="3" t="str">
        <f aca="false">LEFT(G1328,1)&amp;MID(G1328,FIND(" ",G1328)+1,1)</f>
        <v>MK</v>
      </c>
    </row>
    <row r="1329" customFormat="false" ht="15" hidden="false" customHeight="false" outlineLevel="0" collapsed="false">
      <c r="A1329" s="3" t="n">
        <v>1328</v>
      </c>
      <c r="B1329" s="3" t="s">
        <v>3029</v>
      </c>
      <c r="C1329" s="4" t="s">
        <v>3026</v>
      </c>
      <c r="D1329" s="4" t="s">
        <v>3028</v>
      </c>
      <c r="E1329" s="3" t="s">
        <v>28</v>
      </c>
      <c r="F1329" s="3" t="s">
        <v>1206</v>
      </c>
      <c r="G1329" s="3" t="s">
        <v>1207</v>
      </c>
      <c r="H1329" s="3" t="s">
        <v>31</v>
      </c>
      <c r="I1329" s="3" t="s">
        <v>32</v>
      </c>
      <c r="J1329" s="3" t="s">
        <v>215</v>
      </c>
      <c r="K1329" s="3" t="s">
        <v>34</v>
      </c>
      <c r="L1329" s="3" t="s">
        <v>35</v>
      </c>
      <c r="M1329" s="3" t="s">
        <v>121</v>
      </c>
      <c r="N1329" s="3" t="s">
        <v>49</v>
      </c>
      <c r="O1329" s="3" t="s">
        <v>50</v>
      </c>
      <c r="P1329" s="3" t="s">
        <v>122</v>
      </c>
      <c r="Q1329" s="5" t="n">
        <v>69.04</v>
      </c>
      <c r="R1329" s="3" t="n">
        <v>1</v>
      </c>
      <c r="S1329" s="6" t="n">
        <v>0</v>
      </c>
      <c r="T1329" s="5" t="n">
        <v>2.69</v>
      </c>
      <c r="U1329" s="3" t="str">
        <f aca="false">IF(T1329&lt;0,"Loss",IF(T1329=0,"Break-even","Profit"))</f>
        <v>Profit</v>
      </c>
      <c r="V1329" s="3" t="str">
        <f aca="false">IF(Q1329&lt;100,"Low",IF(Q1329&lt;=500,"Medium","High"))</f>
        <v>Low</v>
      </c>
      <c r="W1329" s="3" t="n">
        <f aca="false">D1329-C1329</f>
        <v>6</v>
      </c>
      <c r="X1329" s="3" t="str">
        <f aca="false">TEXT(C1329,"mmmm")</f>
        <v>July</v>
      </c>
      <c r="Y1329" s="3" t="str">
        <f aca="false">LEFT(G1329,1)&amp;MID(G1329,FIND(" ",G1329)+1,1)</f>
        <v>LN</v>
      </c>
    </row>
    <row r="1330" customFormat="false" ht="15" hidden="false" customHeight="false" outlineLevel="0" collapsed="false">
      <c r="A1330" s="3" t="n">
        <v>1329</v>
      </c>
      <c r="B1330" s="3" t="s">
        <v>3030</v>
      </c>
      <c r="C1330" s="4" t="s">
        <v>3026</v>
      </c>
      <c r="D1330" s="4" t="s">
        <v>3025</v>
      </c>
      <c r="E1330" s="3" t="s">
        <v>42</v>
      </c>
      <c r="F1330" s="3" t="s">
        <v>1775</v>
      </c>
      <c r="G1330" s="3" t="s">
        <v>1776</v>
      </c>
      <c r="H1330" s="3" t="s">
        <v>56</v>
      </c>
      <c r="I1330" s="3" t="s">
        <v>32</v>
      </c>
      <c r="J1330" s="3" t="s">
        <v>179</v>
      </c>
      <c r="K1330" s="3" t="s">
        <v>47</v>
      </c>
      <c r="L1330" s="3" t="s">
        <v>35</v>
      </c>
      <c r="M1330" s="3" t="s">
        <v>149</v>
      </c>
      <c r="N1330" s="3" t="s">
        <v>49</v>
      </c>
      <c r="O1330" s="3" t="s">
        <v>150</v>
      </c>
      <c r="P1330" s="3" t="s">
        <v>151</v>
      </c>
      <c r="Q1330" s="5" t="n">
        <v>355.63</v>
      </c>
      <c r="R1330" s="3" t="n">
        <v>4</v>
      </c>
      <c r="S1330" s="6" t="n">
        <v>0.5</v>
      </c>
      <c r="T1330" s="5" t="n">
        <v>-121.2</v>
      </c>
      <c r="U1330" s="3" t="str">
        <f aca="false">IF(T1330&lt;0,"Loss",IF(T1330=0,"Break-even","Profit"))</f>
        <v>Loss</v>
      </c>
      <c r="V1330" s="3" t="str">
        <f aca="false">IF(Q1330&lt;100,"Low",IF(Q1330&lt;=500,"Medium","High"))</f>
        <v>Medium</v>
      </c>
      <c r="W1330" s="3" t="n">
        <f aca="false">D1330-C1330</f>
        <v>1</v>
      </c>
      <c r="X1330" s="3" t="str">
        <f aca="false">TEXT(C1330,"mmmm")</f>
        <v>July</v>
      </c>
      <c r="Y1330" s="3" t="str">
        <f aca="false">LEFT(G1330,1)&amp;MID(G1330,FIND(" ",G1330)+1,1)</f>
        <v>LA</v>
      </c>
    </row>
    <row r="1331" customFormat="false" ht="15" hidden="false" customHeight="false" outlineLevel="0" collapsed="false">
      <c r="A1331" s="3" t="n">
        <v>1330</v>
      </c>
      <c r="B1331" s="3" t="s">
        <v>3031</v>
      </c>
      <c r="C1331" s="4" t="s">
        <v>3025</v>
      </c>
      <c r="D1331" s="4" t="s">
        <v>3032</v>
      </c>
      <c r="E1331" s="3" t="s">
        <v>84</v>
      </c>
      <c r="F1331" s="3" t="s">
        <v>1002</v>
      </c>
      <c r="G1331" s="3" t="s">
        <v>1003</v>
      </c>
      <c r="H1331" s="3" t="s">
        <v>56</v>
      </c>
      <c r="I1331" s="3" t="s">
        <v>32</v>
      </c>
      <c r="J1331" s="3" t="s">
        <v>814</v>
      </c>
      <c r="K1331" s="3" t="s">
        <v>156</v>
      </c>
      <c r="L1331" s="3" t="s">
        <v>157</v>
      </c>
      <c r="M1331" s="3" t="s">
        <v>60</v>
      </c>
      <c r="N1331" s="3" t="s">
        <v>49</v>
      </c>
      <c r="O1331" s="3" t="s">
        <v>61</v>
      </c>
      <c r="P1331" s="3" t="s">
        <v>62</v>
      </c>
      <c r="Q1331" s="5" t="n">
        <v>576.83</v>
      </c>
      <c r="R1331" s="3" t="n">
        <v>5</v>
      </c>
      <c r="S1331" s="6" t="n">
        <v>0</v>
      </c>
      <c r="T1331" s="5" t="n">
        <v>-58.04</v>
      </c>
      <c r="U1331" s="3" t="str">
        <f aca="false">IF(T1331&lt;0,"Loss",IF(T1331=0,"Break-even","Profit"))</f>
        <v>Loss</v>
      </c>
      <c r="V1331" s="3" t="str">
        <f aca="false">IF(Q1331&lt;100,"Low",IF(Q1331&lt;=500,"Medium","High"))</f>
        <v>High</v>
      </c>
      <c r="W1331" s="3" t="n">
        <f aca="false">D1331-C1331</f>
        <v>4</v>
      </c>
      <c r="X1331" s="3" t="str">
        <f aca="false">TEXT(C1331,"mmmm")</f>
        <v>July</v>
      </c>
      <c r="Y1331" s="3" t="str">
        <f aca="false">LEFT(G1331,1)&amp;MID(G1331,FIND(" ",G1331)+1,1)</f>
        <v>JN</v>
      </c>
    </row>
    <row r="1332" customFormat="false" ht="15" hidden="false" customHeight="false" outlineLevel="0" collapsed="false">
      <c r="A1332" s="3" t="n">
        <v>1331</v>
      </c>
      <c r="B1332" s="3" t="s">
        <v>3033</v>
      </c>
      <c r="C1332" s="4" t="s">
        <v>3020</v>
      </c>
      <c r="D1332" s="4" t="s">
        <v>3020</v>
      </c>
      <c r="E1332" s="3" t="s">
        <v>53</v>
      </c>
      <c r="F1332" s="3" t="s">
        <v>1165</v>
      </c>
      <c r="G1332" s="3" t="s">
        <v>1166</v>
      </c>
      <c r="H1332" s="3" t="s">
        <v>56</v>
      </c>
      <c r="I1332" s="3" t="s">
        <v>32</v>
      </c>
      <c r="J1332" s="3" t="s">
        <v>215</v>
      </c>
      <c r="K1332" s="3" t="s">
        <v>34</v>
      </c>
      <c r="L1332" s="3" t="s">
        <v>35</v>
      </c>
      <c r="M1332" s="3" t="s">
        <v>219</v>
      </c>
      <c r="N1332" s="3" t="s">
        <v>49</v>
      </c>
      <c r="O1332" s="3" t="s">
        <v>220</v>
      </c>
      <c r="P1332" s="3" t="s">
        <v>221</v>
      </c>
      <c r="Q1332" s="5" t="n">
        <v>446.46</v>
      </c>
      <c r="R1332" s="3" t="n">
        <v>13</v>
      </c>
      <c r="S1332" s="6" t="n">
        <v>0</v>
      </c>
      <c r="T1332" s="5" t="n">
        <v>93.57</v>
      </c>
      <c r="U1332" s="3" t="str">
        <f aca="false">IF(T1332&lt;0,"Loss",IF(T1332=0,"Break-even","Profit"))</f>
        <v>Profit</v>
      </c>
      <c r="V1332" s="3" t="str">
        <f aca="false">IF(Q1332&lt;100,"Low",IF(Q1332&lt;=500,"Medium","High"))</f>
        <v>Medium</v>
      </c>
      <c r="W1332" s="3" t="n">
        <f aca="false">D1332-C1332</f>
        <v>0</v>
      </c>
      <c r="X1332" s="3" t="str">
        <f aca="false">TEXT(C1332,"mmmm")</f>
        <v>July</v>
      </c>
      <c r="Y1332" s="3" t="str">
        <f aca="false">LEFT(G1332,1)&amp;MID(G1332,FIND(" ",G1332)+1,1)</f>
        <v>ER</v>
      </c>
    </row>
    <row r="1333" customFormat="false" ht="15" hidden="false" customHeight="false" outlineLevel="0" collapsed="false">
      <c r="A1333" s="3" t="n">
        <v>1332</v>
      </c>
      <c r="B1333" s="3" t="s">
        <v>3034</v>
      </c>
      <c r="C1333" s="4" t="s">
        <v>3035</v>
      </c>
      <c r="D1333" s="4" t="s">
        <v>3035</v>
      </c>
      <c r="E1333" s="3" t="s">
        <v>53</v>
      </c>
      <c r="F1333" s="3" t="s">
        <v>1278</v>
      </c>
      <c r="G1333" s="3" t="s">
        <v>1279</v>
      </c>
      <c r="H1333" s="3" t="s">
        <v>56</v>
      </c>
      <c r="I1333" s="3" t="s">
        <v>32</v>
      </c>
      <c r="J1333" s="3" t="s">
        <v>476</v>
      </c>
      <c r="K1333" s="3" t="s">
        <v>366</v>
      </c>
      <c r="L1333" s="3" t="s">
        <v>157</v>
      </c>
      <c r="M1333" s="3" t="s">
        <v>173</v>
      </c>
      <c r="N1333" s="3" t="s">
        <v>89</v>
      </c>
      <c r="O1333" s="3" t="s">
        <v>174</v>
      </c>
      <c r="P1333" s="3" t="s">
        <v>175</v>
      </c>
      <c r="Q1333" s="5" t="n">
        <v>4982.81</v>
      </c>
      <c r="R1333" s="3" t="n">
        <v>7</v>
      </c>
      <c r="S1333" s="6" t="n">
        <v>0.1</v>
      </c>
      <c r="T1333" s="5" t="n">
        <v>-497.17</v>
      </c>
      <c r="U1333" s="3" t="str">
        <f aca="false">IF(T1333&lt;0,"Loss",IF(T1333=0,"Break-even","Profit"))</f>
        <v>Loss</v>
      </c>
      <c r="V1333" s="3" t="str">
        <f aca="false">IF(Q1333&lt;100,"Low",IF(Q1333&lt;=500,"Medium","High"))</f>
        <v>High</v>
      </c>
      <c r="W1333" s="3" t="n">
        <f aca="false">D1333-C1333</f>
        <v>0</v>
      </c>
      <c r="X1333" s="3" t="str">
        <f aca="false">TEXT(C1333,"mmmm")</f>
        <v>July</v>
      </c>
      <c r="Y1333" s="3" t="str">
        <f aca="false">LEFT(G1333,1)&amp;MID(G1333,FIND(" ",G1333)+1,1)</f>
        <v>MC</v>
      </c>
    </row>
    <row r="1334" customFormat="false" ht="15" hidden="false" customHeight="false" outlineLevel="0" collapsed="false">
      <c r="A1334" s="3" t="n">
        <v>1333</v>
      </c>
      <c r="B1334" s="3" t="s">
        <v>3036</v>
      </c>
      <c r="C1334" s="4" t="s">
        <v>3035</v>
      </c>
      <c r="D1334" s="4" t="s">
        <v>3032</v>
      </c>
      <c r="E1334" s="3" t="s">
        <v>42</v>
      </c>
      <c r="F1334" s="3" t="s">
        <v>720</v>
      </c>
      <c r="G1334" s="3" t="s">
        <v>721</v>
      </c>
      <c r="H1334" s="3" t="s">
        <v>45</v>
      </c>
      <c r="I1334" s="3" t="s">
        <v>32</v>
      </c>
      <c r="J1334" s="3" t="s">
        <v>46</v>
      </c>
      <c r="K1334" s="3" t="s">
        <v>47</v>
      </c>
      <c r="L1334" s="3" t="s">
        <v>35</v>
      </c>
      <c r="M1334" s="3" t="s">
        <v>300</v>
      </c>
      <c r="N1334" s="3" t="s">
        <v>49</v>
      </c>
      <c r="O1334" s="3" t="s">
        <v>143</v>
      </c>
      <c r="P1334" s="3" t="s">
        <v>301</v>
      </c>
      <c r="Q1334" s="5" t="n">
        <v>660.2</v>
      </c>
      <c r="R1334" s="3" t="n">
        <v>8</v>
      </c>
      <c r="S1334" s="6" t="n">
        <v>0.1</v>
      </c>
      <c r="T1334" s="5" t="n">
        <v>22.29</v>
      </c>
      <c r="U1334" s="3" t="str">
        <f aca="false">IF(T1334&lt;0,"Loss",IF(T1334=0,"Break-even","Profit"))</f>
        <v>Profit</v>
      </c>
      <c r="V1334" s="3" t="str">
        <f aca="false">IF(Q1334&lt;100,"Low",IF(Q1334&lt;=500,"Medium","High"))</f>
        <v>High</v>
      </c>
      <c r="W1334" s="3" t="n">
        <f aca="false">D1334-C1334</f>
        <v>1</v>
      </c>
      <c r="X1334" s="3" t="str">
        <f aca="false">TEXT(C1334,"mmmm")</f>
        <v>July</v>
      </c>
      <c r="Y1334" s="3" t="str">
        <f aca="false">LEFT(G1334,1)&amp;MID(G1334,FIND(" ",G1334)+1,1)</f>
        <v>LJ</v>
      </c>
    </row>
    <row r="1335" customFormat="false" ht="15" hidden="false" customHeight="false" outlineLevel="0" collapsed="false">
      <c r="A1335" s="3" t="n">
        <v>1334</v>
      </c>
      <c r="B1335" s="3" t="s">
        <v>3037</v>
      </c>
      <c r="C1335" s="4" t="s">
        <v>3035</v>
      </c>
      <c r="D1335" s="4" t="s">
        <v>3028</v>
      </c>
      <c r="E1335" s="3" t="s">
        <v>84</v>
      </c>
      <c r="F1335" s="3" t="s">
        <v>267</v>
      </c>
      <c r="G1335" s="3" t="s">
        <v>268</v>
      </c>
      <c r="H1335" s="3" t="s">
        <v>56</v>
      </c>
      <c r="I1335" s="3" t="s">
        <v>32</v>
      </c>
      <c r="J1335" s="3" t="s">
        <v>46</v>
      </c>
      <c r="K1335" s="3" t="s">
        <v>47</v>
      </c>
      <c r="L1335" s="3" t="s">
        <v>35</v>
      </c>
      <c r="M1335" s="3" t="s">
        <v>209</v>
      </c>
      <c r="N1335" s="3" t="s">
        <v>49</v>
      </c>
      <c r="O1335" s="3" t="s">
        <v>106</v>
      </c>
      <c r="P1335" s="3" t="s">
        <v>210</v>
      </c>
      <c r="Q1335" s="5" t="n">
        <v>303.12</v>
      </c>
      <c r="R1335" s="3" t="n">
        <v>13</v>
      </c>
      <c r="S1335" s="6" t="n">
        <v>0.1</v>
      </c>
      <c r="T1335" s="5" t="n">
        <v>-12.65</v>
      </c>
      <c r="U1335" s="3" t="str">
        <f aca="false">IF(T1335&lt;0,"Loss",IF(T1335=0,"Break-even","Profit"))</f>
        <v>Loss</v>
      </c>
      <c r="V1335" s="3" t="str">
        <f aca="false">IF(Q1335&lt;100,"Low",IF(Q1335&lt;=500,"Medium","High"))</f>
        <v>Medium</v>
      </c>
      <c r="W1335" s="3" t="n">
        <f aca="false">D1335-C1335</f>
        <v>2</v>
      </c>
      <c r="X1335" s="3" t="str">
        <f aca="false">TEXT(C1335,"mmmm")</f>
        <v>July</v>
      </c>
      <c r="Y1335" s="3" t="str">
        <f aca="false">LEFT(G1335,1)&amp;MID(G1335,FIND(" ",G1335)+1,1)</f>
        <v>MA</v>
      </c>
    </row>
    <row r="1336" customFormat="false" ht="15" hidden="false" customHeight="false" outlineLevel="0" collapsed="false">
      <c r="A1336" s="3" t="n">
        <v>1335</v>
      </c>
      <c r="B1336" s="3" t="s">
        <v>2685</v>
      </c>
      <c r="C1336" s="4" t="s">
        <v>3032</v>
      </c>
      <c r="D1336" s="4" t="s">
        <v>3038</v>
      </c>
      <c r="E1336" s="3" t="s">
        <v>84</v>
      </c>
      <c r="F1336" s="3" t="s">
        <v>110</v>
      </c>
      <c r="G1336" s="3" t="s">
        <v>111</v>
      </c>
      <c r="H1336" s="3" t="s">
        <v>56</v>
      </c>
      <c r="I1336" s="3" t="s">
        <v>32</v>
      </c>
      <c r="J1336" s="3" t="s">
        <v>201</v>
      </c>
      <c r="K1336" s="3" t="s">
        <v>202</v>
      </c>
      <c r="L1336" s="3" t="s">
        <v>35</v>
      </c>
      <c r="M1336" s="3" t="s">
        <v>190</v>
      </c>
      <c r="N1336" s="3" t="s">
        <v>49</v>
      </c>
      <c r="O1336" s="3" t="s">
        <v>150</v>
      </c>
      <c r="P1336" s="3" t="s">
        <v>191</v>
      </c>
      <c r="Q1336" s="5" t="n">
        <v>176.39</v>
      </c>
      <c r="R1336" s="3" t="n">
        <v>3</v>
      </c>
      <c r="S1336" s="6" t="n">
        <v>0.3</v>
      </c>
      <c r="T1336" s="5" t="n">
        <v>29.09</v>
      </c>
      <c r="U1336" s="3" t="str">
        <f aca="false">IF(T1336&lt;0,"Loss",IF(T1336=0,"Break-even","Profit"))</f>
        <v>Profit</v>
      </c>
      <c r="V1336" s="3" t="str">
        <f aca="false">IF(Q1336&lt;100,"Low",IF(Q1336&lt;=500,"Medium","High"))</f>
        <v>Medium</v>
      </c>
      <c r="W1336" s="3" t="n">
        <f aca="false">D1336-C1336</f>
        <v>2</v>
      </c>
      <c r="X1336" s="3" t="str">
        <f aca="false">TEXT(C1336,"mmmm")</f>
        <v>July</v>
      </c>
      <c r="Y1336" s="3" t="str">
        <f aca="false">LEFT(G1336,1)&amp;MID(G1336,FIND(" ",G1336)+1,1)</f>
        <v>CJ</v>
      </c>
    </row>
    <row r="1337" customFormat="false" ht="15" hidden="false" customHeight="false" outlineLevel="0" collapsed="false">
      <c r="A1337" s="3" t="n">
        <v>1336</v>
      </c>
      <c r="B1337" s="3" t="s">
        <v>3039</v>
      </c>
      <c r="C1337" s="4" t="s">
        <v>3040</v>
      </c>
      <c r="D1337" s="4" t="s">
        <v>3041</v>
      </c>
      <c r="E1337" s="3" t="s">
        <v>42</v>
      </c>
      <c r="F1337" s="3" t="s">
        <v>1531</v>
      </c>
      <c r="G1337" s="3" t="s">
        <v>1532</v>
      </c>
      <c r="H1337" s="3" t="s">
        <v>56</v>
      </c>
      <c r="I1337" s="3" t="s">
        <v>32</v>
      </c>
      <c r="J1337" s="3" t="s">
        <v>112</v>
      </c>
      <c r="K1337" s="3" t="s">
        <v>113</v>
      </c>
      <c r="L1337" s="3" t="s">
        <v>69</v>
      </c>
      <c r="M1337" s="3" t="s">
        <v>79</v>
      </c>
      <c r="N1337" s="3" t="s">
        <v>49</v>
      </c>
      <c r="O1337" s="3" t="s">
        <v>80</v>
      </c>
      <c r="P1337" s="3" t="s">
        <v>81</v>
      </c>
      <c r="Q1337" s="5" t="n">
        <v>137.31</v>
      </c>
      <c r="R1337" s="3" t="n">
        <v>4</v>
      </c>
      <c r="S1337" s="6" t="n">
        <v>0.1</v>
      </c>
      <c r="T1337" s="5" t="n">
        <v>-3.42</v>
      </c>
      <c r="U1337" s="3" t="str">
        <f aca="false">IF(T1337&lt;0,"Loss",IF(T1337=0,"Break-even","Profit"))</f>
        <v>Loss</v>
      </c>
      <c r="V1337" s="3" t="str">
        <f aca="false">IF(Q1337&lt;100,"Low",IF(Q1337&lt;=500,"Medium","High"))</f>
        <v>Medium</v>
      </c>
      <c r="W1337" s="3" t="n">
        <f aca="false">D1337-C1337</f>
        <v>2</v>
      </c>
      <c r="X1337" s="3" t="str">
        <f aca="false">TEXT(C1337,"mmmm")</f>
        <v>July</v>
      </c>
      <c r="Y1337" s="3" t="str">
        <f aca="false">LEFT(G1337,1)&amp;MID(G1337,FIND(" ",G1337)+1,1)</f>
        <v>MB</v>
      </c>
    </row>
    <row r="1338" customFormat="false" ht="15" hidden="false" customHeight="false" outlineLevel="0" collapsed="false">
      <c r="A1338" s="3" t="n">
        <v>1337</v>
      </c>
      <c r="B1338" s="3" t="s">
        <v>3042</v>
      </c>
      <c r="C1338" s="4" t="s">
        <v>3040</v>
      </c>
      <c r="D1338" s="4" t="s">
        <v>3043</v>
      </c>
      <c r="E1338" s="3" t="s">
        <v>28</v>
      </c>
      <c r="F1338" s="3" t="s">
        <v>634</v>
      </c>
      <c r="G1338" s="3" t="s">
        <v>635</v>
      </c>
      <c r="H1338" s="3" t="s">
        <v>45</v>
      </c>
      <c r="I1338" s="3" t="s">
        <v>32</v>
      </c>
      <c r="J1338" s="3" t="s">
        <v>67</v>
      </c>
      <c r="K1338" s="3" t="s">
        <v>68</v>
      </c>
      <c r="L1338" s="3" t="s">
        <v>69</v>
      </c>
      <c r="M1338" s="3" t="s">
        <v>135</v>
      </c>
      <c r="N1338" s="3" t="s">
        <v>37</v>
      </c>
      <c r="O1338" s="3" t="s">
        <v>136</v>
      </c>
      <c r="P1338" s="3" t="s">
        <v>137</v>
      </c>
      <c r="Q1338" s="5" t="n">
        <v>544.84</v>
      </c>
      <c r="R1338" s="3" t="n">
        <v>8</v>
      </c>
      <c r="S1338" s="6" t="n">
        <v>0.5</v>
      </c>
      <c r="T1338" s="5" t="n">
        <v>36.65</v>
      </c>
      <c r="U1338" s="3" t="str">
        <f aca="false">IF(T1338&lt;0,"Loss",IF(T1338=0,"Break-even","Profit"))</f>
        <v>Profit</v>
      </c>
      <c r="V1338" s="3" t="str">
        <f aca="false">IF(Q1338&lt;100,"Low",IF(Q1338&lt;=500,"Medium","High"))</f>
        <v>High</v>
      </c>
      <c r="W1338" s="3" t="n">
        <f aca="false">D1338-C1338</f>
        <v>3</v>
      </c>
      <c r="X1338" s="3" t="str">
        <f aca="false">TEXT(C1338,"mmmm")</f>
        <v>July</v>
      </c>
      <c r="Y1338" s="3" t="str">
        <f aca="false">LEFT(G1338,1)&amp;MID(G1338,FIND(" ",G1338)+1,1)</f>
        <v>JJ</v>
      </c>
    </row>
    <row r="1339" customFormat="false" ht="15" hidden="false" customHeight="false" outlineLevel="0" collapsed="false">
      <c r="A1339" s="3" t="n">
        <v>1338</v>
      </c>
      <c r="B1339" s="3" t="s">
        <v>3044</v>
      </c>
      <c r="C1339" s="4" t="s">
        <v>3043</v>
      </c>
      <c r="D1339" s="4" t="s">
        <v>3045</v>
      </c>
      <c r="E1339" s="3" t="s">
        <v>28</v>
      </c>
      <c r="F1339" s="3" t="s">
        <v>1772</v>
      </c>
      <c r="G1339" s="3" t="s">
        <v>1773</v>
      </c>
      <c r="H1339" s="3" t="s">
        <v>31</v>
      </c>
      <c r="I1339" s="3" t="s">
        <v>32</v>
      </c>
      <c r="J1339" s="3" t="s">
        <v>77</v>
      </c>
      <c r="K1339" s="3" t="s">
        <v>78</v>
      </c>
      <c r="L1339" s="3" t="s">
        <v>59</v>
      </c>
      <c r="M1339" s="3" t="s">
        <v>316</v>
      </c>
      <c r="N1339" s="3" t="s">
        <v>49</v>
      </c>
      <c r="O1339" s="3" t="s">
        <v>143</v>
      </c>
      <c r="P1339" s="3" t="s">
        <v>317</v>
      </c>
      <c r="Q1339" s="5" t="n">
        <v>1279.56</v>
      </c>
      <c r="R1339" s="3" t="n">
        <v>13</v>
      </c>
      <c r="S1339" s="6" t="n">
        <v>0.4</v>
      </c>
      <c r="T1339" s="5" t="n">
        <v>-57.91</v>
      </c>
      <c r="U1339" s="3" t="str">
        <f aca="false">IF(T1339&lt;0,"Loss",IF(T1339=0,"Break-even","Profit"))</f>
        <v>Loss</v>
      </c>
      <c r="V1339" s="3" t="str">
        <f aca="false">IF(Q1339&lt;100,"Low",IF(Q1339&lt;=500,"Medium","High"))</f>
        <v>High</v>
      </c>
      <c r="W1339" s="3" t="n">
        <f aca="false">D1339-C1339</f>
        <v>3</v>
      </c>
      <c r="X1339" s="3" t="str">
        <f aca="false">TEXT(C1339,"mmmm")</f>
        <v>July</v>
      </c>
      <c r="Y1339" s="3" t="str">
        <f aca="false">LEFT(G1339,1)&amp;MID(G1339,FIND(" ",G1339)+1,1)</f>
        <v>RC</v>
      </c>
    </row>
    <row r="1340" customFormat="false" ht="15" hidden="false" customHeight="false" outlineLevel="0" collapsed="false">
      <c r="A1340" s="3" t="n">
        <v>1339</v>
      </c>
      <c r="B1340" s="3" t="s">
        <v>3046</v>
      </c>
      <c r="C1340" s="4" t="s">
        <v>3047</v>
      </c>
      <c r="D1340" s="4" t="s">
        <v>3048</v>
      </c>
      <c r="E1340" s="3" t="s">
        <v>28</v>
      </c>
      <c r="F1340" s="3" t="s">
        <v>1112</v>
      </c>
      <c r="G1340" s="3" t="s">
        <v>1113</v>
      </c>
      <c r="H1340" s="3" t="s">
        <v>56</v>
      </c>
      <c r="I1340" s="3" t="s">
        <v>32</v>
      </c>
      <c r="J1340" s="3" t="s">
        <v>306</v>
      </c>
      <c r="K1340" s="3" t="s">
        <v>307</v>
      </c>
      <c r="L1340" s="3" t="s">
        <v>69</v>
      </c>
      <c r="M1340" s="3" t="s">
        <v>209</v>
      </c>
      <c r="N1340" s="3" t="s">
        <v>49</v>
      </c>
      <c r="O1340" s="3" t="s">
        <v>106</v>
      </c>
      <c r="P1340" s="3" t="s">
        <v>210</v>
      </c>
      <c r="Q1340" s="5" t="n">
        <v>1034.26</v>
      </c>
      <c r="R1340" s="3" t="n">
        <v>14</v>
      </c>
      <c r="S1340" s="6" t="n">
        <v>0.3</v>
      </c>
      <c r="T1340" s="5" t="n">
        <v>228.41</v>
      </c>
      <c r="U1340" s="3" t="str">
        <f aca="false">IF(T1340&lt;0,"Loss",IF(T1340=0,"Break-even","Profit"))</f>
        <v>Profit</v>
      </c>
      <c r="V1340" s="3" t="str">
        <f aca="false">IF(Q1340&lt;100,"Low",IF(Q1340&lt;=500,"Medium","High"))</f>
        <v>High</v>
      </c>
      <c r="W1340" s="3" t="n">
        <f aca="false">D1340-C1340</f>
        <v>7</v>
      </c>
      <c r="X1340" s="3" t="str">
        <f aca="false">TEXT(C1340,"mmmm")</f>
        <v>July</v>
      </c>
      <c r="Y1340" s="3" t="str">
        <f aca="false">LEFT(G1340,1)&amp;MID(G1340,FIND(" ",G1340)+1,1)</f>
        <v>MD</v>
      </c>
    </row>
    <row r="1341" customFormat="false" ht="15" hidden="false" customHeight="false" outlineLevel="0" collapsed="false">
      <c r="A1341" s="3" t="n">
        <v>1340</v>
      </c>
      <c r="B1341" s="3" t="s">
        <v>3049</v>
      </c>
      <c r="C1341" s="4" t="s">
        <v>3047</v>
      </c>
      <c r="D1341" s="4" t="s">
        <v>3048</v>
      </c>
      <c r="E1341" s="3" t="s">
        <v>28</v>
      </c>
      <c r="F1341" s="3" t="s">
        <v>1333</v>
      </c>
      <c r="G1341" s="3" t="s">
        <v>1334</v>
      </c>
      <c r="H1341" s="3" t="s">
        <v>45</v>
      </c>
      <c r="I1341" s="3" t="s">
        <v>32</v>
      </c>
      <c r="J1341" s="3" t="s">
        <v>476</v>
      </c>
      <c r="K1341" s="3" t="s">
        <v>366</v>
      </c>
      <c r="L1341" s="3" t="s">
        <v>157</v>
      </c>
      <c r="M1341" s="3" t="s">
        <v>225</v>
      </c>
      <c r="N1341" s="3" t="s">
        <v>37</v>
      </c>
      <c r="O1341" s="3" t="s">
        <v>196</v>
      </c>
      <c r="P1341" s="3" t="s">
        <v>226</v>
      </c>
      <c r="Q1341" s="5" t="n">
        <v>2369.83</v>
      </c>
      <c r="R1341" s="3" t="n">
        <v>5</v>
      </c>
      <c r="S1341" s="6" t="n">
        <v>0.3</v>
      </c>
      <c r="T1341" s="5" t="n">
        <v>-45.6</v>
      </c>
      <c r="U1341" s="3" t="str">
        <f aca="false">IF(T1341&lt;0,"Loss",IF(T1341=0,"Break-even","Profit"))</f>
        <v>Loss</v>
      </c>
      <c r="V1341" s="3" t="str">
        <f aca="false">IF(Q1341&lt;100,"Low",IF(Q1341&lt;=500,"Medium","High"))</f>
        <v>High</v>
      </c>
      <c r="W1341" s="3" t="n">
        <f aca="false">D1341-C1341</f>
        <v>7</v>
      </c>
      <c r="X1341" s="3" t="str">
        <f aca="false">TEXT(C1341,"mmmm")</f>
        <v>July</v>
      </c>
      <c r="Y1341" s="3" t="str">
        <f aca="false">LEFT(G1341,1)&amp;MID(G1341,FIND(" ",G1341)+1,1)</f>
        <v>MN</v>
      </c>
    </row>
    <row r="1342" customFormat="false" ht="15" hidden="false" customHeight="false" outlineLevel="0" collapsed="false">
      <c r="A1342" s="3" t="n">
        <v>1341</v>
      </c>
      <c r="B1342" s="3" t="s">
        <v>2927</v>
      </c>
      <c r="C1342" s="4" t="s">
        <v>3047</v>
      </c>
      <c r="D1342" s="4" t="s">
        <v>3050</v>
      </c>
      <c r="E1342" s="3" t="s">
        <v>28</v>
      </c>
      <c r="F1342" s="3" t="s">
        <v>288</v>
      </c>
      <c r="G1342" s="3" t="s">
        <v>289</v>
      </c>
      <c r="H1342" s="3" t="s">
        <v>56</v>
      </c>
      <c r="I1342" s="3" t="s">
        <v>32</v>
      </c>
      <c r="J1342" s="3" t="s">
        <v>252</v>
      </c>
      <c r="K1342" s="3" t="s">
        <v>172</v>
      </c>
      <c r="L1342" s="3" t="s">
        <v>157</v>
      </c>
      <c r="M1342" s="3" t="s">
        <v>88</v>
      </c>
      <c r="N1342" s="3" t="s">
        <v>89</v>
      </c>
      <c r="O1342" s="3" t="s">
        <v>90</v>
      </c>
      <c r="P1342" s="3" t="s">
        <v>91</v>
      </c>
      <c r="Q1342" s="5" t="n">
        <v>3924.75</v>
      </c>
      <c r="R1342" s="3" t="n">
        <v>7</v>
      </c>
      <c r="S1342" s="6" t="n">
        <v>0.1</v>
      </c>
      <c r="T1342" s="5" t="n">
        <v>-844.92</v>
      </c>
      <c r="U1342" s="3" t="str">
        <f aca="false">IF(T1342&lt;0,"Loss",IF(T1342=0,"Break-even","Profit"))</f>
        <v>Loss</v>
      </c>
      <c r="V1342" s="3" t="str">
        <f aca="false">IF(Q1342&lt;100,"Low",IF(Q1342&lt;=500,"Medium","High"))</f>
        <v>High</v>
      </c>
      <c r="W1342" s="3" t="n">
        <f aca="false">D1342-C1342</f>
        <v>4</v>
      </c>
      <c r="X1342" s="3" t="str">
        <f aca="false">TEXT(C1342,"mmmm")</f>
        <v>July</v>
      </c>
      <c r="Y1342" s="3" t="str">
        <f aca="false">LEFT(G1342,1)&amp;MID(G1342,FIND(" ",G1342)+1,1)</f>
        <v>JJ</v>
      </c>
    </row>
    <row r="1343" customFormat="false" ht="15" hidden="false" customHeight="false" outlineLevel="0" collapsed="false">
      <c r="A1343" s="3" t="n">
        <v>1342</v>
      </c>
      <c r="B1343" s="3" t="s">
        <v>2729</v>
      </c>
      <c r="C1343" s="4" t="s">
        <v>3047</v>
      </c>
      <c r="D1343" s="4" t="s">
        <v>3047</v>
      </c>
      <c r="E1343" s="3" t="s">
        <v>53</v>
      </c>
      <c r="F1343" s="3" t="s">
        <v>1086</v>
      </c>
      <c r="G1343" s="3" t="s">
        <v>1087</v>
      </c>
      <c r="H1343" s="3" t="s">
        <v>45</v>
      </c>
      <c r="I1343" s="3" t="s">
        <v>32</v>
      </c>
      <c r="J1343" s="3" t="s">
        <v>171</v>
      </c>
      <c r="K1343" s="3" t="s">
        <v>172</v>
      </c>
      <c r="L1343" s="3" t="s">
        <v>157</v>
      </c>
      <c r="M1343" s="3" t="s">
        <v>225</v>
      </c>
      <c r="N1343" s="3" t="s">
        <v>37</v>
      </c>
      <c r="O1343" s="3" t="s">
        <v>196</v>
      </c>
      <c r="P1343" s="3" t="s">
        <v>226</v>
      </c>
      <c r="Q1343" s="5" t="n">
        <v>157.88</v>
      </c>
      <c r="R1343" s="3" t="n">
        <v>5</v>
      </c>
      <c r="S1343" s="6" t="n">
        <v>0.2</v>
      </c>
      <c r="T1343" s="5" t="n">
        <v>-34.34</v>
      </c>
      <c r="U1343" s="3" t="str">
        <f aca="false">IF(T1343&lt;0,"Loss",IF(T1343=0,"Break-even","Profit"))</f>
        <v>Loss</v>
      </c>
      <c r="V1343" s="3" t="str">
        <f aca="false">IF(Q1343&lt;100,"Low",IF(Q1343&lt;=500,"Medium","High"))</f>
        <v>Medium</v>
      </c>
      <c r="W1343" s="3" t="n">
        <f aca="false">D1343-C1343</f>
        <v>0</v>
      </c>
      <c r="X1343" s="3" t="str">
        <f aca="false">TEXT(C1343,"mmmm")</f>
        <v>July</v>
      </c>
      <c r="Y1343" s="3" t="str">
        <f aca="false">LEFT(G1343,1)&amp;MID(G1343,FIND(" ",G1343)+1,1)</f>
        <v>AB</v>
      </c>
    </row>
    <row r="1344" customFormat="false" ht="15" hidden="false" customHeight="false" outlineLevel="0" collapsed="false">
      <c r="A1344" s="3" t="n">
        <v>1343</v>
      </c>
      <c r="B1344" s="3" t="s">
        <v>3051</v>
      </c>
      <c r="C1344" s="4" t="s">
        <v>3047</v>
      </c>
      <c r="D1344" s="4" t="s">
        <v>3048</v>
      </c>
      <c r="E1344" s="3" t="s">
        <v>28</v>
      </c>
      <c r="F1344" s="3" t="s">
        <v>776</v>
      </c>
      <c r="G1344" s="3" t="s">
        <v>777</v>
      </c>
      <c r="H1344" s="3" t="s">
        <v>56</v>
      </c>
      <c r="I1344" s="3" t="s">
        <v>32</v>
      </c>
      <c r="J1344" s="3" t="s">
        <v>365</v>
      </c>
      <c r="K1344" s="3" t="s">
        <v>366</v>
      </c>
      <c r="L1344" s="3" t="s">
        <v>157</v>
      </c>
      <c r="M1344" s="3" t="s">
        <v>659</v>
      </c>
      <c r="N1344" s="3" t="s">
        <v>89</v>
      </c>
      <c r="O1344" s="3" t="s">
        <v>323</v>
      </c>
      <c r="P1344" s="3" t="s">
        <v>660</v>
      </c>
      <c r="Q1344" s="5" t="n">
        <v>5721.54</v>
      </c>
      <c r="R1344" s="3" t="n">
        <v>10</v>
      </c>
      <c r="S1344" s="6" t="n">
        <v>0</v>
      </c>
      <c r="T1344" s="5" t="n">
        <v>-776.84</v>
      </c>
      <c r="U1344" s="3" t="str">
        <f aca="false">IF(T1344&lt;0,"Loss",IF(T1344=0,"Break-even","Profit"))</f>
        <v>Loss</v>
      </c>
      <c r="V1344" s="3" t="str">
        <f aca="false">IF(Q1344&lt;100,"Low",IF(Q1344&lt;=500,"Medium","High"))</f>
        <v>High</v>
      </c>
      <c r="W1344" s="3" t="n">
        <f aca="false">D1344-C1344</f>
        <v>7</v>
      </c>
      <c r="X1344" s="3" t="str">
        <f aca="false">TEXT(C1344,"mmmm")</f>
        <v>July</v>
      </c>
      <c r="Y1344" s="3" t="str">
        <f aca="false">LEFT(G1344,1)&amp;MID(G1344,FIND(" ",G1344)+1,1)</f>
        <v>AM</v>
      </c>
    </row>
    <row r="1345" customFormat="false" ht="15" hidden="false" customHeight="false" outlineLevel="0" collapsed="false">
      <c r="A1345" s="3" t="n">
        <v>1344</v>
      </c>
      <c r="B1345" s="3" t="s">
        <v>3052</v>
      </c>
      <c r="C1345" s="4" t="s">
        <v>3045</v>
      </c>
      <c r="D1345" s="4" t="s">
        <v>3053</v>
      </c>
      <c r="E1345" s="3" t="s">
        <v>42</v>
      </c>
      <c r="F1345" s="3" t="s">
        <v>235</v>
      </c>
      <c r="G1345" s="3" t="s">
        <v>236</v>
      </c>
      <c r="H1345" s="3" t="s">
        <v>56</v>
      </c>
      <c r="I1345" s="3" t="s">
        <v>32</v>
      </c>
      <c r="J1345" s="3" t="s">
        <v>873</v>
      </c>
      <c r="K1345" s="3" t="s">
        <v>387</v>
      </c>
      <c r="L1345" s="3" t="s">
        <v>35</v>
      </c>
      <c r="M1345" s="3" t="s">
        <v>121</v>
      </c>
      <c r="N1345" s="3" t="s">
        <v>49</v>
      </c>
      <c r="O1345" s="3" t="s">
        <v>50</v>
      </c>
      <c r="P1345" s="3" t="s">
        <v>122</v>
      </c>
      <c r="Q1345" s="5" t="n">
        <v>82.92</v>
      </c>
      <c r="R1345" s="3" t="n">
        <v>1</v>
      </c>
      <c r="S1345" s="6" t="n">
        <v>0</v>
      </c>
      <c r="T1345" s="5" t="n">
        <v>9.44</v>
      </c>
      <c r="U1345" s="3" t="str">
        <f aca="false">IF(T1345&lt;0,"Loss",IF(T1345=0,"Break-even","Profit"))</f>
        <v>Profit</v>
      </c>
      <c r="V1345" s="3" t="str">
        <f aca="false">IF(Q1345&lt;100,"Low",IF(Q1345&lt;=500,"Medium","High"))</f>
        <v>Low</v>
      </c>
      <c r="W1345" s="3" t="n">
        <f aca="false">D1345-C1345</f>
        <v>1</v>
      </c>
      <c r="X1345" s="3" t="str">
        <f aca="false">TEXT(C1345,"mmmm")</f>
        <v>July</v>
      </c>
      <c r="Y1345" s="3" t="str">
        <f aca="false">LEFT(G1345,1)&amp;MID(G1345,FIND(" ",G1345)+1,1)</f>
        <v>WR</v>
      </c>
    </row>
    <row r="1346" customFormat="false" ht="15" hidden="false" customHeight="false" outlineLevel="0" collapsed="false">
      <c r="A1346" s="3" t="n">
        <v>1345</v>
      </c>
      <c r="B1346" s="3" t="s">
        <v>3054</v>
      </c>
      <c r="C1346" s="4" t="s">
        <v>3055</v>
      </c>
      <c r="D1346" s="4" t="s">
        <v>3048</v>
      </c>
      <c r="E1346" s="3" t="s">
        <v>84</v>
      </c>
      <c r="F1346" s="3" t="s">
        <v>1239</v>
      </c>
      <c r="G1346" s="3" t="s">
        <v>1240</v>
      </c>
      <c r="H1346" s="3" t="s">
        <v>56</v>
      </c>
      <c r="I1346" s="3" t="s">
        <v>32</v>
      </c>
      <c r="J1346" s="3" t="s">
        <v>873</v>
      </c>
      <c r="K1346" s="3" t="s">
        <v>387</v>
      </c>
      <c r="L1346" s="3" t="s">
        <v>35</v>
      </c>
      <c r="M1346" s="3" t="s">
        <v>97</v>
      </c>
      <c r="N1346" s="3" t="s">
        <v>89</v>
      </c>
      <c r="O1346" s="3" t="s">
        <v>90</v>
      </c>
      <c r="P1346" s="3" t="s">
        <v>98</v>
      </c>
      <c r="Q1346" s="5" t="n">
        <v>2797.8</v>
      </c>
      <c r="R1346" s="3" t="n">
        <v>7</v>
      </c>
      <c r="S1346" s="6" t="n">
        <v>0</v>
      </c>
      <c r="T1346" s="5" t="n">
        <v>367.35</v>
      </c>
      <c r="U1346" s="3" t="str">
        <f aca="false">IF(T1346&lt;0,"Loss",IF(T1346=0,"Break-even","Profit"))</f>
        <v>Profit</v>
      </c>
      <c r="V1346" s="3" t="str">
        <f aca="false">IF(Q1346&lt;100,"Low",IF(Q1346&lt;=500,"Medium","High"))</f>
        <v>High</v>
      </c>
      <c r="W1346" s="3" t="n">
        <f aca="false">D1346-C1346</f>
        <v>4</v>
      </c>
      <c r="X1346" s="3" t="str">
        <f aca="false">TEXT(C1346,"mmmm")</f>
        <v>July</v>
      </c>
      <c r="Y1346" s="3" t="str">
        <f aca="false">LEFT(G1346,1)&amp;MID(G1346,FIND(" ",G1346)+1,1)</f>
        <v>JK</v>
      </c>
    </row>
    <row r="1347" customFormat="false" ht="15" hidden="false" customHeight="false" outlineLevel="0" collapsed="false">
      <c r="A1347" s="3" t="n">
        <v>1346</v>
      </c>
      <c r="B1347" s="3" t="s">
        <v>3056</v>
      </c>
      <c r="C1347" s="4" t="s">
        <v>3055</v>
      </c>
      <c r="D1347" s="4" t="s">
        <v>3057</v>
      </c>
      <c r="E1347" s="3" t="s">
        <v>28</v>
      </c>
      <c r="F1347" s="3" t="s">
        <v>1077</v>
      </c>
      <c r="G1347" s="3" t="s">
        <v>1078</v>
      </c>
      <c r="H1347" s="3" t="s">
        <v>56</v>
      </c>
      <c r="I1347" s="3" t="s">
        <v>32</v>
      </c>
      <c r="J1347" s="3" t="s">
        <v>33</v>
      </c>
      <c r="K1347" s="3" t="s">
        <v>34</v>
      </c>
      <c r="L1347" s="3" t="s">
        <v>35</v>
      </c>
      <c r="M1347" s="3" t="s">
        <v>135</v>
      </c>
      <c r="N1347" s="3" t="s">
        <v>37</v>
      </c>
      <c r="O1347" s="3" t="s">
        <v>136</v>
      </c>
      <c r="P1347" s="3" t="s">
        <v>137</v>
      </c>
      <c r="Q1347" s="5" t="n">
        <v>1186.91</v>
      </c>
      <c r="R1347" s="3" t="n">
        <v>2</v>
      </c>
      <c r="S1347" s="6" t="n">
        <v>0</v>
      </c>
      <c r="T1347" s="5" t="n">
        <v>284.13</v>
      </c>
      <c r="U1347" s="3" t="str">
        <f aca="false">IF(T1347&lt;0,"Loss",IF(T1347=0,"Break-even","Profit"))</f>
        <v>Profit</v>
      </c>
      <c r="V1347" s="3" t="str">
        <f aca="false">IF(Q1347&lt;100,"Low",IF(Q1347&lt;=500,"Medium","High"))</f>
        <v>High</v>
      </c>
      <c r="W1347" s="3" t="n">
        <f aca="false">D1347-C1347</f>
        <v>7</v>
      </c>
      <c r="X1347" s="3" t="str">
        <f aca="false">TEXT(C1347,"mmmm")</f>
        <v>July</v>
      </c>
      <c r="Y1347" s="3" t="str">
        <f aca="false">LEFT(G1347,1)&amp;MID(G1347,FIND(" ",G1347)+1,1)</f>
        <v>FN</v>
      </c>
    </row>
    <row r="1348" customFormat="false" ht="15" hidden="false" customHeight="false" outlineLevel="0" collapsed="false">
      <c r="A1348" s="3" t="n">
        <v>1347</v>
      </c>
      <c r="B1348" s="3" t="s">
        <v>3058</v>
      </c>
      <c r="C1348" s="4" t="s">
        <v>3055</v>
      </c>
      <c r="D1348" s="4" t="s">
        <v>3048</v>
      </c>
      <c r="E1348" s="3" t="s">
        <v>28</v>
      </c>
      <c r="F1348" s="3" t="s">
        <v>1283</v>
      </c>
      <c r="G1348" s="3" t="s">
        <v>1284</v>
      </c>
      <c r="H1348" s="3" t="s">
        <v>31</v>
      </c>
      <c r="I1348" s="3" t="s">
        <v>32</v>
      </c>
      <c r="J1348" s="3" t="s">
        <v>33</v>
      </c>
      <c r="K1348" s="3" t="s">
        <v>34</v>
      </c>
      <c r="L1348" s="3" t="s">
        <v>35</v>
      </c>
      <c r="M1348" s="3" t="s">
        <v>420</v>
      </c>
      <c r="N1348" s="3" t="s">
        <v>49</v>
      </c>
      <c r="O1348" s="3" t="s">
        <v>80</v>
      </c>
      <c r="P1348" s="3" t="s">
        <v>421</v>
      </c>
      <c r="Q1348" s="5" t="n">
        <v>470.93</v>
      </c>
      <c r="R1348" s="3" t="n">
        <v>5</v>
      </c>
      <c r="S1348" s="6" t="n">
        <v>0.5</v>
      </c>
      <c r="T1348" s="5" t="n">
        <v>-163.47</v>
      </c>
      <c r="U1348" s="3" t="str">
        <f aca="false">IF(T1348&lt;0,"Loss",IF(T1348=0,"Break-even","Profit"))</f>
        <v>Loss</v>
      </c>
      <c r="V1348" s="3" t="str">
        <f aca="false">IF(Q1348&lt;100,"Low",IF(Q1348&lt;=500,"Medium","High"))</f>
        <v>Medium</v>
      </c>
      <c r="W1348" s="3" t="n">
        <f aca="false">D1348-C1348</f>
        <v>4</v>
      </c>
      <c r="X1348" s="3" t="str">
        <f aca="false">TEXT(C1348,"mmmm")</f>
        <v>July</v>
      </c>
      <c r="Y1348" s="3" t="str">
        <f aca="false">LEFT(G1348,1)&amp;MID(G1348,FIND(" ",G1348)+1,1)</f>
        <v>LK</v>
      </c>
    </row>
    <row r="1349" customFormat="false" ht="15" hidden="false" customHeight="false" outlineLevel="0" collapsed="false">
      <c r="A1349" s="3" t="n">
        <v>1348</v>
      </c>
      <c r="B1349" s="3" t="s">
        <v>3059</v>
      </c>
      <c r="C1349" s="4" t="s">
        <v>3050</v>
      </c>
      <c r="D1349" s="4" t="s">
        <v>3060</v>
      </c>
      <c r="E1349" s="3" t="s">
        <v>84</v>
      </c>
      <c r="F1349" s="3" t="s">
        <v>1121</v>
      </c>
      <c r="G1349" s="3" t="s">
        <v>1122</v>
      </c>
      <c r="H1349" s="3" t="s">
        <v>56</v>
      </c>
      <c r="I1349" s="3" t="s">
        <v>32</v>
      </c>
      <c r="J1349" s="3" t="s">
        <v>737</v>
      </c>
      <c r="K1349" s="3" t="s">
        <v>307</v>
      </c>
      <c r="L1349" s="3" t="s">
        <v>69</v>
      </c>
      <c r="M1349" s="3" t="s">
        <v>121</v>
      </c>
      <c r="N1349" s="3" t="s">
        <v>49</v>
      </c>
      <c r="O1349" s="3" t="s">
        <v>50</v>
      </c>
      <c r="P1349" s="3" t="s">
        <v>122</v>
      </c>
      <c r="Q1349" s="5" t="n">
        <v>568.99</v>
      </c>
      <c r="R1349" s="3" t="n">
        <v>7</v>
      </c>
      <c r="S1349" s="6" t="n">
        <v>0</v>
      </c>
      <c r="T1349" s="5" t="n">
        <v>131.94</v>
      </c>
      <c r="U1349" s="3" t="str">
        <f aca="false">IF(T1349&lt;0,"Loss",IF(T1349=0,"Break-even","Profit"))</f>
        <v>Profit</v>
      </c>
      <c r="V1349" s="3" t="str">
        <f aca="false">IF(Q1349&lt;100,"Low",IF(Q1349&lt;=500,"Medium","High"))</f>
        <v>High</v>
      </c>
      <c r="W1349" s="3" t="n">
        <f aca="false">D1349-C1349</f>
        <v>4</v>
      </c>
      <c r="X1349" s="3" t="str">
        <f aca="false">TEXT(C1349,"mmmm")</f>
        <v>July</v>
      </c>
      <c r="Y1349" s="3" t="str">
        <f aca="false">LEFT(G1349,1)&amp;MID(G1349,FIND(" ",G1349)+1,1)</f>
        <v>MC</v>
      </c>
    </row>
    <row r="1350" customFormat="false" ht="15" hidden="false" customHeight="false" outlineLevel="0" collapsed="false">
      <c r="A1350" s="3" t="n">
        <v>1349</v>
      </c>
      <c r="B1350" s="3" t="s">
        <v>3061</v>
      </c>
      <c r="C1350" s="4" t="s">
        <v>3062</v>
      </c>
      <c r="D1350" s="4" t="s">
        <v>3063</v>
      </c>
      <c r="E1350" s="3" t="s">
        <v>28</v>
      </c>
      <c r="F1350" s="3" t="s">
        <v>125</v>
      </c>
      <c r="G1350" s="3" t="s">
        <v>126</v>
      </c>
      <c r="H1350" s="3" t="s">
        <v>56</v>
      </c>
      <c r="I1350" s="3" t="s">
        <v>32</v>
      </c>
      <c r="J1350" s="3" t="s">
        <v>663</v>
      </c>
      <c r="K1350" s="3" t="s">
        <v>307</v>
      </c>
      <c r="L1350" s="3" t="s">
        <v>69</v>
      </c>
      <c r="M1350" s="3" t="s">
        <v>659</v>
      </c>
      <c r="N1350" s="3" t="s">
        <v>89</v>
      </c>
      <c r="O1350" s="3" t="s">
        <v>323</v>
      </c>
      <c r="P1350" s="3" t="s">
        <v>660</v>
      </c>
      <c r="Q1350" s="5" t="n">
        <v>9584.1</v>
      </c>
      <c r="R1350" s="3" t="n">
        <v>11</v>
      </c>
      <c r="S1350" s="6" t="n">
        <v>0</v>
      </c>
      <c r="T1350" s="5" t="n">
        <v>2273.14</v>
      </c>
      <c r="U1350" s="3" t="str">
        <f aca="false">IF(T1350&lt;0,"Loss",IF(T1350=0,"Break-even","Profit"))</f>
        <v>Profit</v>
      </c>
      <c r="V1350" s="3" t="str">
        <f aca="false">IF(Q1350&lt;100,"Low",IF(Q1350&lt;=500,"Medium","High"))</f>
        <v>High</v>
      </c>
      <c r="W1350" s="3" t="n">
        <f aca="false">D1350-C1350</f>
        <v>7</v>
      </c>
      <c r="X1350" s="3" t="str">
        <f aca="false">TEXT(C1350,"mmmm")</f>
        <v>July</v>
      </c>
      <c r="Y1350" s="3" t="str">
        <f aca="false">LEFT(G1350,1)&amp;MID(G1350,FIND(" ",G1350)+1,1)</f>
        <v>LM</v>
      </c>
    </row>
    <row r="1351" customFormat="false" ht="15" hidden="false" customHeight="false" outlineLevel="0" collapsed="false">
      <c r="A1351" s="3" t="n">
        <v>1350</v>
      </c>
      <c r="B1351" s="3" t="s">
        <v>3064</v>
      </c>
      <c r="C1351" s="4" t="s">
        <v>3062</v>
      </c>
      <c r="D1351" s="4" t="s">
        <v>3065</v>
      </c>
      <c r="E1351" s="3" t="s">
        <v>28</v>
      </c>
      <c r="F1351" s="3" t="s">
        <v>626</v>
      </c>
      <c r="G1351" s="3" t="s">
        <v>627</v>
      </c>
      <c r="H1351" s="3" t="s">
        <v>31</v>
      </c>
      <c r="I1351" s="3" t="s">
        <v>32</v>
      </c>
      <c r="J1351" s="3" t="s">
        <v>381</v>
      </c>
      <c r="K1351" s="3" t="s">
        <v>58</v>
      </c>
      <c r="L1351" s="3" t="s">
        <v>59</v>
      </c>
      <c r="M1351" s="3" t="s">
        <v>259</v>
      </c>
      <c r="N1351" s="3" t="s">
        <v>89</v>
      </c>
      <c r="O1351" s="3" t="s">
        <v>174</v>
      </c>
      <c r="P1351" s="3" t="s">
        <v>260</v>
      </c>
      <c r="Q1351" s="5" t="n">
        <v>976.23</v>
      </c>
      <c r="R1351" s="3" t="n">
        <v>2</v>
      </c>
      <c r="S1351" s="6" t="n">
        <v>0</v>
      </c>
      <c r="T1351" s="5" t="n">
        <v>-196.82</v>
      </c>
      <c r="U1351" s="3" t="str">
        <f aca="false">IF(T1351&lt;0,"Loss",IF(T1351=0,"Break-even","Profit"))</f>
        <v>Loss</v>
      </c>
      <c r="V1351" s="3" t="str">
        <f aca="false">IF(Q1351&lt;100,"Low",IF(Q1351&lt;=500,"Medium","High"))</f>
        <v>High</v>
      </c>
      <c r="W1351" s="3" t="n">
        <f aca="false">D1351-C1351</f>
        <v>3</v>
      </c>
      <c r="X1351" s="3" t="str">
        <f aca="false">TEXT(C1351,"mmmm")</f>
        <v>July</v>
      </c>
      <c r="Y1351" s="3" t="str">
        <f aca="false">LEFT(G1351,1)&amp;MID(G1351,FIND(" ",G1351)+1,1)</f>
        <v>CD</v>
      </c>
    </row>
    <row r="1352" customFormat="false" ht="15" hidden="false" customHeight="false" outlineLevel="0" collapsed="false">
      <c r="A1352" s="3" t="n">
        <v>1351</v>
      </c>
      <c r="B1352" s="3" t="s">
        <v>3066</v>
      </c>
      <c r="C1352" s="4" t="s">
        <v>3062</v>
      </c>
      <c r="D1352" s="4" t="s">
        <v>3063</v>
      </c>
      <c r="E1352" s="3" t="s">
        <v>28</v>
      </c>
      <c r="F1352" s="3" t="s">
        <v>3067</v>
      </c>
      <c r="G1352" s="3" t="s">
        <v>3068</v>
      </c>
      <c r="H1352" s="3" t="s">
        <v>56</v>
      </c>
      <c r="I1352" s="3" t="s">
        <v>32</v>
      </c>
      <c r="J1352" s="3" t="s">
        <v>315</v>
      </c>
      <c r="K1352" s="3" t="s">
        <v>58</v>
      </c>
      <c r="L1352" s="3" t="s">
        <v>59</v>
      </c>
      <c r="M1352" s="3" t="s">
        <v>334</v>
      </c>
      <c r="N1352" s="3" t="s">
        <v>37</v>
      </c>
      <c r="O1352" s="3" t="s">
        <v>136</v>
      </c>
      <c r="P1352" s="3" t="s">
        <v>335</v>
      </c>
      <c r="Q1352" s="5" t="n">
        <v>1991.22</v>
      </c>
      <c r="R1352" s="3" t="n">
        <v>2</v>
      </c>
      <c r="S1352" s="6" t="n">
        <v>0.5</v>
      </c>
      <c r="T1352" s="5" t="n">
        <v>474.49</v>
      </c>
      <c r="U1352" s="3" t="str">
        <f aca="false">IF(T1352&lt;0,"Loss",IF(T1352=0,"Break-even","Profit"))</f>
        <v>Profit</v>
      </c>
      <c r="V1352" s="3" t="str">
        <f aca="false">IF(Q1352&lt;100,"Low",IF(Q1352&lt;=500,"Medium","High"))</f>
        <v>High</v>
      </c>
      <c r="W1352" s="3" t="n">
        <f aca="false">D1352-C1352</f>
        <v>7</v>
      </c>
      <c r="X1352" s="3" t="str">
        <f aca="false">TEXT(C1352,"mmmm")</f>
        <v>July</v>
      </c>
      <c r="Y1352" s="3" t="str">
        <f aca="false">LEFT(G1352,1)&amp;MID(G1352,FIND(" ",G1352)+1,1)</f>
        <v>JS</v>
      </c>
    </row>
    <row r="1353" customFormat="false" ht="15" hidden="false" customHeight="false" outlineLevel="0" collapsed="false">
      <c r="A1353" s="3" t="n">
        <v>1352</v>
      </c>
      <c r="B1353" s="3" t="s">
        <v>3069</v>
      </c>
      <c r="C1353" s="4" t="s">
        <v>3048</v>
      </c>
      <c r="D1353" s="4" t="s">
        <v>3070</v>
      </c>
      <c r="E1353" s="3" t="s">
        <v>28</v>
      </c>
      <c r="F1353" s="3" t="s">
        <v>812</v>
      </c>
      <c r="G1353" s="3" t="s">
        <v>813</v>
      </c>
      <c r="H1353" s="3" t="s">
        <v>56</v>
      </c>
      <c r="I1353" s="3" t="s">
        <v>32</v>
      </c>
      <c r="J1353" s="3" t="s">
        <v>155</v>
      </c>
      <c r="K1353" s="3" t="s">
        <v>156</v>
      </c>
      <c r="L1353" s="3" t="s">
        <v>157</v>
      </c>
      <c r="M1353" s="3" t="s">
        <v>165</v>
      </c>
      <c r="N1353" s="3" t="s">
        <v>89</v>
      </c>
      <c r="O1353" s="3" t="s">
        <v>166</v>
      </c>
      <c r="P1353" s="3" t="s">
        <v>167</v>
      </c>
      <c r="Q1353" s="5" t="n">
        <v>157.16</v>
      </c>
      <c r="R1353" s="3" t="n">
        <v>4</v>
      </c>
      <c r="S1353" s="6" t="n">
        <v>0.3</v>
      </c>
      <c r="T1353" s="5" t="n">
        <v>-18.54</v>
      </c>
      <c r="U1353" s="3" t="str">
        <f aca="false">IF(T1353&lt;0,"Loss",IF(T1353=0,"Break-even","Profit"))</f>
        <v>Loss</v>
      </c>
      <c r="V1353" s="3" t="str">
        <f aca="false">IF(Q1353&lt;100,"Low",IF(Q1353&lt;=500,"Medium","High"))</f>
        <v>Medium</v>
      </c>
      <c r="W1353" s="3" t="n">
        <f aca="false">D1353-C1353</f>
        <v>5</v>
      </c>
      <c r="X1353" s="3" t="str">
        <f aca="false">TEXT(C1353,"mmmm")</f>
        <v>July</v>
      </c>
      <c r="Y1353" s="3" t="str">
        <f aca="false">LEFT(G1353,1)&amp;MID(G1353,FIND(" ",G1353)+1,1)</f>
        <v>AG</v>
      </c>
    </row>
    <row r="1354" customFormat="false" ht="15" hidden="false" customHeight="false" outlineLevel="0" collapsed="false">
      <c r="A1354" s="3" t="n">
        <v>1353</v>
      </c>
      <c r="B1354" s="3" t="s">
        <v>3071</v>
      </c>
      <c r="C1354" s="4" t="s">
        <v>3060</v>
      </c>
      <c r="D1354" s="4" t="s">
        <v>3072</v>
      </c>
      <c r="E1354" s="3" t="s">
        <v>28</v>
      </c>
      <c r="F1354" s="3" t="s">
        <v>263</v>
      </c>
      <c r="G1354" s="3" t="s">
        <v>264</v>
      </c>
      <c r="H1354" s="3" t="s">
        <v>31</v>
      </c>
      <c r="I1354" s="3" t="s">
        <v>32</v>
      </c>
      <c r="J1354" s="3" t="s">
        <v>415</v>
      </c>
      <c r="K1354" s="3" t="s">
        <v>202</v>
      </c>
      <c r="L1354" s="3" t="s">
        <v>35</v>
      </c>
      <c r="M1354" s="3" t="s">
        <v>219</v>
      </c>
      <c r="N1354" s="3" t="s">
        <v>49</v>
      </c>
      <c r="O1354" s="3" t="s">
        <v>220</v>
      </c>
      <c r="P1354" s="3" t="s">
        <v>221</v>
      </c>
      <c r="Q1354" s="5" t="n">
        <v>514.05</v>
      </c>
      <c r="R1354" s="3" t="n">
        <v>10</v>
      </c>
      <c r="S1354" s="6" t="n">
        <v>0.2</v>
      </c>
      <c r="T1354" s="5" t="n">
        <v>136.39</v>
      </c>
      <c r="U1354" s="3" t="str">
        <f aca="false">IF(T1354&lt;0,"Loss",IF(T1354=0,"Break-even","Profit"))</f>
        <v>Profit</v>
      </c>
      <c r="V1354" s="3" t="str">
        <f aca="false">IF(Q1354&lt;100,"Low",IF(Q1354&lt;=500,"Medium","High"))</f>
        <v>High</v>
      </c>
      <c r="W1354" s="3" t="n">
        <f aca="false">D1354-C1354</f>
        <v>3</v>
      </c>
      <c r="X1354" s="3" t="str">
        <f aca="false">TEXT(C1354,"mmmm")</f>
        <v>July</v>
      </c>
      <c r="Y1354" s="3" t="str">
        <f aca="false">LEFT(G1354,1)&amp;MID(G1354,FIND(" ",G1354)+1,1)</f>
        <v>MB</v>
      </c>
    </row>
    <row r="1355" customFormat="false" ht="15" hidden="false" customHeight="false" outlineLevel="0" collapsed="false">
      <c r="A1355" s="3" t="n">
        <v>1354</v>
      </c>
      <c r="B1355" s="3" t="s">
        <v>3073</v>
      </c>
      <c r="C1355" s="4" t="s">
        <v>3065</v>
      </c>
      <c r="D1355" s="4" t="s">
        <v>3074</v>
      </c>
      <c r="E1355" s="3" t="s">
        <v>28</v>
      </c>
      <c r="F1355" s="3" t="s">
        <v>430</v>
      </c>
      <c r="G1355" s="3" t="s">
        <v>431</v>
      </c>
      <c r="H1355" s="3" t="s">
        <v>31</v>
      </c>
      <c r="I1355" s="3" t="s">
        <v>32</v>
      </c>
      <c r="J1355" s="3" t="s">
        <v>95</v>
      </c>
      <c r="K1355" s="3" t="s">
        <v>96</v>
      </c>
      <c r="L1355" s="3" t="s">
        <v>59</v>
      </c>
      <c r="M1355" s="3" t="s">
        <v>121</v>
      </c>
      <c r="N1355" s="3" t="s">
        <v>49</v>
      </c>
      <c r="O1355" s="3" t="s">
        <v>50</v>
      </c>
      <c r="P1355" s="3" t="s">
        <v>122</v>
      </c>
      <c r="Q1355" s="5" t="n">
        <v>241.62</v>
      </c>
      <c r="R1355" s="3" t="n">
        <v>6</v>
      </c>
      <c r="S1355" s="6" t="n">
        <v>0.4</v>
      </c>
      <c r="T1355" s="5" t="n">
        <v>-32.73</v>
      </c>
      <c r="U1355" s="3" t="str">
        <f aca="false">IF(T1355&lt;0,"Loss",IF(T1355=0,"Break-even","Profit"))</f>
        <v>Loss</v>
      </c>
      <c r="V1355" s="3" t="str">
        <f aca="false">IF(Q1355&lt;100,"Low",IF(Q1355&lt;=500,"Medium","High"))</f>
        <v>Medium</v>
      </c>
      <c r="W1355" s="3" t="n">
        <f aca="false">D1355-C1355</f>
        <v>5</v>
      </c>
      <c r="X1355" s="3" t="str">
        <f aca="false">TEXT(C1355,"mmmm")</f>
        <v>August</v>
      </c>
      <c r="Y1355" s="3" t="str">
        <f aca="false">LEFT(G1355,1)&amp;MID(G1355,FIND(" ",G1355)+1,1)</f>
        <v>SM</v>
      </c>
    </row>
    <row r="1356" customFormat="false" ht="15" hidden="false" customHeight="false" outlineLevel="0" collapsed="false">
      <c r="A1356" s="3" t="n">
        <v>1355</v>
      </c>
      <c r="B1356" s="3" t="s">
        <v>3075</v>
      </c>
      <c r="C1356" s="4" t="s">
        <v>3057</v>
      </c>
      <c r="D1356" s="4" t="s">
        <v>3063</v>
      </c>
      <c r="E1356" s="3" t="s">
        <v>28</v>
      </c>
      <c r="F1356" s="3" t="s">
        <v>409</v>
      </c>
      <c r="G1356" s="3" t="s">
        <v>410</v>
      </c>
      <c r="H1356" s="3" t="s">
        <v>56</v>
      </c>
      <c r="I1356" s="3" t="s">
        <v>32</v>
      </c>
      <c r="J1356" s="3" t="s">
        <v>67</v>
      </c>
      <c r="K1356" s="3" t="s">
        <v>68</v>
      </c>
      <c r="L1356" s="3" t="s">
        <v>69</v>
      </c>
      <c r="M1356" s="3" t="s">
        <v>470</v>
      </c>
      <c r="N1356" s="3" t="s">
        <v>49</v>
      </c>
      <c r="O1356" s="3" t="s">
        <v>159</v>
      </c>
      <c r="P1356" s="3" t="s">
        <v>471</v>
      </c>
      <c r="Q1356" s="5" t="n">
        <v>698.67</v>
      </c>
      <c r="R1356" s="3" t="n">
        <v>7</v>
      </c>
      <c r="S1356" s="6" t="n">
        <v>0.3</v>
      </c>
      <c r="T1356" s="5" t="n">
        <v>-179.52</v>
      </c>
      <c r="U1356" s="3" t="str">
        <f aca="false">IF(T1356&lt;0,"Loss",IF(T1356=0,"Break-even","Profit"))</f>
        <v>Loss</v>
      </c>
      <c r="V1356" s="3" t="str">
        <f aca="false">IF(Q1356&lt;100,"Low",IF(Q1356&lt;=500,"Medium","High"))</f>
        <v>High</v>
      </c>
      <c r="W1356" s="3" t="n">
        <f aca="false">D1356-C1356</f>
        <v>3</v>
      </c>
      <c r="X1356" s="3" t="str">
        <f aca="false">TEXT(C1356,"mmmm")</f>
        <v>August</v>
      </c>
      <c r="Y1356" s="3" t="str">
        <f aca="false">LEFT(G1356,1)&amp;MID(G1356,FIND(" ",G1356)+1,1)</f>
        <v>CT</v>
      </c>
    </row>
    <row r="1357" customFormat="false" ht="15" hidden="false" customHeight="false" outlineLevel="0" collapsed="false">
      <c r="A1357" s="3" t="n">
        <v>1356</v>
      </c>
      <c r="B1357" s="3" t="s">
        <v>3076</v>
      </c>
      <c r="C1357" s="4" t="s">
        <v>3057</v>
      </c>
      <c r="D1357" s="4" t="s">
        <v>3074</v>
      </c>
      <c r="E1357" s="3" t="s">
        <v>28</v>
      </c>
      <c r="F1357" s="3" t="s">
        <v>507</v>
      </c>
      <c r="G1357" s="3" t="s">
        <v>508</v>
      </c>
      <c r="H1357" s="3" t="s">
        <v>45</v>
      </c>
      <c r="I1357" s="3" t="s">
        <v>32</v>
      </c>
      <c r="J1357" s="3" t="s">
        <v>299</v>
      </c>
      <c r="K1357" s="3" t="s">
        <v>189</v>
      </c>
      <c r="L1357" s="3" t="s">
        <v>59</v>
      </c>
      <c r="M1357" s="3" t="s">
        <v>48</v>
      </c>
      <c r="N1357" s="3" t="s">
        <v>49</v>
      </c>
      <c r="O1357" s="3" t="s">
        <v>50</v>
      </c>
      <c r="P1357" s="3" t="s">
        <v>51</v>
      </c>
      <c r="Q1357" s="5" t="n">
        <v>1010.97</v>
      </c>
      <c r="R1357" s="3" t="n">
        <v>10</v>
      </c>
      <c r="S1357" s="6" t="n">
        <v>0.4</v>
      </c>
      <c r="T1357" s="5" t="n">
        <v>116.25</v>
      </c>
      <c r="U1357" s="3" t="str">
        <f aca="false">IF(T1357&lt;0,"Loss",IF(T1357=0,"Break-even","Profit"))</f>
        <v>Profit</v>
      </c>
      <c r="V1357" s="3" t="str">
        <f aca="false">IF(Q1357&lt;100,"Low",IF(Q1357&lt;=500,"Medium","High"))</f>
        <v>High</v>
      </c>
      <c r="W1357" s="3" t="n">
        <f aca="false">D1357-C1357</f>
        <v>4</v>
      </c>
      <c r="X1357" s="3" t="str">
        <f aca="false">TEXT(C1357,"mmmm")</f>
        <v>August</v>
      </c>
      <c r="Y1357" s="3" t="str">
        <f aca="false">LEFT(G1357,1)&amp;MID(G1357,FIND(" ",G1357)+1,1)</f>
        <v>LS</v>
      </c>
    </row>
    <row r="1358" customFormat="false" ht="15" hidden="false" customHeight="false" outlineLevel="0" collapsed="false">
      <c r="A1358" s="3" t="n">
        <v>1357</v>
      </c>
      <c r="B1358" s="3" t="s">
        <v>2965</v>
      </c>
      <c r="C1358" s="4" t="s">
        <v>3057</v>
      </c>
      <c r="D1358" s="4" t="s">
        <v>3072</v>
      </c>
      <c r="E1358" s="3" t="s">
        <v>42</v>
      </c>
      <c r="F1358" s="3" t="s">
        <v>1892</v>
      </c>
      <c r="G1358" s="3" t="s">
        <v>1893</v>
      </c>
      <c r="H1358" s="3" t="s">
        <v>56</v>
      </c>
      <c r="I1358" s="3" t="s">
        <v>32</v>
      </c>
      <c r="J1358" s="3" t="s">
        <v>299</v>
      </c>
      <c r="K1358" s="3" t="s">
        <v>189</v>
      </c>
      <c r="L1358" s="3" t="s">
        <v>59</v>
      </c>
      <c r="M1358" s="3" t="s">
        <v>280</v>
      </c>
      <c r="N1358" s="3" t="s">
        <v>89</v>
      </c>
      <c r="O1358" s="3" t="s">
        <v>166</v>
      </c>
      <c r="P1358" s="3" t="s">
        <v>281</v>
      </c>
      <c r="Q1358" s="5" t="n">
        <v>2392.41</v>
      </c>
      <c r="R1358" s="3" t="n">
        <v>6</v>
      </c>
      <c r="S1358" s="6" t="n">
        <v>0.1</v>
      </c>
      <c r="T1358" s="5" t="n">
        <v>-569.65</v>
      </c>
      <c r="U1358" s="3" t="str">
        <f aca="false">IF(T1358&lt;0,"Loss",IF(T1358=0,"Break-even","Profit"))</f>
        <v>Loss</v>
      </c>
      <c r="V1358" s="3" t="str">
        <f aca="false">IF(Q1358&lt;100,"Low",IF(Q1358&lt;=500,"Medium","High"))</f>
        <v>High</v>
      </c>
      <c r="W1358" s="3" t="n">
        <f aca="false">D1358-C1358</f>
        <v>1</v>
      </c>
      <c r="X1358" s="3" t="str">
        <f aca="false">TEXT(C1358,"mmmm")</f>
        <v>August</v>
      </c>
      <c r="Y1358" s="3" t="str">
        <f aca="false">LEFT(G1358,1)&amp;MID(G1358,FIND(" ",G1358)+1,1)</f>
        <v>FW</v>
      </c>
    </row>
    <row r="1359" customFormat="false" ht="15" hidden="false" customHeight="false" outlineLevel="0" collapsed="false">
      <c r="A1359" s="3" t="n">
        <v>1358</v>
      </c>
      <c r="B1359" s="3" t="s">
        <v>3077</v>
      </c>
      <c r="C1359" s="4" t="s">
        <v>3057</v>
      </c>
      <c r="D1359" s="4" t="s">
        <v>3063</v>
      </c>
      <c r="E1359" s="3" t="s">
        <v>28</v>
      </c>
      <c r="F1359" s="3" t="s">
        <v>2490</v>
      </c>
      <c r="G1359" s="3" t="s">
        <v>2491</v>
      </c>
      <c r="H1359" s="3" t="s">
        <v>56</v>
      </c>
      <c r="I1359" s="3" t="s">
        <v>32</v>
      </c>
      <c r="J1359" s="3" t="s">
        <v>201</v>
      </c>
      <c r="K1359" s="3" t="s">
        <v>202</v>
      </c>
      <c r="L1359" s="3" t="s">
        <v>35</v>
      </c>
      <c r="M1359" s="3" t="s">
        <v>404</v>
      </c>
      <c r="N1359" s="3" t="s">
        <v>89</v>
      </c>
      <c r="O1359" s="3" t="s">
        <v>166</v>
      </c>
      <c r="P1359" s="3" t="s">
        <v>405</v>
      </c>
      <c r="Q1359" s="5" t="n">
        <v>4112.7</v>
      </c>
      <c r="R1359" s="3" t="n">
        <v>13</v>
      </c>
      <c r="S1359" s="6" t="n">
        <v>0.1</v>
      </c>
      <c r="T1359" s="5" t="n">
        <v>-99</v>
      </c>
      <c r="U1359" s="3" t="str">
        <f aca="false">IF(T1359&lt;0,"Loss",IF(T1359=0,"Break-even","Profit"))</f>
        <v>Loss</v>
      </c>
      <c r="V1359" s="3" t="str">
        <f aca="false">IF(Q1359&lt;100,"Low",IF(Q1359&lt;=500,"Medium","High"))</f>
        <v>High</v>
      </c>
      <c r="W1359" s="3" t="n">
        <f aca="false">D1359-C1359</f>
        <v>3</v>
      </c>
      <c r="X1359" s="3" t="str">
        <f aca="false">TEXT(C1359,"mmmm")</f>
        <v>August</v>
      </c>
      <c r="Y1359" s="3" t="str">
        <f aca="false">LEFT(G1359,1)&amp;MID(G1359,FIND(" ",G1359)+1,1)</f>
        <v>RM</v>
      </c>
    </row>
    <row r="1360" customFormat="false" ht="15" hidden="false" customHeight="false" outlineLevel="0" collapsed="false">
      <c r="A1360" s="3" t="n">
        <v>1359</v>
      </c>
      <c r="B1360" s="3" t="s">
        <v>3078</v>
      </c>
      <c r="C1360" s="4" t="s">
        <v>3057</v>
      </c>
      <c r="D1360" s="4" t="s">
        <v>3079</v>
      </c>
      <c r="E1360" s="3" t="s">
        <v>28</v>
      </c>
      <c r="F1360" s="3" t="s">
        <v>479</v>
      </c>
      <c r="G1360" s="3" t="s">
        <v>480</v>
      </c>
      <c r="H1360" s="3" t="s">
        <v>56</v>
      </c>
      <c r="I1360" s="3" t="s">
        <v>32</v>
      </c>
      <c r="J1360" s="3" t="s">
        <v>299</v>
      </c>
      <c r="K1360" s="3" t="s">
        <v>189</v>
      </c>
      <c r="L1360" s="3" t="s">
        <v>59</v>
      </c>
      <c r="M1360" s="3" t="s">
        <v>316</v>
      </c>
      <c r="N1360" s="3" t="s">
        <v>49</v>
      </c>
      <c r="O1360" s="3" t="s">
        <v>143</v>
      </c>
      <c r="P1360" s="3" t="s">
        <v>317</v>
      </c>
      <c r="Q1360" s="5" t="n">
        <v>218.58</v>
      </c>
      <c r="R1360" s="3" t="n">
        <v>9</v>
      </c>
      <c r="S1360" s="6" t="n">
        <v>0.1</v>
      </c>
      <c r="T1360" s="5" t="n">
        <v>55.59</v>
      </c>
      <c r="U1360" s="3" t="str">
        <f aca="false">IF(T1360&lt;0,"Loss",IF(T1360=0,"Break-even","Profit"))</f>
        <v>Profit</v>
      </c>
      <c r="V1360" s="3" t="str">
        <f aca="false">IF(Q1360&lt;100,"Low",IF(Q1360&lt;=500,"Medium","High"))</f>
        <v>Medium</v>
      </c>
      <c r="W1360" s="3" t="n">
        <f aca="false">D1360-C1360</f>
        <v>7</v>
      </c>
      <c r="X1360" s="3" t="str">
        <f aca="false">TEXT(C1360,"mmmm")</f>
        <v>August</v>
      </c>
      <c r="Y1360" s="3" t="str">
        <f aca="false">LEFT(G1360,1)&amp;MID(G1360,FIND(" ",G1360)+1,1)</f>
        <v>MK</v>
      </c>
    </row>
    <row r="1361" customFormat="false" ht="15" hidden="false" customHeight="false" outlineLevel="0" collapsed="false">
      <c r="A1361" s="3" t="n">
        <v>1360</v>
      </c>
      <c r="B1361" s="3" t="s">
        <v>2932</v>
      </c>
      <c r="C1361" s="4" t="s">
        <v>3070</v>
      </c>
      <c r="D1361" s="4" t="s">
        <v>3080</v>
      </c>
      <c r="E1361" s="3" t="s">
        <v>28</v>
      </c>
      <c r="F1361" s="3" t="s">
        <v>1099</v>
      </c>
      <c r="G1361" s="3" t="s">
        <v>1100</v>
      </c>
      <c r="H1361" s="3" t="s">
        <v>56</v>
      </c>
      <c r="I1361" s="3" t="s">
        <v>32</v>
      </c>
      <c r="J1361" s="3" t="s">
        <v>548</v>
      </c>
      <c r="K1361" s="3" t="s">
        <v>244</v>
      </c>
      <c r="L1361" s="3" t="s">
        <v>157</v>
      </c>
      <c r="M1361" s="3" t="s">
        <v>461</v>
      </c>
      <c r="N1361" s="3" t="s">
        <v>37</v>
      </c>
      <c r="O1361" s="3" t="s">
        <v>71</v>
      </c>
      <c r="P1361" s="3" t="s">
        <v>462</v>
      </c>
      <c r="Q1361" s="5" t="n">
        <v>2467.77</v>
      </c>
      <c r="R1361" s="3" t="n">
        <v>7</v>
      </c>
      <c r="S1361" s="6" t="n">
        <v>0</v>
      </c>
      <c r="T1361" s="5" t="n">
        <v>-572.99</v>
      </c>
      <c r="U1361" s="3" t="str">
        <f aca="false">IF(T1361&lt;0,"Loss",IF(T1361=0,"Break-even","Profit"))</f>
        <v>Loss</v>
      </c>
      <c r="V1361" s="3" t="str">
        <f aca="false">IF(Q1361&lt;100,"Low",IF(Q1361&lt;=500,"Medium","High"))</f>
        <v>High</v>
      </c>
      <c r="W1361" s="3" t="n">
        <f aca="false">D1361-C1361</f>
        <v>7</v>
      </c>
      <c r="X1361" s="3" t="str">
        <f aca="false">TEXT(C1361,"mmmm")</f>
        <v>August</v>
      </c>
      <c r="Y1361" s="3" t="str">
        <f aca="false">LEFT(G1361,1)&amp;MID(G1361,FIND(" ",G1361)+1,1)</f>
        <v>JK</v>
      </c>
    </row>
    <row r="1362" customFormat="false" ht="15" hidden="false" customHeight="false" outlineLevel="0" collapsed="false">
      <c r="A1362" s="3" t="n">
        <v>1361</v>
      </c>
      <c r="B1362" s="3" t="s">
        <v>3081</v>
      </c>
      <c r="C1362" s="4" t="s">
        <v>3070</v>
      </c>
      <c r="D1362" s="4" t="s">
        <v>3074</v>
      </c>
      <c r="E1362" s="3" t="s">
        <v>84</v>
      </c>
      <c r="F1362" s="3" t="s">
        <v>1355</v>
      </c>
      <c r="G1362" s="3" t="s">
        <v>1356</v>
      </c>
      <c r="H1362" s="3" t="s">
        <v>31</v>
      </c>
      <c r="I1362" s="3" t="s">
        <v>32</v>
      </c>
      <c r="J1362" s="3" t="s">
        <v>148</v>
      </c>
      <c r="K1362" s="3" t="s">
        <v>78</v>
      </c>
      <c r="L1362" s="3" t="s">
        <v>59</v>
      </c>
      <c r="M1362" s="3" t="s">
        <v>280</v>
      </c>
      <c r="N1362" s="3" t="s">
        <v>89</v>
      </c>
      <c r="O1362" s="3" t="s">
        <v>166</v>
      </c>
      <c r="P1362" s="3" t="s">
        <v>281</v>
      </c>
      <c r="Q1362" s="5" t="n">
        <v>8494.48</v>
      </c>
      <c r="R1362" s="3" t="n">
        <v>12</v>
      </c>
      <c r="S1362" s="6" t="n">
        <v>0</v>
      </c>
      <c r="T1362" s="5" t="n">
        <v>326.91</v>
      </c>
      <c r="U1362" s="3" t="str">
        <f aca="false">IF(T1362&lt;0,"Loss",IF(T1362=0,"Break-even","Profit"))</f>
        <v>Profit</v>
      </c>
      <c r="V1362" s="3" t="str">
        <f aca="false">IF(Q1362&lt;100,"Low",IF(Q1362&lt;=500,"Medium","High"))</f>
        <v>High</v>
      </c>
      <c r="W1362" s="3" t="n">
        <f aca="false">D1362-C1362</f>
        <v>2</v>
      </c>
      <c r="X1362" s="3" t="str">
        <f aca="false">TEXT(C1362,"mmmm")</f>
        <v>August</v>
      </c>
      <c r="Y1362" s="3" t="str">
        <f aca="false">LEFT(G1362,1)&amp;MID(G1362,FIND(" ",G1362)+1,1)</f>
        <v>FB</v>
      </c>
    </row>
    <row r="1363" customFormat="false" ht="15" hidden="false" customHeight="false" outlineLevel="0" collapsed="false">
      <c r="A1363" s="3" t="n">
        <v>1362</v>
      </c>
      <c r="B1363" s="3" t="s">
        <v>3082</v>
      </c>
      <c r="C1363" s="4" t="s">
        <v>3063</v>
      </c>
      <c r="D1363" s="4" t="s">
        <v>3079</v>
      </c>
      <c r="E1363" s="3" t="s">
        <v>28</v>
      </c>
      <c r="F1363" s="3" t="s">
        <v>1498</v>
      </c>
      <c r="G1363" s="3" t="s">
        <v>1499</v>
      </c>
      <c r="H1363" s="3" t="s">
        <v>56</v>
      </c>
      <c r="I1363" s="3" t="s">
        <v>32</v>
      </c>
      <c r="J1363" s="3" t="s">
        <v>737</v>
      </c>
      <c r="K1363" s="3" t="s">
        <v>307</v>
      </c>
      <c r="L1363" s="3" t="s">
        <v>69</v>
      </c>
      <c r="M1363" s="3" t="s">
        <v>300</v>
      </c>
      <c r="N1363" s="3" t="s">
        <v>49</v>
      </c>
      <c r="O1363" s="3" t="s">
        <v>143</v>
      </c>
      <c r="P1363" s="3" t="s">
        <v>301</v>
      </c>
      <c r="Q1363" s="5" t="n">
        <v>231.91</v>
      </c>
      <c r="R1363" s="3" t="n">
        <v>13</v>
      </c>
      <c r="S1363" s="6" t="n">
        <v>0.3</v>
      </c>
      <c r="T1363" s="5" t="n">
        <v>40.13</v>
      </c>
      <c r="U1363" s="3" t="str">
        <f aca="false">IF(T1363&lt;0,"Loss",IF(T1363=0,"Break-even","Profit"))</f>
        <v>Profit</v>
      </c>
      <c r="V1363" s="3" t="str">
        <f aca="false">IF(Q1363&lt;100,"Low",IF(Q1363&lt;=500,"Medium","High"))</f>
        <v>Medium</v>
      </c>
      <c r="W1363" s="3" t="n">
        <f aca="false">D1363-C1363</f>
        <v>4</v>
      </c>
      <c r="X1363" s="3" t="str">
        <f aca="false">TEXT(C1363,"mmmm")</f>
        <v>August</v>
      </c>
      <c r="Y1363" s="3" t="str">
        <f aca="false">LEFT(G1363,1)&amp;MID(G1363,FIND(" ",G1363)+1,1)</f>
        <v>SJ</v>
      </c>
    </row>
    <row r="1364" customFormat="false" ht="15" hidden="false" customHeight="false" outlineLevel="0" collapsed="false">
      <c r="A1364" s="3" t="n">
        <v>1363</v>
      </c>
      <c r="B1364" s="3" t="s">
        <v>3083</v>
      </c>
      <c r="C1364" s="4" t="s">
        <v>3084</v>
      </c>
      <c r="D1364" s="4" t="s">
        <v>3085</v>
      </c>
      <c r="E1364" s="3" t="s">
        <v>28</v>
      </c>
      <c r="F1364" s="3" t="s">
        <v>2462</v>
      </c>
      <c r="G1364" s="3" t="s">
        <v>2463</v>
      </c>
      <c r="H1364" s="3" t="s">
        <v>56</v>
      </c>
      <c r="I1364" s="3" t="s">
        <v>32</v>
      </c>
      <c r="J1364" s="3" t="s">
        <v>365</v>
      </c>
      <c r="K1364" s="3" t="s">
        <v>366</v>
      </c>
      <c r="L1364" s="3" t="s">
        <v>157</v>
      </c>
      <c r="M1364" s="3" t="s">
        <v>121</v>
      </c>
      <c r="N1364" s="3" t="s">
        <v>49</v>
      </c>
      <c r="O1364" s="3" t="s">
        <v>50</v>
      </c>
      <c r="P1364" s="3" t="s">
        <v>122</v>
      </c>
      <c r="Q1364" s="5" t="n">
        <v>116.75</v>
      </c>
      <c r="R1364" s="3" t="n">
        <v>2</v>
      </c>
      <c r="S1364" s="6" t="n">
        <v>0.1</v>
      </c>
      <c r="T1364" s="5" t="n">
        <v>-6.18</v>
      </c>
      <c r="U1364" s="3" t="str">
        <f aca="false">IF(T1364&lt;0,"Loss",IF(T1364=0,"Break-even","Profit"))</f>
        <v>Loss</v>
      </c>
      <c r="V1364" s="3" t="str">
        <f aca="false">IF(Q1364&lt;100,"Low",IF(Q1364&lt;=500,"Medium","High"))</f>
        <v>Medium</v>
      </c>
      <c r="W1364" s="3" t="n">
        <f aca="false">D1364-C1364</f>
        <v>5</v>
      </c>
      <c r="X1364" s="3" t="str">
        <f aca="false">TEXT(C1364,"mmmm")</f>
        <v>August</v>
      </c>
      <c r="Y1364" s="3" t="str">
        <f aca="false">LEFT(G1364,1)&amp;MID(G1364,FIND(" ",G1364)+1,1)</f>
        <v>LS</v>
      </c>
    </row>
    <row r="1365" customFormat="false" ht="15" hidden="false" customHeight="false" outlineLevel="0" collapsed="false">
      <c r="A1365" s="3" t="n">
        <v>1364</v>
      </c>
      <c r="B1365" s="3" t="s">
        <v>3011</v>
      </c>
      <c r="C1365" s="4" t="s">
        <v>3086</v>
      </c>
      <c r="D1365" s="4" t="s">
        <v>3085</v>
      </c>
      <c r="E1365" s="3" t="s">
        <v>84</v>
      </c>
      <c r="F1365" s="3" t="s">
        <v>177</v>
      </c>
      <c r="G1365" s="3" t="s">
        <v>178</v>
      </c>
      <c r="H1365" s="3" t="s">
        <v>45</v>
      </c>
      <c r="I1365" s="3" t="s">
        <v>32</v>
      </c>
      <c r="J1365" s="3" t="s">
        <v>104</v>
      </c>
      <c r="K1365" s="3" t="s">
        <v>96</v>
      </c>
      <c r="L1365" s="3" t="s">
        <v>59</v>
      </c>
      <c r="M1365" s="3" t="s">
        <v>48</v>
      </c>
      <c r="N1365" s="3" t="s">
        <v>49</v>
      </c>
      <c r="O1365" s="3" t="s">
        <v>50</v>
      </c>
      <c r="P1365" s="3" t="s">
        <v>51</v>
      </c>
      <c r="Q1365" s="5" t="n">
        <v>47.76</v>
      </c>
      <c r="R1365" s="3" t="n">
        <v>6</v>
      </c>
      <c r="S1365" s="6" t="n">
        <v>0.2</v>
      </c>
      <c r="T1365" s="5" t="n">
        <v>11.6</v>
      </c>
      <c r="U1365" s="3" t="str">
        <f aca="false">IF(T1365&lt;0,"Loss",IF(T1365=0,"Break-even","Profit"))</f>
        <v>Profit</v>
      </c>
      <c r="V1365" s="3" t="str">
        <f aca="false">IF(Q1365&lt;100,"Low",IF(Q1365&lt;=500,"Medium","High"))</f>
        <v>Low</v>
      </c>
      <c r="W1365" s="3" t="n">
        <f aca="false">D1365-C1365</f>
        <v>4</v>
      </c>
      <c r="X1365" s="3" t="str">
        <f aca="false">TEXT(C1365,"mmmm")</f>
        <v>August</v>
      </c>
      <c r="Y1365" s="3" t="str">
        <f aca="false">LEFT(G1365,1)&amp;MID(G1365,FIND(" ",G1365)+1,1)</f>
        <v>RB</v>
      </c>
    </row>
    <row r="1366" customFormat="false" ht="15" hidden="false" customHeight="false" outlineLevel="0" collapsed="false">
      <c r="A1366" s="3" t="n">
        <v>1365</v>
      </c>
      <c r="B1366" s="3" t="s">
        <v>2845</v>
      </c>
      <c r="C1366" s="4" t="s">
        <v>3086</v>
      </c>
      <c r="D1366" s="4" t="s">
        <v>3087</v>
      </c>
      <c r="E1366" s="3" t="s">
        <v>28</v>
      </c>
      <c r="F1366" s="3" t="s">
        <v>1446</v>
      </c>
      <c r="G1366" s="3" t="s">
        <v>1447</v>
      </c>
      <c r="H1366" s="3" t="s">
        <v>31</v>
      </c>
      <c r="I1366" s="3" t="s">
        <v>32</v>
      </c>
      <c r="J1366" s="3" t="s">
        <v>243</v>
      </c>
      <c r="K1366" s="3" t="s">
        <v>244</v>
      </c>
      <c r="L1366" s="3" t="s">
        <v>157</v>
      </c>
      <c r="M1366" s="3" t="s">
        <v>142</v>
      </c>
      <c r="N1366" s="3" t="s">
        <v>49</v>
      </c>
      <c r="O1366" s="3" t="s">
        <v>143</v>
      </c>
      <c r="P1366" s="3" t="s">
        <v>144</v>
      </c>
      <c r="Q1366" s="5" t="n">
        <v>19.12</v>
      </c>
      <c r="R1366" s="3" t="n">
        <v>8</v>
      </c>
      <c r="S1366" s="6" t="n">
        <v>0.1</v>
      </c>
      <c r="T1366" s="5" t="n">
        <v>5.8</v>
      </c>
      <c r="U1366" s="3" t="str">
        <f aca="false">IF(T1366&lt;0,"Loss",IF(T1366=0,"Break-even","Profit"))</f>
        <v>Profit</v>
      </c>
      <c r="V1366" s="3" t="str">
        <f aca="false">IF(Q1366&lt;100,"Low",IF(Q1366&lt;=500,"Medium","High"))</f>
        <v>Low</v>
      </c>
      <c r="W1366" s="3" t="n">
        <f aca="false">D1366-C1366</f>
        <v>7</v>
      </c>
      <c r="X1366" s="3" t="str">
        <f aca="false">TEXT(C1366,"mmmm")</f>
        <v>August</v>
      </c>
      <c r="Y1366" s="3" t="str">
        <f aca="false">LEFT(G1366,1)&amp;MID(G1366,FIND(" ",G1366)+1,1)</f>
        <v>JJ</v>
      </c>
    </row>
    <row r="1367" customFormat="false" ht="15" hidden="false" customHeight="false" outlineLevel="0" collapsed="false">
      <c r="A1367" s="3" t="n">
        <v>1366</v>
      </c>
      <c r="B1367" s="3" t="s">
        <v>3088</v>
      </c>
      <c r="C1367" s="4" t="s">
        <v>3079</v>
      </c>
      <c r="D1367" s="4" t="s">
        <v>3079</v>
      </c>
      <c r="E1367" s="3" t="s">
        <v>53</v>
      </c>
      <c r="F1367" s="3" t="s">
        <v>1024</v>
      </c>
      <c r="G1367" s="3" t="s">
        <v>1025</v>
      </c>
      <c r="H1367" s="3" t="s">
        <v>45</v>
      </c>
      <c r="I1367" s="3" t="s">
        <v>32</v>
      </c>
      <c r="J1367" s="3" t="s">
        <v>112</v>
      </c>
      <c r="K1367" s="3" t="s">
        <v>113</v>
      </c>
      <c r="L1367" s="3" t="s">
        <v>69</v>
      </c>
      <c r="M1367" s="3" t="s">
        <v>447</v>
      </c>
      <c r="N1367" s="3" t="s">
        <v>89</v>
      </c>
      <c r="O1367" s="3" t="s">
        <v>323</v>
      </c>
      <c r="P1367" s="3" t="s">
        <v>448</v>
      </c>
      <c r="Q1367" s="5" t="n">
        <v>246.2</v>
      </c>
      <c r="R1367" s="3" t="n">
        <v>1</v>
      </c>
      <c r="S1367" s="6" t="n">
        <v>0.1</v>
      </c>
      <c r="T1367" s="5" t="n">
        <v>3.59</v>
      </c>
      <c r="U1367" s="3" t="str">
        <f aca="false">IF(T1367&lt;0,"Loss",IF(T1367=0,"Break-even","Profit"))</f>
        <v>Profit</v>
      </c>
      <c r="V1367" s="3" t="str">
        <f aca="false">IF(Q1367&lt;100,"Low",IF(Q1367&lt;=500,"Medium","High"))</f>
        <v>Medium</v>
      </c>
      <c r="W1367" s="3" t="n">
        <f aca="false">D1367-C1367</f>
        <v>0</v>
      </c>
      <c r="X1367" s="3" t="str">
        <f aca="false">TEXT(C1367,"mmmm")</f>
        <v>August</v>
      </c>
      <c r="Y1367" s="3" t="str">
        <f aca="false">LEFT(G1367,1)&amp;MID(G1367,FIND(" ",G1367)+1,1)</f>
        <v>LW</v>
      </c>
    </row>
    <row r="1368" customFormat="false" ht="15" hidden="false" customHeight="false" outlineLevel="0" collapsed="false">
      <c r="A1368" s="3" t="n">
        <v>1367</v>
      </c>
      <c r="B1368" s="3" t="s">
        <v>3089</v>
      </c>
      <c r="C1368" s="4" t="s">
        <v>3079</v>
      </c>
      <c r="D1368" s="4" t="s">
        <v>3090</v>
      </c>
      <c r="E1368" s="3" t="s">
        <v>28</v>
      </c>
      <c r="F1368" s="3" t="s">
        <v>565</v>
      </c>
      <c r="G1368" s="3" t="s">
        <v>566</v>
      </c>
      <c r="H1368" s="3" t="s">
        <v>45</v>
      </c>
      <c r="I1368" s="3" t="s">
        <v>32</v>
      </c>
      <c r="J1368" s="3" t="s">
        <v>104</v>
      </c>
      <c r="K1368" s="3" t="s">
        <v>96</v>
      </c>
      <c r="L1368" s="3" t="s">
        <v>59</v>
      </c>
      <c r="M1368" s="3" t="s">
        <v>158</v>
      </c>
      <c r="N1368" s="3" t="s">
        <v>49</v>
      </c>
      <c r="O1368" s="3" t="s">
        <v>159</v>
      </c>
      <c r="P1368" s="3" t="s">
        <v>160</v>
      </c>
      <c r="Q1368" s="5" t="n">
        <v>510.63</v>
      </c>
      <c r="R1368" s="3" t="n">
        <v>5</v>
      </c>
      <c r="S1368" s="6" t="n">
        <v>0.2</v>
      </c>
      <c r="T1368" s="5" t="n">
        <v>-83.99</v>
      </c>
      <c r="U1368" s="3" t="str">
        <f aca="false">IF(T1368&lt;0,"Loss",IF(T1368=0,"Break-even","Profit"))</f>
        <v>Loss</v>
      </c>
      <c r="V1368" s="3" t="str">
        <f aca="false">IF(Q1368&lt;100,"Low",IF(Q1368&lt;=500,"Medium","High"))</f>
        <v>High</v>
      </c>
      <c r="W1368" s="3" t="n">
        <f aca="false">D1368-C1368</f>
        <v>5</v>
      </c>
      <c r="X1368" s="3" t="str">
        <f aca="false">TEXT(C1368,"mmmm")</f>
        <v>August</v>
      </c>
      <c r="Y1368" s="3" t="str">
        <f aca="false">LEFT(G1368,1)&amp;MID(G1368,FIND(" ",G1368)+1,1)</f>
        <v>CS</v>
      </c>
    </row>
    <row r="1369" customFormat="false" ht="15" hidden="false" customHeight="false" outlineLevel="0" collapsed="false">
      <c r="A1369" s="3" t="n">
        <v>1368</v>
      </c>
      <c r="B1369" s="3" t="s">
        <v>3091</v>
      </c>
      <c r="C1369" s="4" t="s">
        <v>3092</v>
      </c>
      <c r="D1369" s="4" t="s">
        <v>3093</v>
      </c>
      <c r="E1369" s="3" t="s">
        <v>28</v>
      </c>
      <c r="F1369" s="3" t="s">
        <v>345</v>
      </c>
      <c r="G1369" s="3" t="s">
        <v>346</v>
      </c>
      <c r="H1369" s="3" t="s">
        <v>56</v>
      </c>
      <c r="I1369" s="3" t="s">
        <v>32</v>
      </c>
      <c r="J1369" s="3" t="s">
        <v>77</v>
      </c>
      <c r="K1369" s="3" t="s">
        <v>78</v>
      </c>
      <c r="L1369" s="3" t="s">
        <v>59</v>
      </c>
      <c r="M1369" s="3" t="s">
        <v>347</v>
      </c>
      <c r="N1369" s="3" t="s">
        <v>49</v>
      </c>
      <c r="O1369" s="3" t="s">
        <v>220</v>
      </c>
      <c r="P1369" s="3" t="s">
        <v>348</v>
      </c>
      <c r="Q1369" s="5" t="n">
        <v>232.78</v>
      </c>
      <c r="R1369" s="3" t="n">
        <v>4</v>
      </c>
      <c r="S1369" s="6" t="n">
        <v>0</v>
      </c>
      <c r="T1369" s="5" t="n">
        <v>-36.44</v>
      </c>
      <c r="U1369" s="3" t="str">
        <f aca="false">IF(T1369&lt;0,"Loss",IF(T1369=0,"Break-even","Profit"))</f>
        <v>Loss</v>
      </c>
      <c r="V1369" s="3" t="str">
        <f aca="false">IF(Q1369&lt;100,"Low",IF(Q1369&lt;=500,"Medium","High"))</f>
        <v>Medium</v>
      </c>
      <c r="W1369" s="3" t="n">
        <f aca="false">D1369-C1369</f>
        <v>3</v>
      </c>
      <c r="X1369" s="3" t="str">
        <f aca="false">TEXT(C1369,"mmmm")</f>
        <v>August</v>
      </c>
      <c r="Y1369" s="3" t="str">
        <f aca="false">LEFT(G1369,1)&amp;MID(G1369,FIND(" ",G1369)+1,1)</f>
        <v>OS</v>
      </c>
    </row>
    <row r="1370" customFormat="false" ht="15" hidden="false" customHeight="false" outlineLevel="0" collapsed="false">
      <c r="A1370" s="3" t="n">
        <v>1369</v>
      </c>
      <c r="B1370" s="3" t="s">
        <v>3094</v>
      </c>
      <c r="C1370" s="4" t="s">
        <v>3092</v>
      </c>
      <c r="D1370" s="4" t="s">
        <v>3080</v>
      </c>
      <c r="E1370" s="3" t="s">
        <v>42</v>
      </c>
      <c r="F1370" s="3" t="s">
        <v>1599</v>
      </c>
      <c r="G1370" s="3" t="s">
        <v>1600</v>
      </c>
      <c r="H1370" s="3" t="s">
        <v>56</v>
      </c>
      <c r="I1370" s="3" t="s">
        <v>32</v>
      </c>
      <c r="J1370" s="3" t="s">
        <v>386</v>
      </c>
      <c r="K1370" s="3" t="s">
        <v>387</v>
      </c>
      <c r="L1370" s="3" t="s">
        <v>35</v>
      </c>
      <c r="M1370" s="3" t="s">
        <v>105</v>
      </c>
      <c r="N1370" s="3" t="s">
        <v>49</v>
      </c>
      <c r="O1370" s="3" t="s">
        <v>106</v>
      </c>
      <c r="P1370" s="3" t="s">
        <v>107</v>
      </c>
      <c r="Q1370" s="5" t="n">
        <v>106.93</v>
      </c>
      <c r="R1370" s="3" t="n">
        <v>4</v>
      </c>
      <c r="S1370" s="6" t="n">
        <v>0.4</v>
      </c>
      <c r="T1370" s="5" t="n">
        <v>-0.41</v>
      </c>
      <c r="U1370" s="3" t="str">
        <f aca="false">IF(T1370&lt;0,"Loss",IF(T1370=0,"Break-even","Profit"))</f>
        <v>Loss</v>
      </c>
      <c r="V1370" s="3" t="str">
        <f aca="false">IF(Q1370&lt;100,"Low",IF(Q1370&lt;=500,"Medium","High"))</f>
        <v>Medium</v>
      </c>
      <c r="W1370" s="3" t="n">
        <f aca="false">D1370-C1370</f>
        <v>1</v>
      </c>
      <c r="X1370" s="3" t="str">
        <f aca="false">TEXT(C1370,"mmmm")</f>
        <v>August</v>
      </c>
      <c r="Y1370" s="3" t="str">
        <f aca="false">LEFT(G1370,1)&amp;MID(G1370,FIND(" ",G1370)+1,1)</f>
        <v>JA</v>
      </c>
    </row>
    <row r="1371" customFormat="false" ht="15" hidden="false" customHeight="false" outlineLevel="0" collapsed="false">
      <c r="A1371" s="3" t="n">
        <v>1370</v>
      </c>
      <c r="B1371" s="3" t="s">
        <v>3095</v>
      </c>
      <c r="C1371" s="4" t="s">
        <v>3092</v>
      </c>
      <c r="D1371" s="4" t="s">
        <v>3096</v>
      </c>
      <c r="E1371" s="3" t="s">
        <v>28</v>
      </c>
      <c r="F1371" s="3" t="s">
        <v>75</v>
      </c>
      <c r="G1371" s="3" t="s">
        <v>76</v>
      </c>
      <c r="H1371" s="3" t="s">
        <v>31</v>
      </c>
      <c r="I1371" s="3" t="s">
        <v>32</v>
      </c>
      <c r="J1371" s="3" t="s">
        <v>663</v>
      </c>
      <c r="K1371" s="3" t="s">
        <v>307</v>
      </c>
      <c r="L1371" s="3" t="s">
        <v>69</v>
      </c>
      <c r="M1371" s="3" t="s">
        <v>158</v>
      </c>
      <c r="N1371" s="3" t="s">
        <v>49</v>
      </c>
      <c r="O1371" s="3" t="s">
        <v>159</v>
      </c>
      <c r="P1371" s="3" t="s">
        <v>160</v>
      </c>
      <c r="Q1371" s="5" t="n">
        <v>65.92</v>
      </c>
      <c r="R1371" s="3" t="n">
        <v>4</v>
      </c>
      <c r="S1371" s="6" t="n">
        <v>0.5</v>
      </c>
      <c r="T1371" s="5" t="n">
        <v>1.11</v>
      </c>
      <c r="U1371" s="3" t="str">
        <f aca="false">IF(T1371&lt;0,"Loss",IF(T1371=0,"Break-even","Profit"))</f>
        <v>Profit</v>
      </c>
      <c r="V1371" s="3" t="str">
        <f aca="false">IF(Q1371&lt;100,"Low",IF(Q1371&lt;=500,"Medium","High"))</f>
        <v>Low</v>
      </c>
      <c r="W1371" s="3" t="n">
        <f aca="false">D1371-C1371</f>
        <v>6</v>
      </c>
      <c r="X1371" s="3" t="str">
        <f aca="false">TEXT(C1371,"mmmm")</f>
        <v>August</v>
      </c>
      <c r="Y1371" s="3" t="str">
        <f aca="false">LEFT(G1371,1)&amp;MID(G1371,FIND(" ",G1371)+1,1)</f>
        <v>LM</v>
      </c>
    </row>
    <row r="1372" customFormat="false" ht="15" hidden="false" customHeight="false" outlineLevel="0" collapsed="false">
      <c r="A1372" s="3" t="n">
        <v>1371</v>
      </c>
      <c r="B1372" s="3" t="s">
        <v>3097</v>
      </c>
      <c r="C1372" s="4" t="s">
        <v>3080</v>
      </c>
      <c r="D1372" s="4" t="s">
        <v>3087</v>
      </c>
      <c r="E1372" s="3" t="s">
        <v>28</v>
      </c>
      <c r="F1372" s="3" t="s">
        <v>1898</v>
      </c>
      <c r="G1372" s="3" t="s">
        <v>1899</v>
      </c>
      <c r="H1372" s="3" t="s">
        <v>45</v>
      </c>
      <c r="I1372" s="3" t="s">
        <v>32</v>
      </c>
      <c r="J1372" s="3" t="s">
        <v>243</v>
      </c>
      <c r="K1372" s="3" t="s">
        <v>244</v>
      </c>
      <c r="L1372" s="3" t="s">
        <v>157</v>
      </c>
      <c r="M1372" s="3" t="s">
        <v>105</v>
      </c>
      <c r="N1372" s="3" t="s">
        <v>49</v>
      </c>
      <c r="O1372" s="3" t="s">
        <v>106</v>
      </c>
      <c r="P1372" s="3" t="s">
        <v>107</v>
      </c>
      <c r="Q1372" s="5" t="n">
        <v>35.39</v>
      </c>
      <c r="R1372" s="3" t="n">
        <v>1</v>
      </c>
      <c r="S1372" s="6" t="n">
        <v>0.2</v>
      </c>
      <c r="T1372" s="5" t="n">
        <v>7.04</v>
      </c>
      <c r="U1372" s="3" t="str">
        <f aca="false">IF(T1372&lt;0,"Loss",IF(T1372=0,"Break-even","Profit"))</f>
        <v>Profit</v>
      </c>
      <c r="V1372" s="3" t="str">
        <f aca="false">IF(Q1372&lt;100,"Low",IF(Q1372&lt;=500,"Medium","High"))</f>
        <v>Low</v>
      </c>
      <c r="W1372" s="3" t="n">
        <f aca="false">D1372-C1372</f>
        <v>4</v>
      </c>
      <c r="X1372" s="3" t="str">
        <f aca="false">TEXT(C1372,"mmmm")</f>
        <v>August</v>
      </c>
      <c r="Y1372" s="3" t="str">
        <f aca="false">LEFT(G1372,1)&amp;MID(G1372,FIND(" ",G1372)+1,1)</f>
        <v>MM</v>
      </c>
    </row>
    <row r="1373" customFormat="false" ht="15" hidden="false" customHeight="false" outlineLevel="0" collapsed="false">
      <c r="A1373" s="3" t="n">
        <v>1372</v>
      </c>
      <c r="B1373" s="3" t="s">
        <v>3098</v>
      </c>
      <c r="C1373" s="4" t="s">
        <v>3080</v>
      </c>
      <c r="D1373" s="4" t="s">
        <v>3099</v>
      </c>
      <c r="E1373" s="3" t="s">
        <v>28</v>
      </c>
      <c r="F1373" s="3" t="s">
        <v>246</v>
      </c>
      <c r="G1373" s="3" t="s">
        <v>247</v>
      </c>
      <c r="H1373" s="3" t="s">
        <v>56</v>
      </c>
      <c r="I1373" s="3" t="s">
        <v>32</v>
      </c>
      <c r="J1373" s="3" t="s">
        <v>155</v>
      </c>
      <c r="K1373" s="3" t="s">
        <v>156</v>
      </c>
      <c r="L1373" s="3" t="s">
        <v>157</v>
      </c>
      <c r="M1373" s="3" t="s">
        <v>290</v>
      </c>
      <c r="N1373" s="3" t="s">
        <v>37</v>
      </c>
      <c r="O1373" s="3" t="s">
        <v>38</v>
      </c>
      <c r="P1373" s="3" t="s">
        <v>291</v>
      </c>
      <c r="Q1373" s="5" t="n">
        <v>1236.81</v>
      </c>
      <c r="R1373" s="3" t="n">
        <v>11</v>
      </c>
      <c r="S1373" s="6" t="n">
        <v>0.3</v>
      </c>
      <c r="T1373" s="5" t="n">
        <v>329.16</v>
      </c>
      <c r="U1373" s="3" t="str">
        <f aca="false">IF(T1373&lt;0,"Loss",IF(T1373=0,"Break-even","Profit"))</f>
        <v>Profit</v>
      </c>
      <c r="V1373" s="3" t="str">
        <f aca="false">IF(Q1373&lt;100,"Low",IF(Q1373&lt;=500,"Medium","High"))</f>
        <v>High</v>
      </c>
      <c r="W1373" s="3" t="n">
        <f aca="false">D1373-C1373</f>
        <v>7</v>
      </c>
      <c r="X1373" s="3" t="str">
        <f aca="false">TEXT(C1373,"mmmm")</f>
        <v>August</v>
      </c>
      <c r="Y1373" s="3" t="str">
        <f aca="false">LEFT(G1373,1)&amp;MID(G1373,FIND(" ",G1373)+1,1)</f>
        <v>JN</v>
      </c>
    </row>
    <row r="1374" customFormat="false" ht="15" hidden="false" customHeight="false" outlineLevel="0" collapsed="false">
      <c r="A1374" s="3" t="n">
        <v>1373</v>
      </c>
      <c r="B1374" s="3" t="s">
        <v>3100</v>
      </c>
      <c r="C1374" s="4" t="s">
        <v>3085</v>
      </c>
      <c r="D1374" s="4" t="s">
        <v>3096</v>
      </c>
      <c r="E1374" s="3" t="s">
        <v>28</v>
      </c>
      <c r="F1374" s="3" t="s">
        <v>131</v>
      </c>
      <c r="G1374" s="3" t="s">
        <v>132</v>
      </c>
      <c r="H1374" s="3" t="s">
        <v>45</v>
      </c>
      <c r="I1374" s="3" t="s">
        <v>32</v>
      </c>
      <c r="J1374" s="3" t="s">
        <v>329</v>
      </c>
      <c r="K1374" s="3" t="s">
        <v>156</v>
      </c>
      <c r="L1374" s="3" t="s">
        <v>157</v>
      </c>
      <c r="M1374" s="3" t="s">
        <v>142</v>
      </c>
      <c r="N1374" s="3" t="s">
        <v>49</v>
      </c>
      <c r="O1374" s="3" t="s">
        <v>143</v>
      </c>
      <c r="P1374" s="3" t="s">
        <v>144</v>
      </c>
      <c r="Q1374" s="5" t="n">
        <v>244.5</v>
      </c>
      <c r="R1374" s="3" t="n">
        <v>4</v>
      </c>
      <c r="S1374" s="6" t="n">
        <v>0</v>
      </c>
      <c r="T1374" s="5" t="n">
        <v>-33.39</v>
      </c>
      <c r="U1374" s="3" t="str">
        <f aca="false">IF(T1374&lt;0,"Loss",IF(T1374=0,"Break-even","Profit"))</f>
        <v>Loss</v>
      </c>
      <c r="V1374" s="3" t="str">
        <f aca="false">IF(Q1374&lt;100,"Low",IF(Q1374&lt;=500,"Medium","High"))</f>
        <v>Medium</v>
      </c>
      <c r="W1374" s="3" t="n">
        <f aca="false">D1374-C1374</f>
        <v>4</v>
      </c>
      <c r="X1374" s="3" t="str">
        <f aca="false">TEXT(C1374,"mmmm")</f>
        <v>August</v>
      </c>
      <c r="Y1374" s="3" t="str">
        <f aca="false">LEFT(G1374,1)&amp;MID(G1374,FIND(" ",G1374)+1,1)</f>
        <v>JM</v>
      </c>
    </row>
    <row r="1375" customFormat="false" ht="15" hidden="false" customHeight="false" outlineLevel="0" collapsed="false">
      <c r="A1375" s="3" t="n">
        <v>1374</v>
      </c>
      <c r="B1375" s="3" t="s">
        <v>2759</v>
      </c>
      <c r="C1375" s="4" t="s">
        <v>3085</v>
      </c>
      <c r="D1375" s="4" t="s">
        <v>3093</v>
      </c>
      <c r="E1375" s="3" t="s">
        <v>42</v>
      </c>
      <c r="F1375" s="3" t="s">
        <v>1405</v>
      </c>
      <c r="G1375" s="3" t="s">
        <v>1406</v>
      </c>
      <c r="H1375" s="3" t="s">
        <v>31</v>
      </c>
      <c r="I1375" s="3" t="s">
        <v>32</v>
      </c>
      <c r="J1375" s="3" t="s">
        <v>548</v>
      </c>
      <c r="K1375" s="3" t="s">
        <v>244</v>
      </c>
      <c r="L1375" s="3" t="s">
        <v>157</v>
      </c>
      <c r="M1375" s="3" t="s">
        <v>173</v>
      </c>
      <c r="N1375" s="3" t="s">
        <v>89</v>
      </c>
      <c r="O1375" s="3" t="s">
        <v>174</v>
      </c>
      <c r="P1375" s="3" t="s">
        <v>175</v>
      </c>
      <c r="Q1375" s="5" t="n">
        <v>2387.27</v>
      </c>
      <c r="R1375" s="3" t="n">
        <v>3</v>
      </c>
      <c r="S1375" s="6" t="n">
        <v>0</v>
      </c>
      <c r="T1375" s="5" t="n">
        <v>444.85</v>
      </c>
      <c r="U1375" s="3" t="str">
        <f aca="false">IF(T1375&lt;0,"Loss",IF(T1375=0,"Break-even","Profit"))</f>
        <v>Profit</v>
      </c>
      <c r="V1375" s="3" t="str">
        <f aca="false">IF(Q1375&lt;100,"Low",IF(Q1375&lt;=500,"Medium","High"))</f>
        <v>High</v>
      </c>
      <c r="W1375" s="3" t="n">
        <f aca="false">D1375-C1375</f>
        <v>1</v>
      </c>
      <c r="X1375" s="3" t="str">
        <f aca="false">TEXT(C1375,"mmmm")</f>
        <v>August</v>
      </c>
      <c r="Y1375" s="3" t="str">
        <f aca="false">LEFT(G1375,1)&amp;MID(G1375,FIND(" ",G1375)+1,1)</f>
        <v>AA</v>
      </c>
    </row>
    <row r="1376" customFormat="false" ht="15" hidden="false" customHeight="false" outlineLevel="0" collapsed="false">
      <c r="A1376" s="3" t="n">
        <v>1375</v>
      </c>
      <c r="B1376" s="3" t="s">
        <v>3101</v>
      </c>
      <c r="C1376" s="4" t="s">
        <v>3093</v>
      </c>
      <c r="D1376" s="4" t="s">
        <v>3090</v>
      </c>
      <c r="E1376" s="3" t="s">
        <v>42</v>
      </c>
      <c r="F1376" s="3" t="s">
        <v>1159</v>
      </c>
      <c r="G1376" s="3" t="s">
        <v>1160</v>
      </c>
      <c r="H1376" s="3" t="s">
        <v>56</v>
      </c>
      <c r="I1376" s="3" t="s">
        <v>32</v>
      </c>
      <c r="J1376" s="3" t="s">
        <v>171</v>
      </c>
      <c r="K1376" s="3" t="s">
        <v>172</v>
      </c>
      <c r="L1376" s="3" t="s">
        <v>157</v>
      </c>
      <c r="M1376" s="3" t="s">
        <v>559</v>
      </c>
      <c r="N1376" s="3" t="s">
        <v>37</v>
      </c>
      <c r="O1376" s="3" t="s">
        <v>38</v>
      </c>
      <c r="P1376" s="3" t="s">
        <v>560</v>
      </c>
      <c r="Q1376" s="5" t="n">
        <v>2534.46</v>
      </c>
      <c r="R1376" s="3" t="n">
        <v>9</v>
      </c>
      <c r="S1376" s="6" t="n">
        <v>0.2</v>
      </c>
      <c r="T1376" s="5" t="n">
        <v>91.59</v>
      </c>
      <c r="U1376" s="3" t="str">
        <f aca="false">IF(T1376&lt;0,"Loss",IF(T1376=0,"Break-even","Profit"))</f>
        <v>Profit</v>
      </c>
      <c r="V1376" s="3" t="str">
        <f aca="false">IF(Q1376&lt;100,"Low",IF(Q1376&lt;=500,"Medium","High"))</f>
        <v>High</v>
      </c>
      <c r="W1376" s="3" t="n">
        <f aca="false">D1376-C1376</f>
        <v>1</v>
      </c>
      <c r="X1376" s="3" t="str">
        <f aca="false">TEXT(C1376,"mmmm")</f>
        <v>August</v>
      </c>
      <c r="Y1376" s="3" t="str">
        <f aca="false">LEFT(G1376,1)&amp;MID(G1376,FIND(" ",G1376)+1,1)</f>
        <v>JM</v>
      </c>
    </row>
    <row r="1377" customFormat="false" ht="15" hidden="false" customHeight="false" outlineLevel="0" collapsed="false">
      <c r="A1377" s="3" t="n">
        <v>1376</v>
      </c>
      <c r="B1377" s="3" t="s">
        <v>3102</v>
      </c>
      <c r="C1377" s="4" t="s">
        <v>3103</v>
      </c>
      <c r="D1377" s="4" t="s">
        <v>3104</v>
      </c>
      <c r="E1377" s="3" t="s">
        <v>84</v>
      </c>
      <c r="F1377" s="3" t="s">
        <v>839</v>
      </c>
      <c r="G1377" s="3" t="s">
        <v>840</v>
      </c>
      <c r="H1377" s="3" t="s">
        <v>56</v>
      </c>
      <c r="I1377" s="3" t="s">
        <v>32</v>
      </c>
      <c r="J1377" s="3" t="s">
        <v>252</v>
      </c>
      <c r="K1377" s="3" t="s">
        <v>172</v>
      </c>
      <c r="L1377" s="3" t="s">
        <v>157</v>
      </c>
      <c r="M1377" s="3" t="s">
        <v>225</v>
      </c>
      <c r="N1377" s="3" t="s">
        <v>37</v>
      </c>
      <c r="O1377" s="3" t="s">
        <v>196</v>
      </c>
      <c r="P1377" s="3" t="s">
        <v>226</v>
      </c>
      <c r="Q1377" s="5" t="n">
        <v>3219.66</v>
      </c>
      <c r="R1377" s="3" t="n">
        <v>6</v>
      </c>
      <c r="S1377" s="6" t="n">
        <v>0.2</v>
      </c>
      <c r="T1377" s="5" t="n">
        <v>31.81</v>
      </c>
      <c r="U1377" s="3" t="str">
        <f aca="false">IF(T1377&lt;0,"Loss",IF(T1377=0,"Break-even","Profit"))</f>
        <v>Profit</v>
      </c>
      <c r="V1377" s="3" t="str">
        <f aca="false">IF(Q1377&lt;100,"Low",IF(Q1377&lt;=500,"Medium","High"))</f>
        <v>High</v>
      </c>
      <c r="W1377" s="3" t="n">
        <f aca="false">D1377-C1377</f>
        <v>3</v>
      </c>
      <c r="X1377" s="3" t="str">
        <f aca="false">TEXT(C1377,"mmmm")</f>
        <v>August</v>
      </c>
      <c r="Y1377" s="3" t="str">
        <f aca="false">LEFT(G1377,1)&amp;MID(G1377,FIND(" ",G1377)+1,1)</f>
        <v>FS</v>
      </c>
    </row>
    <row r="1378" customFormat="false" ht="15" hidden="false" customHeight="false" outlineLevel="0" collapsed="false">
      <c r="A1378" s="3" t="n">
        <v>1377</v>
      </c>
      <c r="B1378" s="3" t="s">
        <v>3105</v>
      </c>
      <c r="C1378" s="4" t="s">
        <v>3103</v>
      </c>
      <c r="D1378" s="4" t="s">
        <v>3106</v>
      </c>
      <c r="E1378" s="3" t="s">
        <v>28</v>
      </c>
      <c r="F1378" s="3" t="s">
        <v>2068</v>
      </c>
      <c r="G1378" s="3" t="s">
        <v>2069</v>
      </c>
      <c r="H1378" s="3" t="s">
        <v>31</v>
      </c>
      <c r="I1378" s="3" t="s">
        <v>32</v>
      </c>
      <c r="J1378" s="3" t="s">
        <v>299</v>
      </c>
      <c r="K1378" s="3" t="s">
        <v>189</v>
      </c>
      <c r="L1378" s="3" t="s">
        <v>59</v>
      </c>
      <c r="M1378" s="3" t="s">
        <v>420</v>
      </c>
      <c r="N1378" s="3" t="s">
        <v>49</v>
      </c>
      <c r="O1378" s="3" t="s">
        <v>80</v>
      </c>
      <c r="P1378" s="3" t="s">
        <v>421</v>
      </c>
      <c r="Q1378" s="5" t="n">
        <v>93.62</v>
      </c>
      <c r="R1378" s="3" t="n">
        <v>11</v>
      </c>
      <c r="S1378" s="6" t="n">
        <v>0</v>
      </c>
      <c r="T1378" s="5" t="n">
        <v>-3.32</v>
      </c>
      <c r="U1378" s="3" t="str">
        <f aca="false">IF(T1378&lt;0,"Loss",IF(T1378=0,"Break-even","Profit"))</f>
        <v>Loss</v>
      </c>
      <c r="V1378" s="3" t="str">
        <f aca="false">IF(Q1378&lt;100,"Low",IF(Q1378&lt;=500,"Medium","High"))</f>
        <v>Low</v>
      </c>
      <c r="W1378" s="3" t="n">
        <f aca="false">D1378-C1378</f>
        <v>7</v>
      </c>
      <c r="X1378" s="3" t="str">
        <f aca="false">TEXT(C1378,"mmmm")</f>
        <v>August</v>
      </c>
      <c r="Y1378" s="3" t="str">
        <f aca="false">LEFT(G1378,1)&amp;MID(G1378,FIND(" ",G1378)+1,1)</f>
        <v>CW</v>
      </c>
    </row>
    <row r="1379" customFormat="false" ht="15" hidden="false" customHeight="false" outlineLevel="0" collapsed="false">
      <c r="A1379" s="3" t="n">
        <v>1378</v>
      </c>
      <c r="B1379" s="3" t="s">
        <v>3107</v>
      </c>
      <c r="C1379" s="4" t="s">
        <v>3103</v>
      </c>
      <c r="D1379" s="4" t="s">
        <v>3108</v>
      </c>
      <c r="E1379" s="3" t="s">
        <v>28</v>
      </c>
      <c r="F1379" s="3" t="s">
        <v>1095</v>
      </c>
      <c r="G1379" s="3" t="s">
        <v>1096</v>
      </c>
      <c r="H1379" s="3" t="s">
        <v>45</v>
      </c>
      <c r="I1379" s="3" t="s">
        <v>32</v>
      </c>
      <c r="J1379" s="3" t="s">
        <v>315</v>
      </c>
      <c r="K1379" s="3" t="s">
        <v>58</v>
      </c>
      <c r="L1379" s="3" t="s">
        <v>59</v>
      </c>
      <c r="M1379" s="3" t="s">
        <v>149</v>
      </c>
      <c r="N1379" s="3" t="s">
        <v>49</v>
      </c>
      <c r="O1379" s="3" t="s">
        <v>150</v>
      </c>
      <c r="P1379" s="3" t="s">
        <v>151</v>
      </c>
      <c r="Q1379" s="5" t="n">
        <v>525.24</v>
      </c>
      <c r="R1379" s="3" t="n">
        <v>10</v>
      </c>
      <c r="S1379" s="6" t="n">
        <v>0.4</v>
      </c>
      <c r="T1379" s="5" t="n">
        <v>-128.06</v>
      </c>
      <c r="U1379" s="3" t="str">
        <f aca="false">IF(T1379&lt;0,"Loss",IF(T1379=0,"Break-even","Profit"))</f>
        <v>Loss</v>
      </c>
      <c r="V1379" s="3" t="str">
        <f aca="false">IF(Q1379&lt;100,"Low",IF(Q1379&lt;=500,"Medium","High"))</f>
        <v>High</v>
      </c>
      <c r="W1379" s="3" t="n">
        <f aca="false">D1379-C1379</f>
        <v>6</v>
      </c>
      <c r="X1379" s="3" t="str">
        <f aca="false">TEXT(C1379,"mmmm")</f>
        <v>August</v>
      </c>
      <c r="Y1379" s="3" t="str">
        <f aca="false">LEFT(G1379,1)&amp;MID(G1379,FIND(" ",G1379)+1,1)</f>
        <v>JS</v>
      </c>
    </row>
    <row r="1380" customFormat="false" ht="15" hidden="false" customHeight="false" outlineLevel="0" collapsed="false">
      <c r="A1380" s="3" t="n">
        <v>1379</v>
      </c>
      <c r="B1380" s="3" t="s">
        <v>3109</v>
      </c>
      <c r="C1380" s="4" t="s">
        <v>3099</v>
      </c>
      <c r="D1380" s="4" t="s">
        <v>3104</v>
      </c>
      <c r="E1380" s="3" t="s">
        <v>84</v>
      </c>
      <c r="F1380" s="3" t="s">
        <v>665</v>
      </c>
      <c r="G1380" s="3" t="s">
        <v>666</v>
      </c>
      <c r="H1380" s="3" t="s">
        <v>45</v>
      </c>
      <c r="I1380" s="3" t="s">
        <v>32</v>
      </c>
      <c r="J1380" s="3" t="s">
        <v>548</v>
      </c>
      <c r="K1380" s="3" t="s">
        <v>244</v>
      </c>
      <c r="L1380" s="3" t="s">
        <v>157</v>
      </c>
      <c r="M1380" s="3" t="s">
        <v>347</v>
      </c>
      <c r="N1380" s="3" t="s">
        <v>49</v>
      </c>
      <c r="O1380" s="3" t="s">
        <v>220</v>
      </c>
      <c r="P1380" s="3" t="s">
        <v>348</v>
      </c>
      <c r="Q1380" s="5" t="n">
        <v>581.63</v>
      </c>
      <c r="R1380" s="3" t="n">
        <v>14</v>
      </c>
      <c r="S1380" s="6" t="n">
        <v>0.2</v>
      </c>
      <c r="T1380" s="5" t="n">
        <v>36.65</v>
      </c>
      <c r="U1380" s="3" t="str">
        <f aca="false">IF(T1380&lt;0,"Loss",IF(T1380=0,"Break-even","Profit"))</f>
        <v>Profit</v>
      </c>
      <c r="V1380" s="3" t="str">
        <f aca="false">IF(Q1380&lt;100,"Low",IF(Q1380&lt;=500,"Medium","High"))</f>
        <v>High</v>
      </c>
      <c r="W1380" s="3" t="n">
        <f aca="false">D1380-C1380</f>
        <v>2</v>
      </c>
      <c r="X1380" s="3" t="str">
        <f aca="false">TEXT(C1380,"mmmm")</f>
        <v>August</v>
      </c>
      <c r="Y1380" s="3" t="str">
        <f aca="false">LEFT(G1380,1)&amp;MID(G1380,FIND(" ",G1380)+1,1)</f>
        <v>EM</v>
      </c>
    </row>
    <row r="1381" customFormat="false" ht="15" hidden="false" customHeight="false" outlineLevel="0" collapsed="false">
      <c r="A1381" s="3" t="n">
        <v>1380</v>
      </c>
      <c r="B1381" s="3" t="s">
        <v>3110</v>
      </c>
      <c r="C1381" s="4" t="s">
        <v>3099</v>
      </c>
      <c r="D1381" s="4" t="s">
        <v>3104</v>
      </c>
      <c r="E1381" s="3" t="s">
        <v>42</v>
      </c>
      <c r="F1381" s="3" t="s">
        <v>293</v>
      </c>
      <c r="G1381" s="3" t="s">
        <v>294</v>
      </c>
      <c r="H1381" s="3" t="s">
        <v>45</v>
      </c>
      <c r="I1381" s="3" t="s">
        <v>32</v>
      </c>
      <c r="J1381" s="3" t="s">
        <v>171</v>
      </c>
      <c r="K1381" s="3" t="s">
        <v>172</v>
      </c>
      <c r="L1381" s="3" t="s">
        <v>157</v>
      </c>
      <c r="M1381" s="3" t="s">
        <v>173</v>
      </c>
      <c r="N1381" s="3" t="s">
        <v>89</v>
      </c>
      <c r="O1381" s="3" t="s">
        <v>174</v>
      </c>
      <c r="P1381" s="3" t="s">
        <v>175</v>
      </c>
      <c r="Q1381" s="5" t="n">
        <v>8123.87</v>
      </c>
      <c r="R1381" s="3" t="n">
        <v>11</v>
      </c>
      <c r="S1381" s="6" t="n">
        <v>0</v>
      </c>
      <c r="T1381" s="5" t="n">
        <v>1565.61</v>
      </c>
      <c r="U1381" s="3" t="str">
        <f aca="false">IF(T1381&lt;0,"Loss",IF(T1381=0,"Break-even","Profit"))</f>
        <v>Profit</v>
      </c>
      <c r="V1381" s="3" t="str">
        <f aca="false">IF(Q1381&lt;100,"Low",IF(Q1381&lt;=500,"Medium","High"))</f>
        <v>High</v>
      </c>
      <c r="W1381" s="3" t="n">
        <f aca="false">D1381-C1381</f>
        <v>2</v>
      </c>
      <c r="X1381" s="3" t="str">
        <f aca="false">TEXT(C1381,"mmmm")</f>
        <v>August</v>
      </c>
      <c r="Y1381" s="3" t="str">
        <f aca="false">LEFT(G1381,1)&amp;MID(G1381,FIND(" ",G1381)+1,1)</f>
        <v>LB</v>
      </c>
    </row>
    <row r="1382" customFormat="false" ht="15" hidden="false" customHeight="false" outlineLevel="0" collapsed="false">
      <c r="A1382" s="3" t="n">
        <v>1381</v>
      </c>
      <c r="B1382" s="3" t="s">
        <v>3029</v>
      </c>
      <c r="C1382" s="4" t="s">
        <v>3099</v>
      </c>
      <c r="D1382" s="4" t="s">
        <v>3108</v>
      </c>
      <c r="E1382" s="3" t="s">
        <v>28</v>
      </c>
      <c r="F1382" s="3" t="s">
        <v>384</v>
      </c>
      <c r="G1382" s="3" t="s">
        <v>385</v>
      </c>
      <c r="H1382" s="3" t="s">
        <v>45</v>
      </c>
      <c r="I1382" s="3" t="s">
        <v>32</v>
      </c>
      <c r="J1382" s="3" t="s">
        <v>243</v>
      </c>
      <c r="K1382" s="3" t="s">
        <v>244</v>
      </c>
      <c r="L1382" s="3" t="s">
        <v>157</v>
      </c>
      <c r="M1382" s="3" t="s">
        <v>253</v>
      </c>
      <c r="N1382" s="3" t="s">
        <v>89</v>
      </c>
      <c r="O1382" s="3" t="s">
        <v>90</v>
      </c>
      <c r="P1382" s="3" t="s">
        <v>254</v>
      </c>
      <c r="Q1382" s="5" t="n">
        <v>4178.68</v>
      </c>
      <c r="R1382" s="3" t="n">
        <v>11</v>
      </c>
      <c r="S1382" s="6" t="n">
        <v>0.5</v>
      </c>
      <c r="T1382" s="5" t="n">
        <v>565.53</v>
      </c>
      <c r="U1382" s="3" t="str">
        <f aca="false">IF(T1382&lt;0,"Loss",IF(T1382=0,"Break-even","Profit"))</f>
        <v>Profit</v>
      </c>
      <c r="V1382" s="3" t="str">
        <f aca="false">IF(Q1382&lt;100,"Low",IF(Q1382&lt;=500,"Medium","High"))</f>
        <v>High</v>
      </c>
      <c r="W1382" s="3" t="n">
        <f aca="false">D1382-C1382</f>
        <v>5</v>
      </c>
      <c r="X1382" s="3" t="str">
        <f aca="false">TEXT(C1382,"mmmm")</f>
        <v>August</v>
      </c>
      <c r="Y1382" s="3" t="str">
        <f aca="false">LEFT(G1382,1)&amp;MID(G1382,FIND(" ",G1382)+1,1)</f>
        <v>DJ</v>
      </c>
    </row>
    <row r="1383" customFormat="false" ht="15" hidden="false" customHeight="false" outlineLevel="0" collapsed="false">
      <c r="A1383" s="3" t="n">
        <v>1382</v>
      </c>
      <c r="B1383" s="3" t="s">
        <v>3111</v>
      </c>
      <c r="C1383" s="4" t="s">
        <v>3112</v>
      </c>
      <c r="D1383" s="4" t="s">
        <v>3113</v>
      </c>
      <c r="E1383" s="3" t="s">
        <v>84</v>
      </c>
      <c r="F1383" s="3" t="s">
        <v>2742</v>
      </c>
      <c r="G1383" s="3" t="s">
        <v>2743</v>
      </c>
      <c r="H1383" s="3" t="s">
        <v>56</v>
      </c>
      <c r="I1383" s="3" t="s">
        <v>32</v>
      </c>
      <c r="J1383" s="3" t="s">
        <v>365</v>
      </c>
      <c r="K1383" s="3" t="s">
        <v>366</v>
      </c>
      <c r="L1383" s="3" t="s">
        <v>157</v>
      </c>
      <c r="M1383" s="3" t="s">
        <v>300</v>
      </c>
      <c r="N1383" s="3" t="s">
        <v>49</v>
      </c>
      <c r="O1383" s="3" t="s">
        <v>143</v>
      </c>
      <c r="P1383" s="3" t="s">
        <v>301</v>
      </c>
      <c r="Q1383" s="5" t="n">
        <v>512.74</v>
      </c>
      <c r="R1383" s="3" t="n">
        <v>10</v>
      </c>
      <c r="S1383" s="6" t="n">
        <v>0</v>
      </c>
      <c r="T1383" s="5" t="n">
        <v>-11.33</v>
      </c>
      <c r="U1383" s="3" t="str">
        <f aca="false">IF(T1383&lt;0,"Loss",IF(T1383=0,"Break-even","Profit"))</f>
        <v>Loss</v>
      </c>
      <c r="V1383" s="3" t="str">
        <f aca="false">IF(Q1383&lt;100,"Low",IF(Q1383&lt;=500,"Medium","High"))</f>
        <v>High</v>
      </c>
      <c r="W1383" s="3" t="n">
        <f aca="false">D1383-C1383</f>
        <v>2</v>
      </c>
      <c r="X1383" s="3" t="str">
        <f aca="false">TEXT(C1383,"mmmm")</f>
        <v>August</v>
      </c>
      <c r="Y1383" s="3" t="str">
        <f aca="false">LEFT(G1383,1)&amp;MID(G1383,FIND(" ",G1383)+1,1)</f>
        <v>DA</v>
      </c>
    </row>
    <row r="1384" customFormat="false" ht="15" hidden="false" customHeight="false" outlineLevel="0" collapsed="false">
      <c r="A1384" s="3" t="n">
        <v>1383</v>
      </c>
      <c r="B1384" s="3" t="s">
        <v>3114</v>
      </c>
      <c r="C1384" s="4" t="s">
        <v>3112</v>
      </c>
      <c r="D1384" s="4" t="s">
        <v>3112</v>
      </c>
      <c r="E1384" s="3" t="s">
        <v>53</v>
      </c>
      <c r="F1384" s="3" t="s">
        <v>835</v>
      </c>
      <c r="G1384" s="3" t="s">
        <v>836</v>
      </c>
      <c r="H1384" s="3" t="s">
        <v>56</v>
      </c>
      <c r="I1384" s="3" t="s">
        <v>32</v>
      </c>
      <c r="J1384" s="3" t="s">
        <v>381</v>
      </c>
      <c r="K1384" s="3" t="s">
        <v>58</v>
      </c>
      <c r="L1384" s="3" t="s">
        <v>59</v>
      </c>
      <c r="M1384" s="3" t="s">
        <v>470</v>
      </c>
      <c r="N1384" s="3" t="s">
        <v>49</v>
      </c>
      <c r="O1384" s="3" t="s">
        <v>159</v>
      </c>
      <c r="P1384" s="3" t="s">
        <v>471</v>
      </c>
      <c r="Q1384" s="5" t="n">
        <v>224.57</v>
      </c>
      <c r="R1384" s="3" t="n">
        <v>7</v>
      </c>
      <c r="S1384" s="6" t="n">
        <v>0</v>
      </c>
      <c r="T1384" s="5" t="n">
        <v>78.21</v>
      </c>
      <c r="U1384" s="3" t="str">
        <f aca="false">IF(T1384&lt;0,"Loss",IF(T1384=0,"Break-even","Profit"))</f>
        <v>Profit</v>
      </c>
      <c r="V1384" s="3" t="str">
        <f aca="false">IF(Q1384&lt;100,"Low",IF(Q1384&lt;=500,"Medium","High"))</f>
        <v>Medium</v>
      </c>
      <c r="W1384" s="3" t="n">
        <f aca="false">D1384-C1384</f>
        <v>0</v>
      </c>
      <c r="X1384" s="3" t="str">
        <f aca="false">TEXT(C1384,"mmmm")</f>
        <v>August</v>
      </c>
      <c r="Y1384" s="3" t="str">
        <f aca="false">LEFT(G1384,1)&amp;MID(G1384,FIND(" ",G1384)+1,1)</f>
        <v>AN</v>
      </c>
    </row>
    <row r="1385" customFormat="false" ht="15" hidden="false" customHeight="false" outlineLevel="0" collapsed="false">
      <c r="A1385" s="3" t="n">
        <v>1384</v>
      </c>
      <c r="B1385" s="3" t="s">
        <v>3115</v>
      </c>
      <c r="C1385" s="4" t="s">
        <v>3104</v>
      </c>
      <c r="D1385" s="4" t="s">
        <v>3106</v>
      </c>
      <c r="E1385" s="3" t="s">
        <v>84</v>
      </c>
      <c r="F1385" s="3" t="s">
        <v>1802</v>
      </c>
      <c r="G1385" s="3" t="s">
        <v>1803</v>
      </c>
      <c r="H1385" s="3" t="s">
        <v>56</v>
      </c>
      <c r="I1385" s="3" t="s">
        <v>32</v>
      </c>
      <c r="J1385" s="3" t="s">
        <v>548</v>
      </c>
      <c r="K1385" s="3" t="s">
        <v>244</v>
      </c>
      <c r="L1385" s="3" t="s">
        <v>157</v>
      </c>
      <c r="M1385" s="3" t="s">
        <v>225</v>
      </c>
      <c r="N1385" s="3" t="s">
        <v>37</v>
      </c>
      <c r="O1385" s="3" t="s">
        <v>196</v>
      </c>
      <c r="P1385" s="3" t="s">
        <v>226</v>
      </c>
      <c r="Q1385" s="5" t="n">
        <v>7140.36</v>
      </c>
      <c r="R1385" s="3" t="n">
        <v>12</v>
      </c>
      <c r="S1385" s="6" t="n">
        <v>0.4</v>
      </c>
      <c r="T1385" s="5" t="n">
        <v>1013.46</v>
      </c>
      <c r="U1385" s="3" t="str">
        <f aca="false">IF(T1385&lt;0,"Loss",IF(T1385=0,"Break-even","Profit"))</f>
        <v>Profit</v>
      </c>
      <c r="V1385" s="3" t="str">
        <f aca="false">IF(Q1385&lt;100,"Low",IF(Q1385&lt;=500,"Medium","High"))</f>
        <v>High</v>
      </c>
      <c r="W1385" s="3" t="n">
        <f aca="false">D1385-C1385</f>
        <v>4</v>
      </c>
      <c r="X1385" s="3" t="str">
        <f aca="false">TEXT(C1385,"mmmm")</f>
        <v>August</v>
      </c>
      <c r="Y1385" s="3" t="str">
        <f aca="false">LEFT(G1385,1)&amp;MID(G1385,FIND(" ",G1385)+1,1)</f>
        <v>AJ</v>
      </c>
    </row>
    <row r="1386" customFormat="false" ht="15" hidden="false" customHeight="false" outlineLevel="0" collapsed="false">
      <c r="A1386" s="3" t="n">
        <v>1385</v>
      </c>
      <c r="B1386" s="3" t="s">
        <v>3116</v>
      </c>
      <c r="C1386" s="4" t="s">
        <v>3104</v>
      </c>
      <c r="D1386" s="4" t="s">
        <v>3117</v>
      </c>
      <c r="E1386" s="3" t="s">
        <v>28</v>
      </c>
      <c r="F1386" s="3" t="s">
        <v>865</v>
      </c>
      <c r="G1386" s="3" t="s">
        <v>866</v>
      </c>
      <c r="H1386" s="3" t="s">
        <v>31</v>
      </c>
      <c r="I1386" s="3" t="s">
        <v>32</v>
      </c>
      <c r="J1386" s="3" t="s">
        <v>215</v>
      </c>
      <c r="K1386" s="3" t="s">
        <v>34</v>
      </c>
      <c r="L1386" s="3" t="s">
        <v>35</v>
      </c>
      <c r="M1386" s="3" t="s">
        <v>70</v>
      </c>
      <c r="N1386" s="3" t="s">
        <v>37</v>
      </c>
      <c r="O1386" s="3" t="s">
        <v>71</v>
      </c>
      <c r="P1386" s="3" t="s">
        <v>72</v>
      </c>
      <c r="Q1386" s="5" t="n">
        <v>4960.39</v>
      </c>
      <c r="R1386" s="3" t="n">
        <v>4</v>
      </c>
      <c r="S1386" s="6" t="n">
        <v>0</v>
      </c>
      <c r="T1386" s="5" t="n">
        <v>651.86</v>
      </c>
      <c r="U1386" s="3" t="str">
        <f aca="false">IF(T1386&lt;0,"Loss",IF(T1386=0,"Break-even","Profit"))</f>
        <v>Profit</v>
      </c>
      <c r="V1386" s="3" t="str">
        <f aca="false">IF(Q1386&lt;100,"Low",IF(Q1386&lt;=500,"Medium","High"))</f>
        <v>High</v>
      </c>
      <c r="W1386" s="3" t="n">
        <f aca="false">D1386-C1386</f>
        <v>7</v>
      </c>
      <c r="X1386" s="3" t="str">
        <f aca="false">TEXT(C1386,"mmmm")</f>
        <v>August</v>
      </c>
      <c r="Y1386" s="3" t="str">
        <f aca="false">LEFT(G1386,1)&amp;MID(G1386,FIND(" ",G1386)+1,1)</f>
        <v>MJ</v>
      </c>
    </row>
    <row r="1387" customFormat="false" ht="15" hidden="false" customHeight="false" outlineLevel="0" collapsed="false">
      <c r="A1387" s="3" t="n">
        <v>1386</v>
      </c>
      <c r="B1387" s="3" t="s">
        <v>3118</v>
      </c>
      <c r="C1387" s="4" t="s">
        <v>3104</v>
      </c>
      <c r="D1387" s="4" t="s">
        <v>3106</v>
      </c>
      <c r="E1387" s="3" t="s">
        <v>84</v>
      </c>
      <c r="F1387" s="3" t="s">
        <v>2678</v>
      </c>
      <c r="G1387" s="3" t="s">
        <v>2679</v>
      </c>
      <c r="H1387" s="3" t="s">
        <v>56</v>
      </c>
      <c r="I1387" s="3" t="s">
        <v>32</v>
      </c>
      <c r="J1387" s="3" t="s">
        <v>77</v>
      </c>
      <c r="K1387" s="3" t="s">
        <v>78</v>
      </c>
      <c r="L1387" s="3" t="s">
        <v>59</v>
      </c>
      <c r="M1387" s="3" t="s">
        <v>70</v>
      </c>
      <c r="N1387" s="3" t="s">
        <v>37</v>
      </c>
      <c r="O1387" s="3" t="s">
        <v>71</v>
      </c>
      <c r="P1387" s="3" t="s">
        <v>72</v>
      </c>
      <c r="Q1387" s="5" t="n">
        <v>12079.14</v>
      </c>
      <c r="R1387" s="3" t="n">
        <v>11</v>
      </c>
      <c r="S1387" s="6" t="n">
        <v>0.1</v>
      </c>
      <c r="T1387" s="5" t="n">
        <v>329.09</v>
      </c>
      <c r="U1387" s="3" t="str">
        <f aca="false">IF(T1387&lt;0,"Loss",IF(T1387=0,"Break-even","Profit"))</f>
        <v>Profit</v>
      </c>
      <c r="V1387" s="3" t="str">
        <f aca="false">IF(Q1387&lt;100,"Low",IF(Q1387&lt;=500,"Medium","High"))</f>
        <v>High</v>
      </c>
      <c r="W1387" s="3" t="n">
        <f aca="false">D1387-C1387</f>
        <v>4</v>
      </c>
      <c r="X1387" s="3" t="str">
        <f aca="false">TEXT(C1387,"mmmm")</f>
        <v>August</v>
      </c>
      <c r="Y1387" s="3" t="str">
        <f aca="false">LEFT(G1387,1)&amp;MID(G1387,FIND(" ",G1387)+1,1)</f>
        <v>EM</v>
      </c>
    </row>
    <row r="1388" customFormat="false" ht="15" hidden="false" customHeight="false" outlineLevel="0" collapsed="false">
      <c r="A1388" s="3" t="n">
        <v>1387</v>
      </c>
      <c r="B1388" s="3" t="s">
        <v>3119</v>
      </c>
      <c r="C1388" s="4" t="s">
        <v>3113</v>
      </c>
      <c r="D1388" s="4" t="s">
        <v>3117</v>
      </c>
      <c r="E1388" s="3" t="s">
        <v>28</v>
      </c>
      <c r="F1388" s="3" t="s">
        <v>1775</v>
      </c>
      <c r="G1388" s="3" t="s">
        <v>1776</v>
      </c>
      <c r="H1388" s="3" t="s">
        <v>56</v>
      </c>
      <c r="I1388" s="3" t="s">
        <v>32</v>
      </c>
      <c r="J1388" s="3" t="s">
        <v>133</v>
      </c>
      <c r="K1388" s="3" t="s">
        <v>134</v>
      </c>
      <c r="L1388" s="3" t="s">
        <v>69</v>
      </c>
      <c r="M1388" s="3" t="s">
        <v>158</v>
      </c>
      <c r="N1388" s="3" t="s">
        <v>49</v>
      </c>
      <c r="O1388" s="3" t="s">
        <v>159</v>
      </c>
      <c r="P1388" s="3" t="s">
        <v>160</v>
      </c>
      <c r="Q1388" s="5" t="n">
        <v>139.89</v>
      </c>
      <c r="R1388" s="3" t="n">
        <v>4</v>
      </c>
      <c r="S1388" s="6" t="n">
        <v>0.1</v>
      </c>
      <c r="T1388" s="5" t="n">
        <v>8.38</v>
      </c>
      <c r="U1388" s="3" t="str">
        <f aca="false">IF(T1388&lt;0,"Loss",IF(T1388=0,"Break-even","Profit"))</f>
        <v>Profit</v>
      </c>
      <c r="V1388" s="3" t="str">
        <f aca="false">IF(Q1388&lt;100,"Low",IF(Q1388&lt;=500,"Medium","High"))</f>
        <v>Medium</v>
      </c>
      <c r="W1388" s="3" t="n">
        <f aca="false">D1388-C1388</f>
        <v>6</v>
      </c>
      <c r="X1388" s="3" t="str">
        <f aca="false">TEXT(C1388,"mmmm")</f>
        <v>August</v>
      </c>
      <c r="Y1388" s="3" t="str">
        <f aca="false">LEFT(G1388,1)&amp;MID(G1388,FIND(" ",G1388)+1,1)</f>
        <v>LA</v>
      </c>
    </row>
    <row r="1389" customFormat="false" ht="15" hidden="false" customHeight="false" outlineLevel="0" collapsed="false">
      <c r="A1389" s="3" t="n">
        <v>1388</v>
      </c>
      <c r="B1389" s="3" t="s">
        <v>3120</v>
      </c>
      <c r="C1389" s="4" t="s">
        <v>3113</v>
      </c>
      <c r="D1389" s="4" t="s">
        <v>3121</v>
      </c>
      <c r="E1389" s="3" t="s">
        <v>28</v>
      </c>
      <c r="F1389" s="3" t="s">
        <v>970</v>
      </c>
      <c r="G1389" s="3" t="s">
        <v>971</v>
      </c>
      <c r="H1389" s="3" t="s">
        <v>56</v>
      </c>
      <c r="I1389" s="3" t="s">
        <v>32</v>
      </c>
      <c r="J1389" s="3" t="s">
        <v>77</v>
      </c>
      <c r="K1389" s="3" t="s">
        <v>78</v>
      </c>
      <c r="L1389" s="3" t="s">
        <v>59</v>
      </c>
      <c r="M1389" s="3" t="s">
        <v>209</v>
      </c>
      <c r="N1389" s="3" t="s">
        <v>49</v>
      </c>
      <c r="O1389" s="3" t="s">
        <v>106</v>
      </c>
      <c r="P1389" s="3" t="s">
        <v>210</v>
      </c>
      <c r="Q1389" s="5" t="n">
        <v>351.91</v>
      </c>
      <c r="R1389" s="3" t="n">
        <v>6</v>
      </c>
      <c r="S1389" s="6" t="n">
        <v>0.1</v>
      </c>
      <c r="T1389" s="5" t="n">
        <v>65.56</v>
      </c>
      <c r="U1389" s="3" t="str">
        <f aca="false">IF(T1389&lt;0,"Loss",IF(T1389=0,"Break-even","Profit"))</f>
        <v>Profit</v>
      </c>
      <c r="V1389" s="3" t="str">
        <f aca="false">IF(Q1389&lt;100,"Low",IF(Q1389&lt;=500,"Medium","High"))</f>
        <v>Medium</v>
      </c>
      <c r="W1389" s="3" t="n">
        <f aca="false">D1389-C1389</f>
        <v>4</v>
      </c>
      <c r="X1389" s="3" t="str">
        <f aca="false">TEXT(C1389,"mmmm")</f>
        <v>August</v>
      </c>
      <c r="Y1389" s="3" t="str">
        <f aca="false">LEFT(G1389,1)&amp;MID(G1389,FIND(" ",G1389)+1,1)</f>
        <v>PG</v>
      </c>
    </row>
    <row r="1390" customFormat="false" ht="15" hidden="false" customHeight="false" outlineLevel="0" collapsed="false">
      <c r="A1390" s="3" t="n">
        <v>1389</v>
      </c>
      <c r="B1390" s="3" t="s">
        <v>2576</v>
      </c>
      <c r="C1390" s="4" t="s">
        <v>3121</v>
      </c>
      <c r="D1390" s="4" t="s">
        <v>3122</v>
      </c>
      <c r="E1390" s="3" t="s">
        <v>84</v>
      </c>
      <c r="F1390" s="3" t="s">
        <v>401</v>
      </c>
      <c r="G1390" s="3" t="s">
        <v>402</v>
      </c>
      <c r="H1390" s="3" t="s">
        <v>56</v>
      </c>
      <c r="I1390" s="3" t="s">
        <v>32</v>
      </c>
      <c r="J1390" s="3" t="s">
        <v>208</v>
      </c>
      <c r="K1390" s="3" t="s">
        <v>134</v>
      </c>
      <c r="L1390" s="3" t="s">
        <v>69</v>
      </c>
      <c r="M1390" s="3" t="s">
        <v>158</v>
      </c>
      <c r="N1390" s="3" t="s">
        <v>49</v>
      </c>
      <c r="O1390" s="3" t="s">
        <v>159</v>
      </c>
      <c r="P1390" s="3" t="s">
        <v>160</v>
      </c>
      <c r="Q1390" s="5" t="n">
        <v>846.93</v>
      </c>
      <c r="R1390" s="3" t="n">
        <v>8</v>
      </c>
      <c r="S1390" s="6" t="n">
        <v>0</v>
      </c>
      <c r="T1390" s="5" t="n">
        <v>45.21</v>
      </c>
      <c r="U1390" s="3" t="str">
        <f aca="false">IF(T1390&lt;0,"Loss",IF(T1390=0,"Break-even","Profit"))</f>
        <v>Profit</v>
      </c>
      <c r="V1390" s="3" t="str">
        <f aca="false">IF(Q1390&lt;100,"Low",IF(Q1390&lt;=500,"Medium","High"))</f>
        <v>High</v>
      </c>
      <c r="W1390" s="3" t="n">
        <f aca="false">D1390-C1390</f>
        <v>3</v>
      </c>
      <c r="X1390" s="3" t="str">
        <f aca="false">TEXT(C1390,"mmmm")</f>
        <v>August</v>
      </c>
      <c r="Y1390" s="3" t="str">
        <f aca="false">LEFT(G1390,1)&amp;MID(G1390,FIND(" ",G1390)+1,1)</f>
        <v>PD</v>
      </c>
    </row>
    <row r="1391" customFormat="false" ht="15" hidden="false" customHeight="false" outlineLevel="0" collapsed="false">
      <c r="A1391" s="3" t="n">
        <v>1390</v>
      </c>
      <c r="B1391" s="3" t="s">
        <v>3123</v>
      </c>
      <c r="C1391" s="4" t="s">
        <v>3121</v>
      </c>
      <c r="D1391" s="4" t="s">
        <v>3124</v>
      </c>
      <c r="E1391" s="3" t="s">
        <v>28</v>
      </c>
      <c r="F1391" s="3" t="s">
        <v>992</v>
      </c>
      <c r="G1391" s="3" t="s">
        <v>993</v>
      </c>
      <c r="H1391" s="3" t="s">
        <v>56</v>
      </c>
      <c r="I1391" s="3" t="s">
        <v>32</v>
      </c>
      <c r="J1391" s="3" t="s">
        <v>386</v>
      </c>
      <c r="K1391" s="3" t="s">
        <v>387</v>
      </c>
      <c r="L1391" s="3" t="s">
        <v>35</v>
      </c>
      <c r="M1391" s="3" t="s">
        <v>195</v>
      </c>
      <c r="N1391" s="3" t="s">
        <v>37</v>
      </c>
      <c r="O1391" s="3" t="s">
        <v>196</v>
      </c>
      <c r="P1391" s="3" t="s">
        <v>197</v>
      </c>
      <c r="Q1391" s="5" t="n">
        <v>3692.93</v>
      </c>
      <c r="R1391" s="3" t="n">
        <v>9</v>
      </c>
      <c r="S1391" s="6" t="n">
        <v>0.2</v>
      </c>
      <c r="T1391" s="5" t="n">
        <v>497.85</v>
      </c>
      <c r="U1391" s="3" t="str">
        <f aca="false">IF(T1391&lt;0,"Loss",IF(T1391=0,"Break-even","Profit"))</f>
        <v>Profit</v>
      </c>
      <c r="V1391" s="3" t="str">
        <f aca="false">IF(Q1391&lt;100,"Low",IF(Q1391&lt;=500,"Medium","High"))</f>
        <v>High</v>
      </c>
      <c r="W1391" s="3" t="n">
        <f aca="false">D1391-C1391</f>
        <v>5</v>
      </c>
      <c r="X1391" s="3" t="str">
        <f aca="false">TEXT(C1391,"mmmm")</f>
        <v>August</v>
      </c>
      <c r="Y1391" s="3" t="str">
        <f aca="false">LEFT(G1391,1)&amp;MID(G1391,FIND(" ",G1391)+1,1)</f>
        <v>LB</v>
      </c>
    </row>
    <row r="1392" customFormat="false" ht="15" hidden="false" customHeight="false" outlineLevel="0" collapsed="false">
      <c r="A1392" s="3" t="n">
        <v>1391</v>
      </c>
      <c r="B1392" s="3" t="s">
        <v>3125</v>
      </c>
      <c r="C1392" s="4" t="s">
        <v>3126</v>
      </c>
      <c r="D1392" s="4" t="s">
        <v>3124</v>
      </c>
      <c r="E1392" s="3" t="s">
        <v>28</v>
      </c>
      <c r="F1392" s="3" t="s">
        <v>454</v>
      </c>
      <c r="G1392" s="3" t="s">
        <v>455</v>
      </c>
      <c r="H1392" s="3" t="s">
        <v>56</v>
      </c>
      <c r="I1392" s="3" t="s">
        <v>32</v>
      </c>
      <c r="J1392" s="3" t="s">
        <v>33</v>
      </c>
      <c r="K1392" s="3" t="s">
        <v>34</v>
      </c>
      <c r="L1392" s="3" t="s">
        <v>35</v>
      </c>
      <c r="M1392" s="3" t="s">
        <v>79</v>
      </c>
      <c r="N1392" s="3" t="s">
        <v>49</v>
      </c>
      <c r="O1392" s="3" t="s">
        <v>80</v>
      </c>
      <c r="P1392" s="3" t="s">
        <v>81</v>
      </c>
      <c r="Q1392" s="5" t="n">
        <v>420.05</v>
      </c>
      <c r="R1392" s="3" t="n">
        <v>6</v>
      </c>
      <c r="S1392" s="6" t="n">
        <v>0.2</v>
      </c>
      <c r="T1392" s="5" t="n">
        <v>-37.87</v>
      </c>
      <c r="U1392" s="3" t="str">
        <f aca="false">IF(T1392&lt;0,"Loss",IF(T1392=0,"Break-even","Profit"))</f>
        <v>Loss</v>
      </c>
      <c r="V1392" s="3" t="str">
        <f aca="false">IF(Q1392&lt;100,"Low",IF(Q1392&lt;=500,"Medium","High"))</f>
        <v>Medium</v>
      </c>
      <c r="W1392" s="3" t="n">
        <f aca="false">D1392-C1392</f>
        <v>4</v>
      </c>
      <c r="X1392" s="3" t="str">
        <f aca="false">TEXT(C1392,"mmmm")</f>
        <v>August</v>
      </c>
      <c r="Y1392" s="3" t="str">
        <f aca="false">LEFT(G1392,1)&amp;MID(G1392,FIND(" ",G1392)+1,1)</f>
        <v>OD</v>
      </c>
    </row>
    <row r="1393" customFormat="false" ht="15" hidden="false" customHeight="false" outlineLevel="0" collapsed="false">
      <c r="A1393" s="3" t="n">
        <v>1392</v>
      </c>
      <c r="B1393" s="3" t="s">
        <v>2812</v>
      </c>
      <c r="C1393" s="4" t="s">
        <v>3117</v>
      </c>
      <c r="D1393" s="4" t="s">
        <v>3127</v>
      </c>
      <c r="E1393" s="3" t="s">
        <v>28</v>
      </c>
      <c r="F1393" s="3" t="s">
        <v>656</v>
      </c>
      <c r="G1393" s="3" t="s">
        <v>657</v>
      </c>
      <c r="H1393" s="3" t="s">
        <v>45</v>
      </c>
      <c r="I1393" s="3" t="s">
        <v>32</v>
      </c>
      <c r="J1393" s="3" t="s">
        <v>299</v>
      </c>
      <c r="K1393" s="3" t="s">
        <v>189</v>
      </c>
      <c r="L1393" s="3" t="s">
        <v>59</v>
      </c>
      <c r="M1393" s="3" t="s">
        <v>114</v>
      </c>
      <c r="N1393" s="3" t="s">
        <v>49</v>
      </c>
      <c r="O1393" s="3" t="s">
        <v>61</v>
      </c>
      <c r="P1393" s="3" t="s">
        <v>115</v>
      </c>
      <c r="Q1393" s="5" t="n">
        <v>541.48</v>
      </c>
      <c r="R1393" s="3" t="n">
        <v>6</v>
      </c>
      <c r="S1393" s="6" t="n">
        <v>0</v>
      </c>
      <c r="T1393" s="5" t="n">
        <v>-29.15</v>
      </c>
      <c r="U1393" s="3" t="str">
        <f aca="false">IF(T1393&lt;0,"Loss",IF(T1393=0,"Break-even","Profit"))</f>
        <v>Loss</v>
      </c>
      <c r="V1393" s="3" t="str">
        <f aca="false">IF(Q1393&lt;100,"Low",IF(Q1393&lt;=500,"Medium","High"))</f>
        <v>High</v>
      </c>
      <c r="W1393" s="3" t="n">
        <f aca="false">D1393-C1393</f>
        <v>4</v>
      </c>
      <c r="X1393" s="3" t="str">
        <f aca="false">TEXT(C1393,"mmmm")</f>
        <v>August</v>
      </c>
      <c r="Y1393" s="3" t="str">
        <f aca="false">LEFT(G1393,1)&amp;MID(G1393,FIND(" ",G1393)+1,1)</f>
        <v>MJ</v>
      </c>
    </row>
    <row r="1394" customFormat="false" ht="15" hidden="false" customHeight="false" outlineLevel="0" collapsed="false">
      <c r="A1394" s="3" t="n">
        <v>1393</v>
      </c>
      <c r="B1394" s="3" t="s">
        <v>3128</v>
      </c>
      <c r="C1394" s="4" t="s">
        <v>3129</v>
      </c>
      <c r="D1394" s="4" t="s">
        <v>3129</v>
      </c>
      <c r="E1394" s="3" t="s">
        <v>53</v>
      </c>
      <c r="F1394" s="3" t="s">
        <v>681</v>
      </c>
      <c r="G1394" s="3" t="s">
        <v>682</v>
      </c>
      <c r="H1394" s="3" t="s">
        <v>31</v>
      </c>
      <c r="I1394" s="3" t="s">
        <v>32</v>
      </c>
      <c r="J1394" s="3" t="s">
        <v>386</v>
      </c>
      <c r="K1394" s="3" t="s">
        <v>387</v>
      </c>
      <c r="L1394" s="3" t="s">
        <v>35</v>
      </c>
      <c r="M1394" s="3" t="s">
        <v>121</v>
      </c>
      <c r="N1394" s="3" t="s">
        <v>49</v>
      </c>
      <c r="O1394" s="3" t="s">
        <v>50</v>
      </c>
      <c r="P1394" s="3" t="s">
        <v>122</v>
      </c>
      <c r="Q1394" s="5" t="n">
        <v>349.29</v>
      </c>
      <c r="R1394" s="3" t="n">
        <v>7</v>
      </c>
      <c r="S1394" s="6" t="n">
        <v>0.1</v>
      </c>
      <c r="T1394" s="5" t="n">
        <v>-89.72</v>
      </c>
      <c r="U1394" s="3" t="str">
        <f aca="false">IF(T1394&lt;0,"Loss",IF(T1394=0,"Break-even","Profit"))</f>
        <v>Loss</v>
      </c>
      <c r="V1394" s="3" t="str">
        <f aca="false">IF(Q1394&lt;100,"Low",IF(Q1394&lt;=500,"Medium","High"))</f>
        <v>Medium</v>
      </c>
      <c r="W1394" s="3" t="n">
        <f aca="false">D1394-C1394</f>
        <v>0</v>
      </c>
      <c r="X1394" s="3" t="str">
        <f aca="false">TEXT(C1394,"mmmm")</f>
        <v>August</v>
      </c>
      <c r="Y1394" s="3" t="str">
        <f aca="false">LEFT(G1394,1)&amp;MID(G1394,FIND(" ",G1394)+1,1)</f>
        <v>CB</v>
      </c>
    </row>
    <row r="1395" customFormat="false" ht="15" hidden="false" customHeight="false" outlineLevel="0" collapsed="false">
      <c r="A1395" s="3" t="n">
        <v>1394</v>
      </c>
      <c r="B1395" s="3" t="s">
        <v>3130</v>
      </c>
      <c r="C1395" s="4" t="s">
        <v>3124</v>
      </c>
      <c r="D1395" s="4" t="s">
        <v>3131</v>
      </c>
      <c r="E1395" s="3" t="s">
        <v>28</v>
      </c>
      <c r="F1395" s="3" t="s">
        <v>1735</v>
      </c>
      <c r="G1395" s="3" t="s">
        <v>1736</v>
      </c>
      <c r="H1395" s="3" t="s">
        <v>31</v>
      </c>
      <c r="I1395" s="3" t="s">
        <v>32</v>
      </c>
      <c r="J1395" s="3" t="s">
        <v>215</v>
      </c>
      <c r="K1395" s="3" t="s">
        <v>34</v>
      </c>
      <c r="L1395" s="3" t="s">
        <v>35</v>
      </c>
      <c r="M1395" s="3" t="s">
        <v>114</v>
      </c>
      <c r="N1395" s="3" t="s">
        <v>49</v>
      </c>
      <c r="O1395" s="3" t="s">
        <v>61</v>
      </c>
      <c r="P1395" s="3" t="s">
        <v>115</v>
      </c>
      <c r="Q1395" s="5" t="n">
        <v>283.43</v>
      </c>
      <c r="R1395" s="3" t="n">
        <v>3</v>
      </c>
      <c r="S1395" s="6" t="n">
        <v>0.1</v>
      </c>
      <c r="T1395" s="5" t="n">
        <v>91.54</v>
      </c>
      <c r="U1395" s="3" t="str">
        <f aca="false">IF(T1395&lt;0,"Loss",IF(T1395=0,"Break-even","Profit"))</f>
        <v>Profit</v>
      </c>
      <c r="V1395" s="3" t="str">
        <f aca="false">IF(Q1395&lt;100,"Low",IF(Q1395&lt;=500,"Medium","High"))</f>
        <v>Medium</v>
      </c>
      <c r="W1395" s="3" t="n">
        <f aca="false">D1395-C1395</f>
        <v>5</v>
      </c>
      <c r="X1395" s="3" t="str">
        <f aca="false">TEXT(C1395,"mmmm")</f>
        <v>August</v>
      </c>
      <c r="Y1395" s="3" t="str">
        <f aca="false">LEFT(G1395,1)&amp;MID(G1395,FIND(" ",G1395)+1,1)</f>
        <v>CG</v>
      </c>
    </row>
    <row r="1396" customFormat="false" ht="15" hidden="false" customHeight="false" outlineLevel="0" collapsed="false">
      <c r="A1396" s="3" t="n">
        <v>1395</v>
      </c>
      <c r="B1396" s="3" t="s">
        <v>3132</v>
      </c>
      <c r="C1396" s="4" t="s">
        <v>3133</v>
      </c>
      <c r="D1396" s="4" t="s">
        <v>3134</v>
      </c>
      <c r="E1396" s="3" t="s">
        <v>28</v>
      </c>
      <c r="F1396" s="3" t="s">
        <v>131</v>
      </c>
      <c r="G1396" s="3" t="s">
        <v>132</v>
      </c>
      <c r="H1396" s="3" t="s">
        <v>45</v>
      </c>
      <c r="I1396" s="3" t="s">
        <v>32</v>
      </c>
      <c r="J1396" s="3" t="s">
        <v>95</v>
      </c>
      <c r="K1396" s="3" t="s">
        <v>96</v>
      </c>
      <c r="L1396" s="3" t="s">
        <v>59</v>
      </c>
      <c r="M1396" s="3" t="s">
        <v>404</v>
      </c>
      <c r="N1396" s="3" t="s">
        <v>89</v>
      </c>
      <c r="O1396" s="3" t="s">
        <v>166</v>
      </c>
      <c r="P1396" s="3" t="s">
        <v>405</v>
      </c>
      <c r="Q1396" s="5" t="n">
        <v>740.85</v>
      </c>
      <c r="R1396" s="3" t="n">
        <v>2</v>
      </c>
      <c r="S1396" s="6" t="n">
        <v>0.1</v>
      </c>
      <c r="T1396" s="5" t="n">
        <v>6.98</v>
      </c>
      <c r="U1396" s="3" t="str">
        <f aca="false">IF(T1396&lt;0,"Loss",IF(T1396=0,"Break-even","Profit"))</f>
        <v>Profit</v>
      </c>
      <c r="V1396" s="3" t="str">
        <f aca="false">IF(Q1396&lt;100,"Low",IF(Q1396&lt;=500,"Medium","High"))</f>
        <v>High</v>
      </c>
      <c r="W1396" s="3" t="n">
        <f aca="false">D1396-C1396</f>
        <v>4</v>
      </c>
      <c r="X1396" s="3" t="str">
        <f aca="false">TEXT(C1396,"mmmm")</f>
        <v>September</v>
      </c>
      <c r="Y1396" s="3" t="str">
        <f aca="false">LEFT(G1396,1)&amp;MID(G1396,FIND(" ",G1396)+1,1)</f>
        <v>JM</v>
      </c>
    </row>
    <row r="1397" customFormat="false" ht="15" hidden="false" customHeight="false" outlineLevel="0" collapsed="false">
      <c r="A1397" s="3" t="n">
        <v>1396</v>
      </c>
      <c r="B1397" s="3" t="s">
        <v>3135</v>
      </c>
      <c r="C1397" s="4" t="s">
        <v>3136</v>
      </c>
      <c r="D1397" s="4" t="s">
        <v>3137</v>
      </c>
      <c r="E1397" s="3" t="s">
        <v>28</v>
      </c>
      <c r="F1397" s="3" t="s">
        <v>1152</v>
      </c>
      <c r="G1397" s="3" t="s">
        <v>1153</v>
      </c>
      <c r="H1397" s="3" t="s">
        <v>56</v>
      </c>
      <c r="I1397" s="3" t="s">
        <v>32</v>
      </c>
      <c r="J1397" s="3" t="s">
        <v>87</v>
      </c>
      <c r="K1397" s="3" t="s">
        <v>68</v>
      </c>
      <c r="L1397" s="3" t="s">
        <v>69</v>
      </c>
      <c r="M1397" s="3" t="s">
        <v>36</v>
      </c>
      <c r="N1397" s="3" t="s">
        <v>37</v>
      </c>
      <c r="O1397" s="3" t="s">
        <v>38</v>
      </c>
      <c r="P1397" s="3" t="s">
        <v>39</v>
      </c>
      <c r="Q1397" s="5" t="n">
        <v>10142.43</v>
      </c>
      <c r="R1397" s="3" t="n">
        <v>13</v>
      </c>
      <c r="S1397" s="6" t="n">
        <v>0.5</v>
      </c>
      <c r="T1397" s="5" t="n">
        <v>154.6</v>
      </c>
      <c r="U1397" s="3" t="str">
        <f aca="false">IF(T1397&lt;0,"Loss",IF(T1397=0,"Break-even","Profit"))</f>
        <v>Profit</v>
      </c>
      <c r="V1397" s="3" t="str">
        <f aca="false">IF(Q1397&lt;100,"Low",IF(Q1397&lt;=500,"Medium","High"))</f>
        <v>High</v>
      </c>
      <c r="W1397" s="3" t="n">
        <f aca="false">D1397-C1397</f>
        <v>4</v>
      </c>
      <c r="X1397" s="3" t="str">
        <f aca="false">TEXT(C1397,"mmmm")</f>
        <v>September</v>
      </c>
      <c r="Y1397" s="3" t="str">
        <f aca="false">LEFT(G1397,1)&amp;MID(G1397,FIND(" ",G1397)+1,1)</f>
        <v>MJ</v>
      </c>
    </row>
    <row r="1398" customFormat="false" ht="15" hidden="false" customHeight="false" outlineLevel="0" collapsed="false">
      <c r="A1398" s="3" t="n">
        <v>1397</v>
      </c>
      <c r="B1398" s="3" t="s">
        <v>3138</v>
      </c>
      <c r="C1398" s="4" t="s">
        <v>3139</v>
      </c>
      <c r="D1398" s="4" t="s">
        <v>3140</v>
      </c>
      <c r="E1398" s="3" t="s">
        <v>84</v>
      </c>
      <c r="F1398" s="3" t="s">
        <v>1571</v>
      </c>
      <c r="G1398" s="3" t="s">
        <v>1572</v>
      </c>
      <c r="H1398" s="3" t="s">
        <v>56</v>
      </c>
      <c r="I1398" s="3" t="s">
        <v>32</v>
      </c>
      <c r="J1398" s="3" t="s">
        <v>120</v>
      </c>
      <c r="K1398" s="3" t="s">
        <v>113</v>
      </c>
      <c r="L1398" s="3" t="s">
        <v>69</v>
      </c>
      <c r="M1398" s="3" t="s">
        <v>237</v>
      </c>
      <c r="N1398" s="3" t="s">
        <v>49</v>
      </c>
      <c r="O1398" s="3" t="s">
        <v>220</v>
      </c>
      <c r="P1398" s="3" t="s">
        <v>238</v>
      </c>
      <c r="Q1398" s="5" t="n">
        <v>1380.55</v>
      </c>
      <c r="R1398" s="3" t="n">
        <v>14</v>
      </c>
      <c r="S1398" s="6" t="n">
        <v>0</v>
      </c>
      <c r="T1398" s="5" t="n">
        <v>79.49</v>
      </c>
      <c r="U1398" s="3" t="str">
        <f aca="false">IF(T1398&lt;0,"Loss",IF(T1398=0,"Break-even","Profit"))</f>
        <v>Profit</v>
      </c>
      <c r="V1398" s="3" t="str">
        <f aca="false">IF(Q1398&lt;100,"Low",IF(Q1398&lt;=500,"Medium","High"))</f>
        <v>High</v>
      </c>
      <c r="W1398" s="3" t="n">
        <f aca="false">D1398-C1398</f>
        <v>3</v>
      </c>
      <c r="X1398" s="3" t="str">
        <f aca="false">TEXT(C1398,"mmmm")</f>
        <v>September</v>
      </c>
      <c r="Y1398" s="3" t="str">
        <f aca="false">LEFT(G1398,1)&amp;MID(G1398,FIND(" ",G1398)+1,1)</f>
        <v>JW</v>
      </c>
    </row>
    <row r="1399" customFormat="false" ht="15" hidden="false" customHeight="false" outlineLevel="0" collapsed="false">
      <c r="A1399" s="3" t="n">
        <v>1398</v>
      </c>
      <c r="B1399" s="3" t="s">
        <v>2878</v>
      </c>
      <c r="C1399" s="4" t="s">
        <v>3139</v>
      </c>
      <c r="D1399" s="4" t="s">
        <v>3141</v>
      </c>
      <c r="E1399" s="3" t="s">
        <v>28</v>
      </c>
      <c r="F1399" s="3" t="s">
        <v>2608</v>
      </c>
      <c r="G1399" s="3" t="s">
        <v>2609</v>
      </c>
      <c r="H1399" s="3" t="s">
        <v>56</v>
      </c>
      <c r="I1399" s="3" t="s">
        <v>32</v>
      </c>
      <c r="J1399" s="3" t="s">
        <v>476</v>
      </c>
      <c r="K1399" s="3" t="s">
        <v>366</v>
      </c>
      <c r="L1399" s="3" t="s">
        <v>157</v>
      </c>
      <c r="M1399" s="3" t="s">
        <v>259</v>
      </c>
      <c r="N1399" s="3" t="s">
        <v>89</v>
      </c>
      <c r="O1399" s="3" t="s">
        <v>174</v>
      </c>
      <c r="P1399" s="3" t="s">
        <v>260</v>
      </c>
      <c r="Q1399" s="5" t="n">
        <v>4201.8</v>
      </c>
      <c r="R1399" s="3" t="n">
        <v>12</v>
      </c>
      <c r="S1399" s="6" t="n">
        <v>0.1</v>
      </c>
      <c r="T1399" s="5" t="n">
        <v>-699.31</v>
      </c>
      <c r="U1399" s="3" t="str">
        <f aca="false">IF(T1399&lt;0,"Loss",IF(T1399=0,"Break-even","Profit"))</f>
        <v>Loss</v>
      </c>
      <c r="V1399" s="3" t="str">
        <f aca="false">IF(Q1399&lt;100,"Low",IF(Q1399&lt;=500,"Medium","High"))</f>
        <v>High</v>
      </c>
      <c r="W1399" s="3" t="n">
        <f aca="false">D1399-C1399</f>
        <v>7</v>
      </c>
      <c r="X1399" s="3" t="str">
        <f aca="false">TEXT(C1399,"mmmm")</f>
        <v>September</v>
      </c>
      <c r="Y1399" s="3" t="str">
        <f aca="false">LEFT(G1399,1)&amp;MID(G1399,FIND(" ",G1399)+1,1)</f>
        <v>MK</v>
      </c>
    </row>
    <row r="1400" customFormat="false" ht="15" hidden="false" customHeight="false" outlineLevel="0" collapsed="false">
      <c r="A1400" s="3" t="n">
        <v>1399</v>
      </c>
      <c r="B1400" s="3" t="s">
        <v>3142</v>
      </c>
      <c r="C1400" s="4" t="s">
        <v>3134</v>
      </c>
      <c r="D1400" s="4" t="s">
        <v>3143</v>
      </c>
      <c r="E1400" s="3" t="s">
        <v>84</v>
      </c>
      <c r="F1400" s="3" t="s">
        <v>960</v>
      </c>
      <c r="G1400" s="3" t="s">
        <v>961</v>
      </c>
      <c r="H1400" s="3" t="s">
        <v>56</v>
      </c>
      <c r="I1400" s="3" t="s">
        <v>32</v>
      </c>
      <c r="J1400" s="3" t="s">
        <v>873</v>
      </c>
      <c r="K1400" s="3" t="s">
        <v>387</v>
      </c>
      <c r="L1400" s="3" t="s">
        <v>35</v>
      </c>
      <c r="M1400" s="3" t="s">
        <v>316</v>
      </c>
      <c r="N1400" s="3" t="s">
        <v>49</v>
      </c>
      <c r="O1400" s="3" t="s">
        <v>143</v>
      </c>
      <c r="P1400" s="3" t="s">
        <v>317</v>
      </c>
      <c r="Q1400" s="5" t="n">
        <v>1113.73</v>
      </c>
      <c r="R1400" s="3" t="n">
        <v>12</v>
      </c>
      <c r="S1400" s="6" t="n">
        <v>0</v>
      </c>
      <c r="T1400" s="5" t="n">
        <v>-259.02</v>
      </c>
      <c r="U1400" s="3" t="str">
        <f aca="false">IF(T1400&lt;0,"Loss",IF(T1400=0,"Break-even","Profit"))</f>
        <v>Loss</v>
      </c>
      <c r="V1400" s="3" t="str">
        <f aca="false">IF(Q1400&lt;100,"Low",IF(Q1400&lt;=500,"Medium","High"))</f>
        <v>High</v>
      </c>
      <c r="W1400" s="3" t="n">
        <f aca="false">D1400-C1400</f>
        <v>3</v>
      </c>
      <c r="X1400" s="3" t="str">
        <f aca="false">TEXT(C1400,"mmmm")</f>
        <v>September</v>
      </c>
      <c r="Y1400" s="3" t="str">
        <f aca="false">LEFT(G1400,1)&amp;MID(G1400,FIND(" ",G1400)+1,1)</f>
        <v>JD</v>
      </c>
    </row>
    <row r="1401" customFormat="false" ht="15" hidden="false" customHeight="false" outlineLevel="0" collapsed="false">
      <c r="A1401" s="3" t="n">
        <v>1400</v>
      </c>
      <c r="B1401" s="3" t="s">
        <v>3144</v>
      </c>
      <c r="C1401" s="4" t="s">
        <v>3137</v>
      </c>
      <c r="D1401" s="4" t="s">
        <v>3145</v>
      </c>
      <c r="E1401" s="3" t="s">
        <v>28</v>
      </c>
      <c r="F1401" s="3" t="s">
        <v>1296</v>
      </c>
      <c r="G1401" s="3" t="s">
        <v>1297</v>
      </c>
      <c r="H1401" s="3" t="s">
        <v>45</v>
      </c>
      <c r="I1401" s="3" t="s">
        <v>32</v>
      </c>
      <c r="J1401" s="3" t="s">
        <v>663</v>
      </c>
      <c r="K1401" s="3" t="s">
        <v>307</v>
      </c>
      <c r="L1401" s="3" t="s">
        <v>69</v>
      </c>
      <c r="M1401" s="3" t="s">
        <v>316</v>
      </c>
      <c r="N1401" s="3" t="s">
        <v>49</v>
      </c>
      <c r="O1401" s="3" t="s">
        <v>143</v>
      </c>
      <c r="P1401" s="3" t="s">
        <v>317</v>
      </c>
      <c r="Q1401" s="5" t="n">
        <v>69.59</v>
      </c>
      <c r="R1401" s="3" t="n">
        <v>10</v>
      </c>
      <c r="S1401" s="6" t="n">
        <v>0.4</v>
      </c>
      <c r="T1401" s="5" t="n">
        <v>-4.05</v>
      </c>
      <c r="U1401" s="3" t="str">
        <f aca="false">IF(T1401&lt;0,"Loss",IF(T1401=0,"Break-even","Profit"))</f>
        <v>Loss</v>
      </c>
      <c r="V1401" s="3" t="str">
        <f aca="false">IF(Q1401&lt;100,"Low",IF(Q1401&lt;=500,"Medium","High"))</f>
        <v>Low</v>
      </c>
      <c r="W1401" s="3" t="n">
        <f aca="false">D1401-C1401</f>
        <v>7</v>
      </c>
      <c r="X1401" s="3" t="str">
        <f aca="false">TEXT(C1401,"mmmm")</f>
        <v>September</v>
      </c>
      <c r="Y1401" s="3" t="str">
        <f aca="false">LEFT(G1401,1)&amp;MID(G1401,FIND(" ",G1401)+1,1)</f>
        <v>JW</v>
      </c>
    </row>
    <row r="1402" customFormat="false" ht="15" hidden="false" customHeight="false" outlineLevel="0" collapsed="false">
      <c r="A1402" s="3" t="n">
        <v>1401</v>
      </c>
      <c r="B1402" s="3" t="s">
        <v>3146</v>
      </c>
      <c r="C1402" s="4" t="s">
        <v>3137</v>
      </c>
      <c r="D1402" s="4" t="s">
        <v>3147</v>
      </c>
      <c r="E1402" s="3" t="s">
        <v>28</v>
      </c>
      <c r="F1402" s="3" t="s">
        <v>1378</v>
      </c>
      <c r="G1402" s="3" t="s">
        <v>1379</v>
      </c>
      <c r="H1402" s="3" t="s">
        <v>56</v>
      </c>
      <c r="I1402" s="3" t="s">
        <v>32</v>
      </c>
      <c r="J1402" s="3" t="s">
        <v>33</v>
      </c>
      <c r="K1402" s="3" t="s">
        <v>34</v>
      </c>
      <c r="L1402" s="3" t="s">
        <v>35</v>
      </c>
      <c r="M1402" s="3" t="s">
        <v>420</v>
      </c>
      <c r="N1402" s="3" t="s">
        <v>49</v>
      </c>
      <c r="O1402" s="3" t="s">
        <v>80</v>
      </c>
      <c r="P1402" s="3" t="s">
        <v>421</v>
      </c>
      <c r="Q1402" s="5" t="n">
        <v>1066.45</v>
      </c>
      <c r="R1402" s="3" t="n">
        <v>12</v>
      </c>
      <c r="S1402" s="6" t="n">
        <v>0</v>
      </c>
      <c r="T1402" s="5" t="n">
        <v>1.86</v>
      </c>
      <c r="U1402" s="3" t="str">
        <f aca="false">IF(T1402&lt;0,"Loss",IF(T1402=0,"Break-even","Profit"))</f>
        <v>Profit</v>
      </c>
      <c r="V1402" s="3" t="str">
        <f aca="false">IF(Q1402&lt;100,"Low",IF(Q1402&lt;=500,"Medium","High"))</f>
        <v>High</v>
      </c>
      <c r="W1402" s="3" t="n">
        <f aca="false">D1402-C1402</f>
        <v>3</v>
      </c>
      <c r="X1402" s="3" t="str">
        <f aca="false">TEXT(C1402,"mmmm")</f>
        <v>September</v>
      </c>
      <c r="Y1402" s="3" t="str">
        <f aca="false">LEFT(G1402,1)&amp;MID(G1402,FIND(" ",G1402)+1,1)</f>
        <v>JB</v>
      </c>
    </row>
    <row r="1403" customFormat="false" ht="15" hidden="false" customHeight="false" outlineLevel="0" collapsed="false">
      <c r="A1403" s="3" t="n">
        <v>1402</v>
      </c>
      <c r="B1403" s="3" t="s">
        <v>3148</v>
      </c>
      <c r="C1403" s="4" t="s">
        <v>3137</v>
      </c>
      <c r="D1403" s="4" t="s">
        <v>3145</v>
      </c>
      <c r="E1403" s="3" t="s">
        <v>28</v>
      </c>
      <c r="F1403" s="3" t="s">
        <v>812</v>
      </c>
      <c r="G1403" s="3" t="s">
        <v>813</v>
      </c>
      <c r="H1403" s="3" t="s">
        <v>31</v>
      </c>
      <c r="I1403" s="3" t="s">
        <v>32</v>
      </c>
      <c r="J1403" s="3" t="s">
        <v>381</v>
      </c>
      <c r="K1403" s="3" t="s">
        <v>58</v>
      </c>
      <c r="L1403" s="3" t="s">
        <v>59</v>
      </c>
      <c r="M1403" s="3" t="s">
        <v>127</v>
      </c>
      <c r="N1403" s="3" t="s">
        <v>49</v>
      </c>
      <c r="O1403" s="3" t="s">
        <v>61</v>
      </c>
      <c r="P1403" s="3" t="s">
        <v>128</v>
      </c>
      <c r="Q1403" s="5" t="n">
        <v>406.33</v>
      </c>
      <c r="R1403" s="3" t="n">
        <v>5</v>
      </c>
      <c r="S1403" s="6" t="n">
        <v>0</v>
      </c>
      <c r="T1403" s="5" t="n">
        <v>-22.52</v>
      </c>
      <c r="U1403" s="3" t="str">
        <f aca="false">IF(T1403&lt;0,"Loss",IF(T1403=0,"Break-even","Profit"))</f>
        <v>Loss</v>
      </c>
      <c r="V1403" s="3" t="str">
        <f aca="false">IF(Q1403&lt;100,"Low",IF(Q1403&lt;=500,"Medium","High"))</f>
        <v>Medium</v>
      </c>
      <c r="W1403" s="3" t="n">
        <f aca="false">D1403-C1403</f>
        <v>7</v>
      </c>
      <c r="X1403" s="3" t="str">
        <f aca="false">TEXT(C1403,"mmmm")</f>
        <v>September</v>
      </c>
      <c r="Y1403" s="3" t="str">
        <f aca="false">LEFT(G1403,1)&amp;MID(G1403,FIND(" ",G1403)+1,1)</f>
        <v>AG</v>
      </c>
    </row>
    <row r="1404" customFormat="false" ht="15" hidden="false" customHeight="false" outlineLevel="0" collapsed="false">
      <c r="A1404" s="3" t="n">
        <v>1403</v>
      </c>
      <c r="B1404" s="3" t="s">
        <v>3149</v>
      </c>
      <c r="C1404" s="4" t="s">
        <v>3143</v>
      </c>
      <c r="D1404" s="4" t="s">
        <v>3150</v>
      </c>
      <c r="E1404" s="3" t="s">
        <v>28</v>
      </c>
      <c r="F1404" s="3" t="s">
        <v>1524</v>
      </c>
      <c r="G1404" s="3" t="s">
        <v>1525</v>
      </c>
      <c r="H1404" s="3" t="s">
        <v>56</v>
      </c>
      <c r="I1404" s="3" t="s">
        <v>32</v>
      </c>
      <c r="J1404" s="3" t="s">
        <v>148</v>
      </c>
      <c r="K1404" s="3" t="s">
        <v>78</v>
      </c>
      <c r="L1404" s="3" t="s">
        <v>59</v>
      </c>
      <c r="M1404" s="3" t="s">
        <v>209</v>
      </c>
      <c r="N1404" s="3" t="s">
        <v>49</v>
      </c>
      <c r="O1404" s="3" t="s">
        <v>106</v>
      </c>
      <c r="P1404" s="3" t="s">
        <v>210</v>
      </c>
      <c r="Q1404" s="5" t="n">
        <v>373.66</v>
      </c>
      <c r="R1404" s="3" t="n">
        <v>10</v>
      </c>
      <c r="S1404" s="6" t="n">
        <v>0.1</v>
      </c>
      <c r="T1404" s="5" t="n">
        <v>-55.76</v>
      </c>
      <c r="U1404" s="3" t="str">
        <f aca="false">IF(T1404&lt;0,"Loss",IF(T1404=0,"Break-even","Profit"))</f>
        <v>Loss</v>
      </c>
      <c r="V1404" s="3" t="str">
        <f aca="false">IF(Q1404&lt;100,"Low",IF(Q1404&lt;=500,"Medium","High"))</f>
        <v>Medium</v>
      </c>
      <c r="W1404" s="3" t="n">
        <f aca="false">D1404-C1404</f>
        <v>4</v>
      </c>
      <c r="X1404" s="3" t="str">
        <f aca="false">TEXT(C1404,"mmmm")</f>
        <v>September</v>
      </c>
      <c r="Y1404" s="3" t="str">
        <f aca="false">LEFT(G1404,1)&amp;MID(G1404,FIND(" ",G1404)+1,1)</f>
        <v>LN</v>
      </c>
    </row>
    <row r="1405" customFormat="false" ht="15" hidden="false" customHeight="false" outlineLevel="0" collapsed="false">
      <c r="A1405" s="3" t="n">
        <v>1404</v>
      </c>
      <c r="B1405" s="3" t="s">
        <v>3151</v>
      </c>
      <c r="C1405" s="4" t="s">
        <v>3143</v>
      </c>
      <c r="D1405" s="4" t="s">
        <v>3141</v>
      </c>
      <c r="E1405" s="3" t="s">
        <v>28</v>
      </c>
      <c r="F1405" s="3" t="s">
        <v>1086</v>
      </c>
      <c r="G1405" s="3" t="s">
        <v>1087</v>
      </c>
      <c r="H1405" s="3" t="s">
        <v>31</v>
      </c>
      <c r="I1405" s="3" t="s">
        <v>32</v>
      </c>
      <c r="J1405" s="3" t="s">
        <v>737</v>
      </c>
      <c r="K1405" s="3" t="s">
        <v>307</v>
      </c>
      <c r="L1405" s="3" t="s">
        <v>69</v>
      </c>
      <c r="M1405" s="3" t="s">
        <v>158</v>
      </c>
      <c r="N1405" s="3" t="s">
        <v>49</v>
      </c>
      <c r="O1405" s="3" t="s">
        <v>159</v>
      </c>
      <c r="P1405" s="3" t="s">
        <v>160</v>
      </c>
      <c r="Q1405" s="5" t="n">
        <v>101.93</v>
      </c>
      <c r="R1405" s="3" t="n">
        <v>1</v>
      </c>
      <c r="S1405" s="6" t="n">
        <v>0.4</v>
      </c>
      <c r="T1405" s="5" t="n">
        <v>-1.62</v>
      </c>
      <c r="U1405" s="3" t="str">
        <f aca="false">IF(T1405&lt;0,"Loss",IF(T1405=0,"Break-even","Profit"))</f>
        <v>Loss</v>
      </c>
      <c r="V1405" s="3" t="str">
        <f aca="false">IF(Q1405&lt;100,"Low",IF(Q1405&lt;=500,"Medium","High"))</f>
        <v>Medium</v>
      </c>
      <c r="W1405" s="3" t="n">
        <f aca="false">D1405-C1405</f>
        <v>3</v>
      </c>
      <c r="X1405" s="3" t="str">
        <f aca="false">TEXT(C1405,"mmmm")</f>
        <v>September</v>
      </c>
      <c r="Y1405" s="3" t="str">
        <f aca="false">LEFT(G1405,1)&amp;MID(G1405,FIND(" ",G1405)+1,1)</f>
        <v>AB</v>
      </c>
    </row>
    <row r="1406" customFormat="false" ht="15" hidden="false" customHeight="false" outlineLevel="0" collapsed="false">
      <c r="A1406" s="3" t="n">
        <v>1405</v>
      </c>
      <c r="B1406" s="3" t="s">
        <v>3152</v>
      </c>
      <c r="C1406" s="4" t="s">
        <v>3147</v>
      </c>
      <c r="D1406" s="4" t="s">
        <v>3153</v>
      </c>
      <c r="E1406" s="3" t="s">
        <v>42</v>
      </c>
      <c r="F1406" s="3" t="s">
        <v>808</v>
      </c>
      <c r="G1406" s="3" t="s">
        <v>809</v>
      </c>
      <c r="H1406" s="3" t="s">
        <v>45</v>
      </c>
      <c r="I1406" s="3" t="s">
        <v>32</v>
      </c>
      <c r="J1406" s="3" t="s">
        <v>365</v>
      </c>
      <c r="K1406" s="3" t="s">
        <v>366</v>
      </c>
      <c r="L1406" s="3" t="s">
        <v>157</v>
      </c>
      <c r="M1406" s="3" t="s">
        <v>127</v>
      </c>
      <c r="N1406" s="3" t="s">
        <v>49</v>
      </c>
      <c r="O1406" s="3" t="s">
        <v>61</v>
      </c>
      <c r="P1406" s="3" t="s">
        <v>128</v>
      </c>
      <c r="Q1406" s="5" t="n">
        <v>82.05</v>
      </c>
      <c r="R1406" s="3" t="n">
        <v>7</v>
      </c>
      <c r="S1406" s="6" t="n">
        <v>0</v>
      </c>
      <c r="T1406" s="5" t="n">
        <v>7.12</v>
      </c>
      <c r="U1406" s="3" t="str">
        <f aca="false">IF(T1406&lt;0,"Loss",IF(T1406=0,"Break-even","Profit"))</f>
        <v>Profit</v>
      </c>
      <c r="V1406" s="3" t="str">
        <f aca="false">IF(Q1406&lt;100,"Low",IF(Q1406&lt;=500,"Medium","High"))</f>
        <v>Low</v>
      </c>
      <c r="W1406" s="3" t="n">
        <f aca="false">D1406-C1406</f>
        <v>1</v>
      </c>
      <c r="X1406" s="3" t="str">
        <f aca="false">TEXT(C1406,"mmmm")</f>
        <v>September</v>
      </c>
      <c r="Y1406" s="3" t="str">
        <f aca="false">LEFT(G1406,1)&amp;MID(G1406,FIND(" ",G1406)+1,1)</f>
        <v>ET</v>
      </c>
    </row>
    <row r="1407" customFormat="false" ht="15" hidden="false" customHeight="false" outlineLevel="0" collapsed="false">
      <c r="A1407" s="3" t="n">
        <v>1406</v>
      </c>
      <c r="B1407" s="3" t="s">
        <v>3154</v>
      </c>
      <c r="C1407" s="4" t="s">
        <v>3147</v>
      </c>
      <c r="D1407" s="4" t="s">
        <v>3150</v>
      </c>
      <c r="E1407" s="3" t="s">
        <v>84</v>
      </c>
      <c r="F1407" s="3" t="s">
        <v>501</v>
      </c>
      <c r="G1407" s="3" t="s">
        <v>502</v>
      </c>
      <c r="H1407" s="3" t="s">
        <v>56</v>
      </c>
      <c r="I1407" s="3" t="s">
        <v>32</v>
      </c>
      <c r="J1407" s="3" t="s">
        <v>179</v>
      </c>
      <c r="K1407" s="3" t="s">
        <v>47</v>
      </c>
      <c r="L1407" s="3" t="s">
        <v>35</v>
      </c>
      <c r="M1407" s="3" t="s">
        <v>225</v>
      </c>
      <c r="N1407" s="3" t="s">
        <v>37</v>
      </c>
      <c r="O1407" s="3" t="s">
        <v>196</v>
      </c>
      <c r="P1407" s="3" t="s">
        <v>226</v>
      </c>
      <c r="Q1407" s="5" t="n">
        <v>4174.71</v>
      </c>
      <c r="R1407" s="3" t="n">
        <v>14</v>
      </c>
      <c r="S1407" s="6" t="n">
        <v>0.4</v>
      </c>
      <c r="T1407" s="5" t="n">
        <v>265.46</v>
      </c>
      <c r="U1407" s="3" t="str">
        <f aca="false">IF(T1407&lt;0,"Loss",IF(T1407=0,"Break-even","Profit"))</f>
        <v>Profit</v>
      </c>
      <c r="V1407" s="3" t="str">
        <f aca="false">IF(Q1407&lt;100,"Low",IF(Q1407&lt;=500,"Medium","High"))</f>
        <v>High</v>
      </c>
      <c r="W1407" s="3" t="n">
        <f aca="false">D1407-C1407</f>
        <v>3</v>
      </c>
      <c r="X1407" s="3" t="str">
        <f aca="false">TEXT(C1407,"mmmm")</f>
        <v>September</v>
      </c>
      <c r="Y1407" s="3" t="str">
        <f aca="false">LEFT(G1407,1)&amp;MID(G1407,FIND(" ",G1407)+1,1)</f>
        <v>DR</v>
      </c>
    </row>
    <row r="1408" customFormat="false" ht="15" hidden="false" customHeight="false" outlineLevel="0" collapsed="false">
      <c r="A1408" s="3" t="n">
        <v>1407</v>
      </c>
      <c r="B1408" s="3" t="s">
        <v>3155</v>
      </c>
      <c r="C1408" s="4" t="s">
        <v>3147</v>
      </c>
      <c r="D1408" s="4" t="s">
        <v>3147</v>
      </c>
      <c r="E1408" s="3" t="s">
        <v>53</v>
      </c>
      <c r="F1408" s="3" t="s">
        <v>401</v>
      </c>
      <c r="G1408" s="3" t="s">
        <v>402</v>
      </c>
      <c r="H1408" s="3" t="s">
        <v>56</v>
      </c>
      <c r="I1408" s="3" t="s">
        <v>32</v>
      </c>
      <c r="J1408" s="3" t="s">
        <v>679</v>
      </c>
      <c r="K1408" s="3" t="s">
        <v>202</v>
      </c>
      <c r="L1408" s="3" t="s">
        <v>35</v>
      </c>
      <c r="M1408" s="3" t="s">
        <v>142</v>
      </c>
      <c r="N1408" s="3" t="s">
        <v>49</v>
      </c>
      <c r="O1408" s="3" t="s">
        <v>143</v>
      </c>
      <c r="P1408" s="3" t="s">
        <v>144</v>
      </c>
      <c r="Q1408" s="5" t="n">
        <v>106.74</v>
      </c>
      <c r="R1408" s="3" t="n">
        <v>8</v>
      </c>
      <c r="S1408" s="6" t="n">
        <v>0</v>
      </c>
      <c r="T1408" s="5" t="n">
        <v>15.72</v>
      </c>
      <c r="U1408" s="3" t="str">
        <f aca="false">IF(T1408&lt;0,"Loss",IF(T1408=0,"Break-even","Profit"))</f>
        <v>Profit</v>
      </c>
      <c r="V1408" s="3" t="str">
        <f aca="false">IF(Q1408&lt;100,"Low",IF(Q1408&lt;=500,"Medium","High"))</f>
        <v>Medium</v>
      </c>
      <c r="W1408" s="3" t="n">
        <f aca="false">D1408-C1408</f>
        <v>0</v>
      </c>
      <c r="X1408" s="3" t="str">
        <f aca="false">TEXT(C1408,"mmmm")</f>
        <v>September</v>
      </c>
      <c r="Y1408" s="3" t="str">
        <f aca="false">LEFT(G1408,1)&amp;MID(G1408,FIND(" ",G1408)+1,1)</f>
        <v>PD</v>
      </c>
    </row>
    <row r="1409" customFormat="false" ht="15" hidden="false" customHeight="false" outlineLevel="0" collapsed="false">
      <c r="A1409" s="3" t="n">
        <v>1408</v>
      </c>
      <c r="B1409" s="3" t="s">
        <v>3156</v>
      </c>
      <c r="C1409" s="4" t="s">
        <v>3147</v>
      </c>
      <c r="D1409" s="4" t="s">
        <v>3157</v>
      </c>
      <c r="E1409" s="3" t="s">
        <v>28</v>
      </c>
      <c r="F1409" s="3" t="s">
        <v>979</v>
      </c>
      <c r="G1409" s="3" t="s">
        <v>980</v>
      </c>
      <c r="H1409" s="3" t="s">
        <v>56</v>
      </c>
      <c r="I1409" s="3" t="s">
        <v>32</v>
      </c>
      <c r="J1409" s="3" t="s">
        <v>120</v>
      </c>
      <c r="K1409" s="3" t="s">
        <v>113</v>
      </c>
      <c r="L1409" s="3" t="s">
        <v>69</v>
      </c>
      <c r="M1409" s="3" t="s">
        <v>88</v>
      </c>
      <c r="N1409" s="3" t="s">
        <v>89</v>
      </c>
      <c r="O1409" s="3" t="s">
        <v>90</v>
      </c>
      <c r="P1409" s="3" t="s">
        <v>91</v>
      </c>
      <c r="Q1409" s="5" t="n">
        <v>8785.62</v>
      </c>
      <c r="R1409" s="3" t="n">
        <v>13</v>
      </c>
      <c r="S1409" s="6" t="n">
        <v>0.4</v>
      </c>
      <c r="T1409" s="5" t="n">
        <v>-515.66</v>
      </c>
      <c r="U1409" s="3" t="str">
        <f aca="false">IF(T1409&lt;0,"Loss",IF(T1409=0,"Break-even","Profit"))</f>
        <v>Loss</v>
      </c>
      <c r="V1409" s="3" t="str">
        <f aca="false">IF(Q1409&lt;100,"Low",IF(Q1409&lt;=500,"Medium","High"))</f>
        <v>High</v>
      </c>
      <c r="W1409" s="3" t="n">
        <f aca="false">D1409-C1409</f>
        <v>5</v>
      </c>
      <c r="X1409" s="3" t="str">
        <f aca="false">TEXT(C1409,"mmmm")</f>
        <v>September</v>
      </c>
      <c r="Y1409" s="3" t="str">
        <f aca="false">LEFT(G1409,1)&amp;MID(G1409,FIND(" ",G1409)+1,1)</f>
        <v>CK</v>
      </c>
    </row>
    <row r="1410" customFormat="false" ht="15" hidden="false" customHeight="false" outlineLevel="0" collapsed="false">
      <c r="A1410" s="3" t="n">
        <v>1409</v>
      </c>
      <c r="B1410" s="3" t="s">
        <v>3158</v>
      </c>
      <c r="C1410" s="4" t="s">
        <v>3153</v>
      </c>
      <c r="D1410" s="4" t="s">
        <v>3159</v>
      </c>
      <c r="E1410" s="3" t="s">
        <v>28</v>
      </c>
      <c r="F1410" s="3" t="s">
        <v>1856</v>
      </c>
      <c r="G1410" s="3" t="s">
        <v>1857</v>
      </c>
      <c r="H1410" s="3" t="s">
        <v>56</v>
      </c>
      <c r="I1410" s="3" t="s">
        <v>32</v>
      </c>
      <c r="J1410" s="3" t="s">
        <v>46</v>
      </c>
      <c r="K1410" s="3" t="s">
        <v>47</v>
      </c>
      <c r="L1410" s="3" t="s">
        <v>35</v>
      </c>
      <c r="M1410" s="3" t="s">
        <v>683</v>
      </c>
      <c r="N1410" s="3" t="s">
        <v>37</v>
      </c>
      <c r="O1410" s="3" t="s">
        <v>136</v>
      </c>
      <c r="P1410" s="3" t="s">
        <v>684</v>
      </c>
      <c r="Q1410" s="5" t="n">
        <v>5966.97</v>
      </c>
      <c r="R1410" s="3" t="n">
        <v>12</v>
      </c>
      <c r="S1410" s="6" t="n">
        <v>0.1</v>
      </c>
      <c r="T1410" s="5" t="n">
        <v>1654.42</v>
      </c>
      <c r="U1410" s="3" t="str">
        <f aca="false">IF(T1410&lt;0,"Loss",IF(T1410=0,"Break-even","Profit"))</f>
        <v>Profit</v>
      </c>
      <c r="V1410" s="3" t="str">
        <f aca="false">IF(Q1410&lt;100,"Low",IF(Q1410&lt;=500,"Medium","High"))</f>
        <v>High</v>
      </c>
      <c r="W1410" s="3" t="n">
        <f aca="false">D1410-C1410</f>
        <v>6</v>
      </c>
      <c r="X1410" s="3" t="str">
        <f aca="false">TEXT(C1410,"mmmm")</f>
        <v>September</v>
      </c>
      <c r="Y1410" s="3" t="str">
        <f aca="false">LEFT(G1410,1)&amp;MID(G1410,FIND(" ",G1410)+1,1)</f>
        <v>SN</v>
      </c>
    </row>
    <row r="1411" customFormat="false" ht="15" hidden="false" customHeight="false" outlineLevel="0" collapsed="false">
      <c r="A1411" s="3" t="n">
        <v>1410</v>
      </c>
      <c r="B1411" s="3" t="s">
        <v>3160</v>
      </c>
      <c r="C1411" s="4" t="s">
        <v>3153</v>
      </c>
      <c r="D1411" s="4" t="s">
        <v>3145</v>
      </c>
      <c r="E1411" s="3" t="s">
        <v>28</v>
      </c>
      <c r="F1411" s="3" t="s">
        <v>496</v>
      </c>
      <c r="G1411" s="3" t="s">
        <v>497</v>
      </c>
      <c r="H1411" s="3" t="s">
        <v>45</v>
      </c>
      <c r="I1411" s="3" t="s">
        <v>32</v>
      </c>
      <c r="J1411" s="3" t="s">
        <v>215</v>
      </c>
      <c r="K1411" s="3" t="s">
        <v>34</v>
      </c>
      <c r="L1411" s="3" t="s">
        <v>35</v>
      </c>
      <c r="M1411" s="3" t="s">
        <v>36</v>
      </c>
      <c r="N1411" s="3" t="s">
        <v>37</v>
      </c>
      <c r="O1411" s="3" t="s">
        <v>38</v>
      </c>
      <c r="P1411" s="3" t="s">
        <v>39</v>
      </c>
      <c r="Q1411" s="5" t="n">
        <v>6814.17</v>
      </c>
      <c r="R1411" s="3" t="n">
        <v>8</v>
      </c>
      <c r="S1411" s="6" t="n">
        <v>0</v>
      </c>
      <c r="T1411" s="5" t="n">
        <v>-989.27</v>
      </c>
      <c r="U1411" s="3" t="str">
        <f aca="false">IF(T1411&lt;0,"Loss",IF(T1411=0,"Break-even","Profit"))</f>
        <v>Loss</v>
      </c>
      <c r="V1411" s="3" t="str">
        <f aca="false">IF(Q1411&lt;100,"Low",IF(Q1411&lt;=500,"Medium","High"))</f>
        <v>High</v>
      </c>
      <c r="W1411" s="3" t="n">
        <f aca="false">D1411-C1411</f>
        <v>3</v>
      </c>
      <c r="X1411" s="3" t="str">
        <f aca="false">TEXT(C1411,"mmmm")</f>
        <v>September</v>
      </c>
      <c r="Y1411" s="3" t="str">
        <f aca="false">LEFT(G1411,1)&amp;MID(G1411,FIND(" ",G1411)+1,1)</f>
        <v>DD</v>
      </c>
    </row>
    <row r="1412" customFormat="false" ht="15" hidden="false" customHeight="false" outlineLevel="0" collapsed="false">
      <c r="A1412" s="3" t="n">
        <v>1411</v>
      </c>
      <c r="B1412" s="3" t="s">
        <v>3161</v>
      </c>
      <c r="C1412" s="4" t="s">
        <v>3153</v>
      </c>
      <c r="D1412" s="4" t="s">
        <v>3145</v>
      </c>
      <c r="E1412" s="3" t="s">
        <v>28</v>
      </c>
      <c r="F1412" s="3" t="s">
        <v>342</v>
      </c>
      <c r="G1412" s="3" t="s">
        <v>343</v>
      </c>
      <c r="H1412" s="3" t="s">
        <v>56</v>
      </c>
      <c r="I1412" s="3" t="s">
        <v>32</v>
      </c>
      <c r="J1412" s="3" t="s">
        <v>663</v>
      </c>
      <c r="K1412" s="3" t="s">
        <v>307</v>
      </c>
      <c r="L1412" s="3" t="s">
        <v>69</v>
      </c>
      <c r="M1412" s="3" t="s">
        <v>300</v>
      </c>
      <c r="N1412" s="3" t="s">
        <v>49</v>
      </c>
      <c r="O1412" s="3" t="s">
        <v>143</v>
      </c>
      <c r="P1412" s="3" t="s">
        <v>301</v>
      </c>
      <c r="Q1412" s="5" t="n">
        <v>505.92</v>
      </c>
      <c r="R1412" s="3" t="n">
        <v>5</v>
      </c>
      <c r="S1412" s="6" t="n">
        <v>0</v>
      </c>
      <c r="T1412" s="5" t="n">
        <v>12.86</v>
      </c>
      <c r="U1412" s="3" t="str">
        <f aca="false">IF(T1412&lt;0,"Loss",IF(T1412=0,"Break-even","Profit"))</f>
        <v>Profit</v>
      </c>
      <c r="V1412" s="3" t="str">
        <f aca="false">IF(Q1412&lt;100,"Low",IF(Q1412&lt;=500,"Medium","High"))</f>
        <v>High</v>
      </c>
      <c r="W1412" s="3" t="n">
        <f aca="false">D1412-C1412</f>
        <v>3</v>
      </c>
      <c r="X1412" s="3" t="str">
        <f aca="false">TEXT(C1412,"mmmm")</f>
        <v>September</v>
      </c>
      <c r="Y1412" s="3" t="str">
        <f aca="false">LEFT(G1412,1)&amp;MID(G1412,FIND(" ",G1412)+1,1)</f>
        <v>JN</v>
      </c>
    </row>
    <row r="1413" customFormat="false" ht="15" hidden="false" customHeight="false" outlineLevel="0" collapsed="false">
      <c r="A1413" s="3" t="n">
        <v>1412</v>
      </c>
      <c r="B1413" s="3" t="s">
        <v>3162</v>
      </c>
      <c r="C1413" s="4" t="s">
        <v>3153</v>
      </c>
      <c r="D1413" s="4" t="s">
        <v>3150</v>
      </c>
      <c r="E1413" s="3" t="s">
        <v>84</v>
      </c>
      <c r="F1413" s="3" t="s">
        <v>102</v>
      </c>
      <c r="G1413" s="3" t="s">
        <v>103</v>
      </c>
      <c r="H1413" s="3" t="s">
        <v>56</v>
      </c>
      <c r="I1413" s="3" t="s">
        <v>32</v>
      </c>
      <c r="J1413" s="3" t="s">
        <v>46</v>
      </c>
      <c r="K1413" s="3" t="s">
        <v>47</v>
      </c>
      <c r="L1413" s="3" t="s">
        <v>35</v>
      </c>
      <c r="M1413" s="3" t="s">
        <v>347</v>
      </c>
      <c r="N1413" s="3" t="s">
        <v>49</v>
      </c>
      <c r="O1413" s="3" t="s">
        <v>220</v>
      </c>
      <c r="P1413" s="3" t="s">
        <v>348</v>
      </c>
      <c r="Q1413" s="5" t="n">
        <v>393.43</v>
      </c>
      <c r="R1413" s="3" t="n">
        <v>5</v>
      </c>
      <c r="S1413" s="6" t="n">
        <v>0</v>
      </c>
      <c r="T1413" s="5" t="n">
        <v>22.11</v>
      </c>
      <c r="U1413" s="3" t="str">
        <f aca="false">IF(T1413&lt;0,"Loss",IF(T1413=0,"Break-even","Profit"))</f>
        <v>Profit</v>
      </c>
      <c r="V1413" s="3" t="str">
        <f aca="false">IF(Q1413&lt;100,"Low",IF(Q1413&lt;=500,"Medium","High"))</f>
        <v>Medium</v>
      </c>
      <c r="W1413" s="3" t="n">
        <f aca="false">D1413-C1413</f>
        <v>2</v>
      </c>
      <c r="X1413" s="3" t="str">
        <f aca="false">TEXT(C1413,"mmmm")</f>
        <v>September</v>
      </c>
      <c r="Y1413" s="3" t="str">
        <f aca="false">LEFT(G1413,1)&amp;MID(G1413,FIND(" ",G1413)+1,1)</f>
        <v>LA</v>
      </c>
    </row>
    <row r="1414" customFormat="false" ht="15" hidden="false" customHeight="false" outlineLevel="0" collapsed="false">
      <c r="A1414" s="3" t="n">
        <v>1413</v>
      </c>
      <c r="B1414" s="3" t="s">
        <v>2763</v>
      </c>
      <c r="C1414" s="4" t="s">
        <v>3145</v>
      </c>
      <c r="D1414" s="4" t="s">
        <v>3163</v>
      </c>
      <c r="E1414" s="3" t="s">
        <v>28</v>
      </c>
      <c r="F1414" s="3" t="s">
        <v>1826</v>
      </c>
      <c r="G1414" s="3" t="s">
        <v>1827</v>
      </c>
      <c r="H1414" s="3" t="s">
        <v>56</v>
      </c>
      <c r="I1414" s="3" t="s">
        <v>32</v>
      </c>
      <c r="J1414" s="3" t="s">
        <v>77</v>
      </c>
      <c r="K1414" s="3" t="s">
        <v>78</v>
      </c>
      <c r="L1414" s="3" t="s">
        <v>59</v>
      </c>
      <c r="M1414" s="3" t="s">
        <v>290</v>
      </c>
      <c r="N1414" s="3" t="s">
        <v>37</v>
      </c>
      <c r="O1414" s="3" t="s">
        <v>38</v>
      </c>
      <c r="P1414" s="3" t="s">
        <v>291</v>
      </c>
      <c r="Q1414" s="5" t="n">
        <v>4927.12</v>
      </c>
      <c r="R1414" s="3" t="n">
        <v>10</v>
      </c>
      <c r="S1414" s="6" t="n">
        <v>0.3</v>
      </c>
      <c r="T1414" s="5" t="n">
        <v>-332.63</v>
      </c>
      <c r="U1414" s="3" t="str">
        <f aca="false">IF(T1414&lt;0,"Loss",IF(T1414=0,"Break-even","Profit"))</f>
        <v>Loss</v>
      </c>
      <c r="V1414" s="3" t="str">
        <f aca="false">IF(Q1414&lt;100,"Low",IF(Q1414&lt;=500,"Medium","High"))</f>
        <v>High</v>
      </c>
      <c r="W1414" s="3" t="n">
        <f aca="false">D1414-C1414</f>
        <v>5</v>
      </c>
      <c r="X1414" s="3" t="str">
        <f aca="false">TEXT(C1414,"mmmm")</f>
        <v>September</v>
      </c>
      <c r="Y1414" s="3" t="str">
        <f aca="false">LEFT(G1414,1)&amp;MID(G1414,FIND(" ",G1414)+1,1)</f>
        <v>EG</v>
      </c>
    </row>
    <row r="1415" customFormat="false" ht="15" hidden="false" customHeight="false" outlineLevel="0" collapsed="false">
      <c r="A1415" s="3" t="n">
        <v>1414</v>
      </c>
      <c r="B1415" s="3" t="s">
        <v>3164</v>
      </c>
      <c r="C1415" s="4" t="s">
        <v>3145</v>
      </c>
      <c r="D1415" s="4" t="s">
        <v>3165</v>
      </c>
      <c r="E1415" s="3" t="s">
        <v>84</v>
      </c>
      <c r="F1415" s="3" t="s">
        <v>1192</v>
      </c>
      <c r="G1415" s="3" t="s">
        <v>1193</v>
      </c>
      <c r="H1415" s="3" t="s">
        <v>56</v>
      </c>
      <c r="I1415" s="3" t="s">
        <v>32</v>
      </c>
      <c r="J1415" s="3" t="s">
        <v>548</v>
      </c>
      <c r="K1415" s="3" t="s">
        <v>244</v>
      </c>
      <c r="L1415" s="3" t="s">
        <v>157</v>
      </c>
      <c r="M1415" s="3" t="s">
        <v>79</v>
      </c>
      <c r="N1415" s="3" t="s">
        <v>49</v>
      </c>
      <c r="O1415" s="3" t="s">
        <v>80</v>
      </c>
      <c r="P1415" s="3" t="s">
        <v>81</v>
      </c>
      <c r="Q1415" s="5" t="n">
        <v>1059.83</v>
      </c>
      <c r="R1415" s="3" t="n">
        <v>11</v>
      </c>
      <c r="S1415" s="6" t="n">
        <v>0</v>
      </c>
      <c r="T1415" s="5" t="n">
        <v>-34.69</v>
      </c>
      <c r="U1415" s="3" t="str">
        <f aca="false">IF(T1415&lt;0,"Loss",IF(T1415=0,"Break-even","Profit"))</f>
        <v>Loss</v>
      </c>
      <c r="V1415" s="3" t="str">
        <f aca="false">IF(Q1415&lt;100,"Low",IF(Q1415&lt;=500,"Medium","High"))</f>
        <v>High</v>
      </c>
      <c r="W1415" s="3" t="n">
        <f aca="false">D1415-C1415</f>
        <v>2</v>
      </c>
      <c r="X1415" s="3" t="str">
        <f aca="false">TEXT(C1415,"mmmm")</f>
        <v>September</v>
      </c>
      <c r="Y1415" s="3" t="str">
        <f aca="false">LEFT(G1415,1)&amp;MID(G1415,FIND(" ",G1415)+1,1)</f>
        <v>PM</v>
      </c>
    </row>
    <row r="1416" customFormat="false" ht="15" hidden="false" customHeight="false" outlineLevel="0" collapsed="false">
      <c r="A1416" s="3" t="n">
        <v>1415</v>
      </c>
      <c r="B1416" s="3" t="s">
        <v>3166</v>
      </c>
      <c r="C1416" s="4" t="s">
        <v>3157</v>
      </c>
      <c r="D1416" s="4" t="s">
        <v>3167</v>
      </c>
      <c r="E1416" s="3" t="s">
        <v>28</v>
      </c>
      <c r="F1416" s="3" t="s">
        <v>827</v>
      </c>
      <c r="G1416" s="3" t="s">
        <v>828</v>
      </c>
      <c r="H1416" s="3" t="s">
        <v>56</v>
      </c>
      <c r="I1416" s="3" t="s">
        <v>32</v>
      </c>
      <c r="J1416" s="3" t="s">
        <v>315</v>
      </c>
      <c r="K1416" s="3" t="s">
        <v>58</v>
      </c>
      <c r="L1416" s="3" t="s">
        <v>59</v>
      </c>
      <c r="M1416" s="3" t="s">
        <v>79</v>
      </c>
      <c r="N1416" s="3" t="s">
        <v>49</v>
      </c>
      <c r="O1416" s="3" t="s">
        <v>80</v>
      </c>
      <c r="P1416" s="3" t="s">
        <v>81</v>
      </c>
      <c r="Q1416" s="5" t="n">
        <v>79.2</v>
      </c>
      <c r="R1416" s="3" t="n">
        <v>1</v>
      </c>
      <c r="S1416" s="6" t="n">
        <v>0</v>
      </c>
      <c r="T1416" s="5" t="n">
        <v>-0.03</v>
      </c>
      <c r="U1416" s="3" t="str">
        <f aca="false">IF(T1416&lt;0,"Loss",IF(T1416=0,"Break-even","Profit"))</f>
        <v>Loss</v>
      </c>
      <c r="V1416" s="3" t="str">
        <f aca="false">IF(Q1416&lt;100,"Low",IF(Q1416&lt;=500,"Medium","High"))</f>
        <v>Low</v>
      </c>
      <c r="W1416" s="3" t="n">
        <f aca="false">D1416-C1416</f>
        <v>6</v>
      </c>
      <c r="X1416" s="3" t="str">
        <f aca="false">TEXT(C1416,"mmmm")</f>
        <v>September</v>
      </c>
      <c r="Y1416" s="3" t="str">
        <f aca="false">LEFT(G1416,1)&amp;MID(G1416,FIND(" ",G1416)+1,1)</f>
        <v>ON</v>
      </c>
    </row>
    <row r="1417" customFormat="false" ht="15" hidden="false" customHeight="false" outlineLevel="0" collapsed="false">
      <c r="A1417" s="3" t="n">
        <v>1416</v>
      </c>
      <c r="B1417" s="3" t="s">
        <v>3168</v>
      </c>
      <c r="C1417" s="4" t="s">
        <v>3157</v>
      </c>
      <c r="D1417" s="4" t="s">
        <v>3169</v>
      </c>
      <c r="E1417" s="3" t="s">
        <v>28</v>
      </c>
      <c r="F1417" s="3" t="s">
        <v>686</v>
      </c>
      <c r="G1417" s="3" t="s">
        <v>687</v>
      </c>
      <c r="H1417" s="3" t="s">
        <v>56</v>
      </c>
      <c r="I1417" s="3" t="s">
        <v>32</v>
      </c>
      <c r="J1417" s="3" t="s">
        <v>814</v>
      </c>
      <c r="K1417" s="3" t="s">
        <v>156</v>
      </c>
      <c r="L1417" s="3" t="s">
        <v>157</v>
      </c>
      <c r="M1417" s="3" t="s">
        <v>420</v>
      </c>
      <c r="N1417" s="3" t="s">
        <v>49</v>
      </c>
      <c r="O1417" s="3" t="s">
        <v>80</v>
      </c>
      <c r="P1417" s="3" t="s">
        <v>421</v>
      </c>
      <c r="Q1417" s="5" t="n">
        <v>537.24</v>
      </c>
      <c r="R1417" s="3" t="n">
        <v>6</v>
      </c>
      <c r="S1417" s="6" t="n">
        <v>0.2</v>
      </c>
      <c r="T1417" s="5" t="n">
        <v>-47.42</v>
      </c>
      <c r="U1417" s="3" t="str">
        <f aca="false">IF(T1417&lt;0,"Loss",IF(T1417=0,"Break-even","Profit"))</f>
        <v>Loss</v>
      </c>
      <c r="V1417" s="3" t="str">
        <f aca="false">IF(Q1417&lt;100,"Low",IF(Q1417&lt;=500,"Medium","High"))</f>
        <v>High</v>
      </c>
      <c r="W1417" s="3" t="n">
        <f aca="false">D1417-C1417</f>
        <v>5</v>
      </c>
      <c r="X1417" s="3" t="str">
        <f aca="false">TEXT(C1417,"mmmm")</f>
        <v>September</v>
      </c>
      <c r="Y1417" s="3" t="str">
        <f aca="false">LEFT(G1417,1)&amp;MID(G1417,FIND(" ",G1417)+1,1)</f>
        <v>EN</v>
      </c>
    </row>
    <row r="1418" customFormat="false" ht="15" hidden="false" customHeight="false" outlineLevel="0" collapsed="false">
      <c r="A1418" s="3" t="n">
        <v>1417</v>
      </c>
      <c r="B1418" s="3" t="s">
        <v>3170</v>
      </c>
      <c r="C1418" s="4" t="s">
        <v>3165</v>
      </c>
      <c r="D1418" s="4" t="s">
        <v>3165</v>
      </c>
      <c r="E1418" s="3" t="s">
        <v>53</v>
      </c>
      <c r="F1418" s="3" t="s">
        <v>2396</v>
      </c>
      <c r="G1418" s="3" t="s">
        <v>2397</v>
      </c>
      <c r="H1418" s="3" t="s">
        <v>31</v>
      </c>
      <c r="I1418" s="3" t="s">
        <v>32</v>
      </c>
      <c r="J1418" s="3" t="s">
        <v>243</v>
      </c>
      <c r="K1418" s="3" t="s">
        <v>244</v>
      </c>
      <c r="L1418" s="3" t="s">
        <v>157</v>
      </c>
      <c r="M1418" s="3" t="s">
        <v>121</v>
      </c>
      <c r="N1418" s="3" t="s">
        <v>49</v>
      </c>
      <c r="O1418" s="3" t="s">
        <v>50</v>
      </c>
      <c r="P1418" s="3" t="s">
        <v>122</v>
      </c>
      <c r="Q1418" s="5" t="n">
        <v>55.83</v>
      </c>
      <c r="R1418" s="3" t="n">
        <v>3</v>
      </c>
      <c r="S1418" s="6" t="n">
        <v>0.2</v>
      </c>
      <c r="T1418" s="5" t="n">
        <v>12.06</v>
      </c>
      <c r="U1418" s="3" t="str">
        <f aca="false">IF(T1418&lt;0,"Loss",IF(T1418=0,"Break-even","Profit"))</f>
        <v>Profit</v>
      </c>
      <c r="V1418" s="3" t="str">
        <f aca="false">IF(Q1418&lt;100,"Low",IF(Q1418&lt;=500,"Medium","High"))</f>
        <v>Low</v>
      </c>
      <c r="W1418" s="3" t="n">
        <f aca="false">D1418-C1418</f>
        <v>0</v>
      </c>
      <c r="X1418" s="3" t="str">
        <f aca="false">TEXT(C1418,"mmmm")</f>
        <v>September</v>
      </c>
      <c r="Y1418" s="3" t="str">
        <f aca="false">LEFT(G1418,1)&amp;MID(G1418,FIND(" ",G1418)+1,1)</f>
        <v>WA</v>
      </c>
    </row>
    <row r="1419" customFormat="false" ht="15" hidden="false" customHeight="false" outlineLevel="0" collapsed="false">
      <c r="A1419" s="3" t="n">
        <v>1418</v>
      </c>
      <c r="B1419" s="3" t="s">
        <v>3171</v>
      </c>
      <c r="C1419" s="4" t="s">
        <v>3159</v>
      </c>
      <c r="D1419" s="4" t="s">
        <v>3159</v>
      </c>
      <c r="E1419" s="3" t="s">
        <v>53</v>
      </c>
      <c r="F1419" s="3" t="s">
        <v>862</v>
      </c>
      <c r="G1419" s="3" t="s">
        <v>863</v>
      </c>
      <c r="H1419" s="3" t="s">
        <v>56</v>
      </c>
      <c r="I1419" s="3" t="s">
        <v>32</v>
      </c>
      <c r="J1419" s="3" t="s">
        <v>381</v>
      </c>
      <c r="K1419" s="3" t="s">
        <v>58</v>
      </c>
      <c r="L1419" s="3" t="s">
        <v>59</v>
      </c>
      <c r="M1419" s="3" t="s">
        <v>447</v>
      </c>
      <c r="N1419" s="3" t="s">
        <v>89</v>
      </c>
      <c r="O1419" s="3" t="s">
        <v>323</v>
      </c>
      <c r="P1419" s="3" t="s">
        <v>448</v>
      </c>
      <c r="Q1419" s="5" t="n">
        <v>6100.48</v>
      </c>
      <c r="R1419" s="3" t="n">
        <v>9</v>
      </c>
      <c r="S1419" s="6" t="n">
        <v>0</v>
      </c>
      <c r="T1419" s="5" t="n">
        <v>918.25</v>
      </c>
      <c r="U1419" s="3" t="str">
        <f aca="false">IF(T1419&lt;0,"Loss",IF(T1419=0,"Break-even","Profit"))</f>
        <v>Profit</v>
      </c>
      <c r="V1419" s="3" t="str">
        <f aca="false">IF(Q1419&lt;100,"Low",IF(Q1419&lt;=500,"Medium","High"))</f>
        <v>High</v>
      </c>
      <c r="W1419" s="3" t="n">
        <f aca="false">D1419-C1419</f>
        <v>0</v>
      </c>
      <c r="X1419" s="3" t="str">
        <f aca="false">TEXT(C1419,"mmmm")</f>
        <v>September</v>
      </c>
      <c r="Y1419" s="3" t="str">
        <f aca="false">LEFT(G1419,1)&amp;MID(G1419,FIND(" ",G1419)+1,1)</f>
        <v>LG</v>
      </c>
    </row>
    <row r="1420" customFormat="false" ht="15" hidden="false" customHeight="false" outlineLevel="0" collapsed="false">
      <c r="A1420" s="3" t="n">
        <v>1419</v>
      </c>
      <c r="B1420" s="3" t="s">
        <v>3172</v>
      </c>
      <c r="C1420" s="4" t="s">
        <v>3159</v>
      </c>
      <c r="D1420" s="4" t="s">
        <v>3163</v>
      </c>
      <c r="E1420" s="3" t="s">
        <v>42</v>
      </c>
      <c r="F1420" s="3" t="s">
        <v>1853</v>
      </c>
      <c r="G1420" s="3" t="s">
        <v>1854</v>
      </c>
      <c r="H1420" s="3" t="s">
        <v>56</v>
      </c>
      <c r="I1420" s="3" t="s">
        <v>32</v>
      </c>
      <c r="J1420" s="3" t="s">
        <v>315</v>
      </c>
      <c r="K1420" s="3" t="s">
        <v>58</v>
      </c>
      <c r="L1420" s="3" t="s">
        <v>59</v>
      </c>
      <c r="M1420" s="3" t="s">
        <v>420</v>
      </c>
      <c r="N1420" s="3" t="s">
        <v>49</v>
      </c>
      <c r="O1420" s="3" t="s">
        <v>80</v>
      </c>
      <c r="P1420" s="3" t="s">
        <v>421</v>
      </c>
      <c r="Q1420" s="5" t="n">
        <v>297.07</v>
      </c>
      <c r="R1420" s="3" t="n">
        <v>6</v>
      </c>
      <c r="S1420" s="6" t="n">
        <v>0</v>
      </c>
      <c r="T1420" s="5" t="n">
        <v>33.97</v>
      </c>
      <c r="U1420" s="3" t="str">
        <f aca="false">IF(T1420&lt;0,"Loss",IF(T1420=0,"Break-even","Profit"))</f>
        <v>Profit</v>
      </c>
      <c r="V1420" s="3" t="str">
        <f aca="false">IF(Q1420&lt;100,"Low",IF(Q1420&lt;=500,"Medium","High"))</f>
        <v>Medium</v>
      </c>
      <c r="W1420" s="3" t="n">
        <f aca="false">D1420-C1420</f>
        <v>2</v>
      </c>
      <c r="X1420" s="3" t="str">
        <f aca="false">TEXT(C1420,"mmmm")</f>
        <v>September</v>
      </c>
      <c r="Y1420" s="3" t="str">
        <f aca="false">LEFT(G1420,1)&amp;MID(G1420,FIND(" ",G1420)+1,1)</f>
        <v>OT</v>
      </c>
    </row>
    <row r="1421" customFormat="false" ht="15" hidden="false" customHeight="false" outlineLevel="0" collapsed="false">
      <c r="A1421" s="3" t="n">
        <v>1420</v>
      </c>
      <c r="B1421" s="3" t="s">
        <v>3173</v>
      </c>
      <c r="C1421" s="4" t="s">
        <v>3163</v>
      </c>
      <c r="D1421" s="4" t="s">
        <v>3174</v>
      </c>
      <c r="E1421" s="3" t="s">
        <v>84</v>
      </c>
      <c r="F1421" s="3" t="s">
        <v>536</v>
      </c>
      <c r="G1421" s="3" t="s">
        <v>537</v>
      </c>
      <c r="H1421" s="3" t="s">
        <v>56</v>
      </c>
      <c r="I1421" s="3" t="s">
        <v>32</v>
      </c>
      <c r="J1421" s="3" t="s">
        <v>365</v>
      </c>
      <c r="K1421" s="3" t="s">
        <v>366</v>
      </c>
      <c r="L1421" s="3" t="s">
        <v>157</v>
      </c>
      <c r="M1421" s="3" t="s">
        <v>470</v>
      </c>
      <c r="N1421" s="3" t="s">
        <v>49</v>
      </c>
      <c r="O1421" s="3" t="s">
        <v>159</v>
      </c>
      <c r="P1421" s="3" t="s">
        <v>471</v>
      </c>
      <c r="Q1421" s="5" t="n">
        <v>289.26</v>
      </c>
      <c r="R1421" s="3" t="n">
        <v>12</v>
      </c>
      <c r="S1421" s="6" t="n">
        <v>0.3</v>
      </c>
      <c r="T1421" s="5" t="n">
        <v>-13.91</v>
      </c>
      <c r="U1421" s="3" t="str">
        <f aca="false">IF(T1421&lt;0,"Loss",IF(T1421=0,"Break-even","Profit"))</f>
        <v>Loss</v>
      </c>
      <c r="V1421" s="3" t="str">
        <f aca="false">IF(Q1421&lt;100,"Low",IF(Q1421&lt;=500,"Medium","High"))</f>
        <v>Medium</v>
      </c>
      <c r="W1421" s="3" t="n">
        <f aca="false">D1421-C1421</f>
        <v>4</v>
      </c>
      <c r="X1421" s="3" t="str">
        <f aca="false">TEXT(C1421,"mmmm")</f>
        <v>September</v>
      </c>
      <c r="Y1421" s="3" t="str">
        <f aca="false">LEFT(G1421,1)&amp;MID(G1421,FIND(" ",G1421)+1,1)</f>
        <v>EB</v>
      </c>
    </row>
    <row r="1422" customFormat="false" ht="15" hidden="false" customHeight="false" outlineLevel="0" collapsed="false">
      <c r="A1422" s="3" t="n">
        <v>1421</v>
      </c>
      <c r="B1422" s="3" t="s">
        <v>3175</v>
      </c>
      <c r="C1422" s="4" t="s">
        <v>3169</v>
      </c>
      <c r="D1422" s="4" t="s">
        <v>3176</v>
      </c>
      <c r="E1422" s="3" t="s">
        <v>28</v>
      </c>
      <c r="F1422" s="3" t="s">
        <v>1881</v>
      </c>
      <c r="G1422" s="3" t="s">
        <v>1882</v>
      </c>
      <c r="H1422" s="3" t="s">
        <v>31</v>
      </c>
      <c r="I1422" s="3" t="s">
        <v>32</v>
      </c>
      <c r="J1422" s="3" t="s">
        <v>104</v>
      </c>
      <c r="K1422" s="3" t="s">
        <v>96</v>
      </c>
      <c r="L1422" s="3" t="s">
        <v>59</v>
      </c>
      <c r="M1422" s="3" t="s">
        <v>88</v>
      </c>
      <c r="N1422" s="3" t="s">
        <v>89</v>
      </c>
      <c r="O1422" s="3" t="s">
        <v>90</v>
      </c>
      <c r="P1422" s="3" t="s">
        <v>91</v>
      </c>
      <c r="Q1422" s="5" t="n">
        <v>4191.67</v>
      </c>
      <c r="R1422" s="3" t="n">
        <v>11</v>
      </c>
      <c r="S1422" s="6" t="n">
        <v>0.2</v>
      </c>
      <c r="T1422" s="5" t="n">
        <v>-341.42</v>
      </c>
      <c r="U1422" s="3" t="str">
        <f aca="false">IF(T1422&lt;0,"Loss",IF(T1422=0,"Break-even","Profit"))</f>
        <v>Loss</v>
      </c>
      <c r="V1422" s="3" t="str">
        <f aca="false">IF(Q1422&lt;100,"Low",IF(Q1422&lt;=500,"Medium","High"))</f>
        <v>High</v>
      </c>
      <c r="W1422" s="3" t="n">
        <f aca="false">D1422-C1422</f>
        <v>5</v>
      </c>
      <c r="X1422" s="3" t="str">
        <f aca="false">TEXT(C1422,"mmmm")</f>
        <v>September</v>
      </c>
      <c r="Y1422" s="3" t="str">
        <f aca="false">LEFT(G1422,1)&amp;MID(G1422,FIND(" ",G1422)+1,1)</f>
        <v>SD</v>
      </c>
    </row>
    <row r="1423" customFormat="false" ht="15" hidden="false" customHeight="false" outlineLevel="0" collapsed="false">
      <c r="A1423" s="3" t="n">
        <v>1422</v>
      </c>
      <c r="B1423" s="3" t="s">
        <v>3177</v>
      </c>
      <c r="C1423" s="4" t="s">
        <v>3169</v>
      </c>
      <c r="D1423" s="4" t="s">
        <v>3178</v>
      </c>
      <c r="E1423" s="3" t="s">
        <v>84</v>
      </c>
      <c r="F1423" s="3" t="s">
        <v>1554</v>
      </c>
      <c r="G1423" s="3" t="s">
        <v>1555</v>
      </c>
      <c r="H1423" s="3" t="s">
        <v>56</v>
      </c>
      <c r="I1423" s="3" t="s">
        <v>32</v>
      </c>
      <c r="J1423" s="3" t="s">
        <v>315</v>
      </c>
      <c r="K1423" s="3" t="s">
        <v>58</v>
      </c>
      <c r="L1423" s="3" t="s">
        <v>59</v>
      </c>
      <c r="M1423" s="3" t="s">
        <v>461</v>
      </c>
      <c r="N1423" s="3" t="s">
        <v>37</v>
      </c>
      <c r="O1423" s="3" t="s">
        <v>71</v>
      </c>
      <c r="P1423" s="3" t="s">
        <v>462</v>
      </c>
      <c r="Q1423" s="5" t="n">
        <v>1208.38</v>
      </c>
      <c r="R1423" s="3" t="n">
        <v>5</v>
      </c>
      <c r="S1423" s="6" t="n">
        <v>0</v>
      </c>
      <c r="T1423" s="5" t="n">
        <v>59.54</v>
      </c>
      <c r="U1423" s="3" t="str">
        <f aca="false">IF(T1423&lt;0,"Loss",IF(T1423=0,"Break-even","Profit"))</f>
        <v>Profit</v>
      </c>
      <c r="V1423" s="3" t="str">
        <f aca="false">IF(Q1423&lt;100,"Low",IF(Q1423&lt;=500,"Medium","High"))</f>
        <v>High</v>
      </c>
      <c r="W1423" s="3" t="n">
        <f aca="false">D1423-C1423</f>
        <v>2</v>
      </c>
      <c r="X1423" s="3" t="str">
        <f aca="false">TEXT(C1423,"mmmm")</f>
        <v>September</v>
      </c>
      <c r="Y1423" s="3" t="str">
        <f aca="false">LEFT(G1423,1)&amp;MID(G1423,FIND(" ",G1423)+1,1)</f>
        <v>LJ</v>
      </c>
    </row>
    <row r="1424" customFormat="false" ht="15" hidden="false" customHeight="false" outlineLevel="0" collapsed="false">
      <c r="A1424" s="3" t="n">
        <v>1423</v>
      </c>
      <c r="B1424" s="3" t="s">
        <v>2589</v>
      </c>
      <c r="C1424" s="4" t="s">
        <v>3178</v>
      </c>
      <c r="D1424" s="4" t="s">
        <v>3179</v>
      </c>
      <c r="E1424" s="3" t="s">
        <v>84</v>
      </c>
      <c r="F1424" s="3" t="s">
        <v>1012</v>
      </c>
      <c r="G1424" s="3" t="s">
        <v>1013</v>
      </c>
      <c r="H1424" s="3" t="s">
        <v>31</v>
      </c>
      <c r="I1424" s="3" t="s">
        <v>32</v>
      </c>
      <c r="J1424" s="3" t="s">
        <v>616</v>
      </c>
      <c r="K1424" s="3" t="s">
        <v>156</v>
      </c>
      <c r="L1424" s="3" t="s">
        <v>157</v>
      </c>
      <c r="M1424" s="3" t="s">
        <v>290</v>
      </c>
      <c r="N1424" s="3" t="s">
        <v>37</v>
      </c>
      <c r="O1424" s="3" t="s">
        <v>38</v>
      </c>
      <c r="P1424" s="3" t="s">
        <v>291</v>
      </c>
      <c r="Q1424" s="5" t="n">
        <v>457.85</v>
      </c>
      <c r="R1424" s="3" t="n">
        <v>2</v>
      </c>
      <c r="S1424" s="6" t="n">
        <v>0.2</v>
      </c>
      <c r="T1424" s="5" t="n">
        <v>26.67</v>
      </c>
      <c r="U1424" s="3" t="str">
        <f aca="false">IF(T1424&lt;0,"Loss",IF(T1424=0,"Break-even","Profit"))</f>
        <v>Profit</v>
      </c>
      <c r="V1424" s="3" t="str">
        <f aca="false">IF(Q1424&lt;100,"Low",IF(Q1424&lt;=500,"Medium","High"))</f>
        <v>Medium</v>
      </c>
      <c r="W1424" s="3" t="n">
        <f aca="false">D1424-C1424</f>
        <v>2</v>
      </c>
      <c r="X1424" s="3" t="str">
        <f aca="false">TEXT(C1424,"mmmm")</f>
        <v>September</v>
      </c>
      <c r="Y1424" s="3" t="str">
        <f aca="false">LEFT(G1424,1)&amp;MID(G1424,FIND(" ",G1424)+1,1)</f>
        <v>JD</v>
      </c>
    </row>
    <row r="1425" customFormat="false" ht="15" hidden="false" customHeight="false" outlineLevel="0" collapsed="false">
      <c r="A1425" s="3" t="n">
        <v>1424</v>
      </c>
      <c r="B1425" s="3" t="s">
        <v>2623</v>
      </c>
      <c r="C1425" s="4" t="s">
        <v>3178</v>
      </c>
      <c r="D1425" s="4" t="s">
        <v>3176</v>
      </c>
      <c r="E1425" s="3" t="s">
        <v>84</v>
      </c>
      <c r="F1425" s="3" t="s">
        <v>653</v>
      </c>
      <c r="G1425" s="3" t="s">
        <v>654</v>
      </c>
      <c r="H1425" s="3" t="s">
        <v>45</v>
      </c>
      <c r="I1425" s="3" t="s">
        <v>32</v>
      </c>
      <c r="J1425" s="3" t="s">
        <v>33</v>
      </c>
      <c r="K1425" s="3" t="s">
        <v>34</v>
      </c>
      <c r="L1425" s="3" t="s">
        <v>35</v>
      </c>
      <c r="M1425" s="3" t="s">
        <v>253</v>
      </c>
      <c r="N1425" s="3" t="s">
        <v>89</v>
      </c>
      <c r="O1425" s="3" t="s">
        <v>90</v>
      </c>
      <c r="P1425" s="3" t="s">
        <v>254</v>
      </c>
      <c r="Q1425" s="5" t="n">
        <v>624.67</v>
      </c>
      <c r="R1425" s="3" t="n">
        <v>3</v>
      </c>
      <c r="S1425" s="6" t="n">
        <v>0.5</v>
      </c>
      <c r="T1425" s="5" t="n">
        <v>-105.46</v>
      </c>
      <c r="U1425" s="3" t="str">
        <f aca="false">IF(T1425&lt;0,"Loss",IF(T1425=0,"Break-even","Profit"))</f>
        <v>Loss</v>
      </c>
      <c r="V1425" s="3" t="str">
        <f aca="false">IF(Q1425&lt;100,"Low",IF(Q1425&lt;=500,"Medium","High"))</f>
        <v>High</v>
      </c>
      <c r="W1425" s="3" t="n">
        <f aca="false">D1425-C1425</f>
        <v>3</v>
      </c>
      <c r="X1425" s="3" t="str">
        <f aca="false">TEXT(C1425,"mmmm")</f>
        <v>September</v>
      </c>
      <c r="Y1425" s="3" t="str">
        <f aca="false">LEFT(G1425,1)&amp;MID(G1425,FIND(" ",G1425)+1,1)</f>
        <v>MT</v>
      </c>
    </row>
    <row r="1426" customFormat="false" ht="15" hidden="false" customHeight="false" outlineLevel="0" collapsed="false">
      <c r="A1426" s="3" t="n">
        <v>1425</v>
      </c>
      <c r="B1426" s="3" t="s">
        <v>3180</v>
      </c>
      <c r="C1426" s="4" t="s">
        <v>3174</v>
      </c>
      <c r="D1426" s="4" t="s">
        <v>3181</v>
      </c>
      <c r="E1426" s="3" t="s">
        <v>28</v>
      </c>
      <c r="F1426" s="3" t="s">
        <v>602</v>
      </c>
      <c r="G1426" s="3" t="s">
        <v>603</v>
      </c>
      <c r="H1426" s="3" t="s">
        <v>56</v>
      </c>
      <c r="I1426" s="3" t="s">
        <v>32</v>
      </c>
      <c r="J1426" s="3" t="s">
        <v>306</v>
      </c>
      <c r="K1426" s="3" t="s">
        <v>307</v>
      </c>
      <c r="L1426" s="3" t="s">
        <v>69</v>
      </c>
      <c r="M1426" s="3" t="s">
        <v>225</v>
      </c>
      <c r="N1426" s="3" t="s">
        <v>37</v>
      </c>
      <c r="O1426" s="3" t="s">
        <v>196</v>
      </c>
      <c r="P1426" s="3" t="s">
        <v>226</v>
      </c>
      <c r="Q1426" s="5" t="n">
        <v>8782.37</v>
      </c>
      <c r="R1426" s="3" t="n">
        <v>6</v>
      </c>
      <c r="S1426" s="6" t="n">
        <v>0</v>
      </c>
      <c r="T1426" s="5" t="n">
        <v>-25.85</v>
      </c>
      <c r="U1426" s="3" t="str">
        <f aca="false">IF(T1426&lt;0,"Loss",IF(T1426=0,"Break-even","Profit"))</f>
        <v>Loss</v>
      </c>
      <c r="V1426" s="3" t="str">
        <f aca="false">IF(Q1426&lt;100,"Low",IF(Q1426&lt;=500,"Medium","High"))</f>
        <v>High</v>
      </c>
      <c r="W1426" s="3" t="n">
        <f aca="false">D1426-C1426</f>
        <v>3</v>
      </c>
      <c r="X1426" s="3" t="str">
        <f aca="false">TEXT(C1426,"mmmm")</f>
        <v>September</v>
      </c>
      <c r="Y1426" s="3" t="str">
        <f aca="false">LEFT(G1426,1)&amp;MID(G1426,FIND(" ",G1426)+1,1)</f>
        <v>SR</v>
      </c>
    </row>
    <row r="1427" customFormat="false" ht="15" hidden="false" customHeight="false" outlineLevel="0" collapsed="false">
      <c r="A1427" s="3" t="n">
        <v>1426</v>
      </c>
      <c r="B1427" s="3" t="s">
        <v>3182</v>
      </c>
      <c r="C1427" s="4" t="s">
        <v>3174</v>
      </c>
      <c r="D1427" s="4" t="s">
        <v>3181</v>
      </c>
      <c r="E1427" s="3" t="s">
        <v>28</v>
      </c>
      <c r="F1427" s="3" t="s">
        <v>812</v>
      </c>
      <c r="G1427" s="3" t="s">
        <v>813</v>
      </c>
      <c r="H1427" s="3" t="s">
        <v>31</v>
      </c>
      <c r="I1427" s="3" t="s">
        <v>32</v>
      </c>
      <c r="J1427" s="3" t="s">
        <v>46</v>
      </c>
      <c r="K1427" s="3" t="s">
        <v>47</v>
      </c>
      <c r="L1427" s="3" t="s">
        <v>35</v>
      </c>
      <c r="M1427" s="3" t="s">
        <v>165</v>
      </c>
      <c r="N1427" s="3" t="s">
        <v>89</v>
      </c>
      <c r="O1427" s="3" t="s">
        <v>166</v>
      </c>
      <c r="P1427" s="3" t="s">
        <v>167</v>
      </c>
      <c r="Q1427" s="5" t="n">
        <v>840.28</v>
      </c>
      <c r="R1427" s="3" t="n">
        <v>1</v>
      </c>
      <c r="S1427" s="6" t="n">
        <v>0.1</v>
      </c>
      <c r="T1427" s="5" t="n">
        <v>113.54</v>
      </c>
      <c r="U1427" s="3" t="str">
        <f aca="false">IF(T1427&lt;0,"Loss",IF(T1427=0,"Break-even","Profit"))</f>
        <v>Profit</v>
      </c>
      <c r="V1427" s="3" t="str">
        <f aca="false">IF(Q1427&lt;100,"Low",IF(Q1427&lt;=500,"Medium","High"))</f>
        <v>High</v>
      </c>
      <c r="W1427" s="3" t="n">
        <f aca="false">D1427-C1427</f>
        <v>3</v>
      </c>
      <c r="X1427" s="3" t="str">
        <f aca="false">TEXT(C1427,"mmmm")</f>
        <v>September</v>
      </c>
      <c r="Y1427" s="3" t="str">
        <f aca="false">LEFT(G1427,1)&amp;MID(G1427,FIND(" ",G1427)+1,1)</f>
        <v>AG</v>
      </c>
    </row>
    <row r="1428" customFormat="false" ht="15" hidden="false" customHeight="false" outlineLevel="0" collapsed="false">
      <c r="A1428" s="3" t="n">
        <v>1427</v>
      </c>
      <c r="B1428" s="3" t="s">
        <v>3183</v>
      </c>
      <c r="C1428" s="4" t="s">
        <v>3179</v>
      </c>
      <c r="D1428" s="4" t="s">
        <v>3184</v>
      </c>
      <c r="E1428" s="3" t="s">
        <v>84</v>
      </c>
      <c r="F1428" s="3" t="s">
        <v>900</v>
      </c>
      <c r="G1428" s="3" t="s">
        <v>901</v>
      </c>
      <c r="H1428" s="3" t="s">
        <v>56</v>
      </c>
      <c r="I1428" s="3" t="s">
        <v>32</v>
      </c>
      <c r="J1428" s="3" t="s">
        <v>171</v>
      </c>
      <c r="K1428" s="3" t="s">
        <v>172</v>
      </c>
      <c r="L1428" s="3" t="s">
        <v>157</v>
      </c>
      <c r="M1428" s="3" t="s">
        <v>48</v>
      </c>
      <c r="N1428" s="3" t="s">
        <v>49</v>
      </c>
      <c r="O1428" s="3" t="s">
        <v>50</v>
      </c>
      <c r="P1428" s="3" t="s">
        <v>51</v>
      </c>
      <c r="Q1428" s="5" t="n">
        <v>650.71</v>
      </c>
      <c r="R1428" s="3" t="n">
        <v>7</v>
      </c>
      <c r="S1428" s="6" t="n">
        <v>0</v>
      </c>
      <c r="T1428" s="5" t="n">
        <v>-38.44</v>
      </c>
      <c r="U1428" s="3" t="str">
        <f aca="false">IF(T1428&lt;0,"Loss",IF(T1428=0,"Break-even","Profit"))</f>
        <v>Loss</v>
      </c>
      <c r="V1428" s="3" t="str">
        <f aca="false">IF(Q1428&lt;100,"Low",IF(Q1428&lt;=500,"Medium","High"))</f>
        <v>High</v>
      </c>
      <c r="W1428" s="3" t="n">
        <f aca="false">D1428-C1428</f>
        <v>4</v>
      </c>
      <c r="X1428" s="3" t="str">
        <f aca="false">TEXT(C1428,"mmmm")</f>
        <v>September</v>
      </c>
      <c r="Y1428" s="3" t="str">
        <f aca="false">LEFT(G1428,1)&amp;MID(G1428,FIND(" ",G1428)+1,1)</f>
        <v>JM</v>
      </c>
    </row>
    <row r="1429" customFormat="false" ht="15" hidden="false" customHeight="false" outlineLevel="0" collapsed="false">
      <c r="A1429" s="3" t="n">
        <v>1428</v>
      </c>
      <c r="B1429" s="3" t="s">
        <v>3185</v>
      </c>
      <c r="C1429" s="4" t="s">
        <v>3179</v>
      </c>
      <c r="D1429" s="4" t="s">
        <v>3186</v>
      </c>
      <c r="E1429" s="3" t="s">
        <v>28</v>
      </c>
      <c r="F1429" s="3" t="s">
        <v>1174</v>
      </c>
      <c r="G1429" s="3" t="s">
        <v>1175</v>
      </c>
      <c r="H1429" s="3" t="s">
        <v>56</v>
      </c>
      <c r="I1429" s="3" t="s">
        <v>32</v>
      </c>
      <c r="J1429" s="3" t="s">
        <v>215</v>
      </c>
      <c r="K1429" s="3" t="s">
        <v>34</v>
      </c>
      <c r="L1429" s="3" t="s">
        <v>35</v>
      </c>
      <c r="M1429" s="3" t="s">
        <v>420</v>
      </c>
      <c r="N1429" s="3" t="s">
        <v>49</v>
      </c>
      <c r="O1429" s="3" t="s">
        <v>80</v>
      </c>
      <c r="P1429" s="3" t="s">
        <v>421</v>
      </c>
      <c r="Q1429" s="5" t="n">
        <v>110.73</v>
      </c>
      <c r="R1429" s="3" t="n">
        <v>5</v>
      </c>
      <c r="S1429" s="6" t="n">
        <v>0.1</v>
      </c>
      <c r="T1429" s="5" t="n">
        <v>33.31</v>
      </c>
      <c r="U1429" s="3" t="str">
        <f aca="false">IF(T1429&lt;0,"Loss",IF(T1429=0,"Break-even","Profit"))</f>
        <v>Profit</v>
      </c>
      <c r="V1429" s="3" t="str">
        <f aca="false">IF(Q1429&lt;100,"Low",IF(Q1429&lt;=500,"Medium","High"))</f>
        <v>Medium</v>
      </c>
      <c r="W1429" s="3" t="n">
        <f aca="false">D1429-C1429</f>
        <v>6</v>
      </c>
      <c r="X1429" s="3" t="str">
        <f aca="false">TEXT(C1429,"mmmm")</f>
        <v>September</v>
      </c>
      <c r="Y1429" s="3" t="str">
        <f aca="false">LEFT(G1429,1)&amp;MID(G1429,FIND(" ",G1429)+1,1)</f>
        <v>AB</v>
      </c>
    </row>
    <row r="1430" customFormat="false" ht="15" hidden="false" customHeight="false" outlineLevel="0" collapsed="false">
      <c r="A1430" s="3" t="n">
        <v>1429</v>
      </c>
      <c r="B1430" s="3" t="s">
        <v>3187</v>
      </c>
      <c r="C1430" s="4" t="s">
        <v>3176</v>
      </c>
      <c r="D1430" s="4" t="s">
        <v>3188</v>
      </c>
      <c r="E1430" s="3" t="s">
        <v>28</v>
      </c>
      <c r="F1430" s="3" t="s">
        <v>905</v>
      </c>
      <c r="G1430" s="3" t="s">
        <v>906</v>
      </c>
      <c r="H1430" s="3" t="s">
        <v>56</v>
      </c>
      <c r="I1430" s="3" t="s">
        <v>32</v>
      </c>
      <c r="J1430" s="3" t="s">
        <v>873</v>
      </c>
      <c r="K1430" s="3" t="s">
        <v>387</v>
      </c>
      <c r="L1430" s="3" t="s">
        <v>35</v>
      </c>
      <c r="M1430" s="3" t="s">
        <v>420</v>
      </c>
      <c r="N1430" s="3" t="s">
        <v>49</v>
      </c>
      <c r="O1430" s="3" t="s">
        <v>80</v>
      </c>
      <c r="P1430" s="3" t="s">
        <v>421</v>
      </c>
      <c r="Q1430" s="5" t="n">
        <v>865.86</v>
      </c>
      <c r="R1430" s="3" t="n">
        <v>12</v>
      </c>
      <c r="S1430" s="6" t="n">
        <v>0.2</v>
      </c>
      <c r="T1430" s="5" t="n">
        <v>49.51</v>
      </c>
      <c r="U1430" s="3" t="str">
        <f aca="false">IF(T1430&lt;0,"Loss",IF(T1430=0,"Break-even","Profit"))</f>
        <v>Profit</v>
      </c>
      <c r="V1430" s="3" t="str">
        <f aca="false">IF(Q1430&lt;100,"Low",IF(Q1430&lt;=500,"Medium","High"))</f>
        <v>High</v>
      </c>
      <c r="W1430" s="3" t="n">
        <f aca="false">D1430-C1430</f>
        <v>4</v>
      </c>
      <c r="X1430" s="3" t="str">
        <f aca="false">TEXT(C1430,"mmmm")</f>
        <v>September</v>
      </c>
      <c r="Y1430" s="3" t="str">
        <f aca="false">LEFT(G1430,1)&amp;MID(G1430,FIND(" ",G1430)+1,1)</f>
        <v>SB</v>
      </c>
    </row>
    <row r="1431" customFormat="false" ht="15" hidden="false" customHeight="false" outlineLevel="0" collapsed="false">
      <c r="A1431" s="3" t="n">
        <v>1430</v>
      </c>
      <c r="B1431" s="3" t="s">
        <v>3189</v>
      </c>
      <c r="C1431" s="4" t="s">
        <v>3181</v>
      </c>
      <c r="D1431" s="4" t="s">
        <v>3190</v>
      </c>
      <c r="E1431" s="3" t="s">
        <v>28</v>
      </c>
      <c r="F1431" s="3" t="s">
        <v>118</v>
      </c>
      <c r="G1431" s="3" t="s">
        <v>119</v>
      </c>
      <c r="H1431" s="3" t="s">
        <v>56</v>
      </c>
      <c r="I1431" s="3" t="s">
        <v>32</v>
      </c>
      <c r="J1431" s="3" t="s">
        <v>315</v>
      </c>
      <c r="K1431" s="3" t="s">
        <v>58</v>
      </c>
      <c r="L1431" s="3" t="s">
        <v>59</v>
      </c>
      <c r="M1431" s="3" t="s">
        <v>322</v>
      </c>
      <c r="N1431" s="3" t="s">
        <v>89</v>
      </c>
      <c r="O1431" s="3" t="s">
        <v>323</v>
      </c>
      <c r="P1431" s="3" t="s">
        <v>324</v>
      </c>
      <c r="Q1431" s="5" t="n">
        <v>6184.44</v>
      </c>
      <c r="R1431" s="3" t="n">
        <v>10</v>
      </c>
      <c r="S1431" s="6" t="n">
        <v>0</v>
      </c>
      <c r="T1431" s="5" t="n">
        <v>1215.77</v>
      </c>
      <c r="U1431" s="3" t="str">
        <f aca="false">IF(T1431&lt;0,"Loss",IF(T1431=0,"Break-even","Profit"))</f>
        <v>Profit</v>
      </c>
      <c r="V1431" s="3" t="str">
        <f aca="false">IF(Q1431&lt;100,"Low",IF(Q1431&lt;=500,"Medium","High"))</f>
        <v>High</v>
      </c>
      <c r="W1431" s="3" t="n">
        <f aca="false">D1431-C1431</f>
        <v>7</v>
      </c>
      <c r="X1431" s="3" t="str">
        <f aca="false">TEXT(C1431,"mmmm")</f>
        <v>September</v>
      </c>
      <c r="Y1431" s="3" t="str">
        <f aca="false">LEFT(G1431,1)&amp;MID(G1431,FIND(" ",G1431)+1,1)</f>
        <v>LN</v>
      </c>
    </row>
    <row r="1432" customFormat="false" ht="15" hidden="false" customHeight="false" outlineLevel="0" collapsed="false">
      <c r="A1432" s="3" t="n">
        <v>1431</v>
      </c>
      <c r="B1432" s="3" t="s">
        <v>3191</v>
      </c>
      <c r="C1432" s="4" t="s">
        <v>3181</v>
      </c>
      <c r="D1432" s="4" t="s">
        <v>3192</v>
      </c>
      <c r="E1432" s="3" t="s">
        <v>28</v>
      </c>
      <c r="F1432" s="3" t="s">
        <v>686</v>
      </c>
      <c r="G1432" s="3" t="s">
        <v>687</v>
      </c>
      <c r="H1432" s="3" t="s">
        <v>45</v>
      </c>
      <c r="I1432" s="3" t="s">
        <v>32</v>
      </c>
      <c r="J1432" s="3" t="s">
        <v>179</v>
      </c>
      <c r="K1432" s="3" t="s">
        <v>47</v>
      </c>
      <c r="L1432" s="3" t="s">
        <v>35</v>
      </c>
      <c r="M1432" s="3" t="s">
        <v>253</v>
      </c>
      <c r="N1432" s="3" t="s">
        <v>89</v>
      </c>
      <c r="O1432" s="3" t="s">
        <v>90</v>
      </c>
      <c r="P1432" s="3" t="s">
        <v>254</v>
      </c>
      <c r="Q1432" s="5" t="n">
        <v>2074.05</v>
      </c>
      <c r="R1432" s="3" t="n">
        <v>14</v>
      </c>
      <c r="S1432" s="6" t="n">
        <v>0.4</v>
      </c>
      <c r="T1432" s="5" t="n">
        <v>-225.73</v>
      </c>
      <c r="U1432" s="3" t="str">
        <f aca="false">IF(T1432&lt;0,"Loss",IF(T1432=0,"Break-even","Profit"))</f>
        <v>Loss</v>
      </c>
      <c r="V1432" s="3" t="str">
        <f aca="false">IF(Q1432&lt;100,"Low",IF(Q1432&lt;=500,"Medium","High"))</f>
        <v>High</v>
      </c>
      <c r="W1432" s="3" t="n">
        <f aca="false">D1432-C1432</f>
        <v>6</v>
      </c>
      <c r="X1432" s="3" t="str">
        <f aca="false">TEXT(C1432,"mmmm")</f>
        <v>September</v>
      </c>
      <c r="Y1432" s="3" t="str">
        <f aca="false">LEFT(G1432,1)&amp;MID(G1432,FIND(" ",G1432)+1,1)</f>
        <v>EN</v>
      </c>
    </row>
    <row r="1433" customFormat="false" ht="15" hidden="false" customHeight="false" outlineLevel="0" collapsed="false">
      <c r="A1433" s="3" t="n">
        <v>1432</v>
      </c>
      <c r="B1433" s="3" t="s">
        <v>3193</v>
      </c>
      <c r="C1433" s="4" t="s">
        <v>3194</v>
      </c>
      <c r="D1433" s="4" t="s">
        <v>3192</v>
      </c>
      <c r="E1433" s="3" t="s">
        <v>28</v>
      </c>
      <c r="F1433" s="3" t="s">
        <v>755</v>
      </c>
      <c r="G1433" s="3" t="s">
        <v>756</v>
      </c>
      <c r="H1433" s="3" t="s">
        <v>45</v>
      </c>
      <c r="I1433" s="3" t="s">
        <v>32</v>
      </c>
      <c r="J1433" s="3" t="s">
        <v>46</v>
      </c>
      <c r="K1433" s="3" t="s">
        <v>47</v>
      </c>
      <c r="L1433" s="3" t="s">
        <v>35</v>
      </c>
      <c r="M1433" s="3" t="s">
        <v>127</v>
      </c>
      <c r="N1433" s="3" t="s">
        <v>49</v>
      </c>
      <c r="O1433" s="3" t="s">
        <v>61</v>
      </c>
      <c r="P1433" s="3" t="s">
        <v>128</v>
      </c>
      <c r="Q1433" s="5" t="n">
        <v>126.75</v>
      </c>
      <c r="R1433" s="3" t="n">
        <v>9</v>
      </c>
      <c r="S1433" s="6" t="n">
        <v>0.3</v>
      </c>
      <c r="T1433" s="5" t="n">
        <v>-11.39</v>
      </c>
      <c r="U1433" s="3" t="str">
        <f aca="false">IF(T1433&lt;0,"Loss",IF(T1433=0,"Break-even","Profit"))</f>
        <v>Loss</v>
      </c>
      <c r="V1433" s="3" t="str">
        <f aca="false">IF(Q1433&lt;100,"Low",IF(Q1433&lt;=500,"Medium","High"))</f>
        <v>Medium</v>
      </c>
      <c r="W1433" s="3" t="n">
        <f aca="false">D1433-C1433</f>
        <v>5</v>
      </c>
      <c r="X1433" s="3" t="str">
        <f aca="false">TEXT(C1433,"mmmm")</f>
        <v>September</v>
      </c>
      <c r="Y1433" s="3" t="str">
        <f aca="false">LEFT(G1433,1)&amp;MID(G1433,FIND(" ",G1433)+1,1)</f>
        <v>MA</v>
      </c>
    </row>
    <row r="1434" customFormat="false" ht="15" hidden="false" customHeight="false" outlineLevel="0" collapsed="false">
      <c r="A1434" s="3" t="n">
        <v>1433</v>
      </c>
      <c r="B1434" s="3" t="s">
        <v>3195</v>
      </c>
      <c r="C1434" s="4" t="s">
        <v>3194</v>
      </c>
      <c r="D1434" s="4" t="s">
        <v>3196</v>
      </c>
      <c r="E1434" s="3" t="s">
        <v>28</v>
      </c>
      <c r="F1434" s="3" t="s">
        <v>283</v>
      </c>
      <c r="G1434" s="3" t="s">
        <v>284</v>
      </c>
      <c r="H1434" s="3" t="s">
        <v>56</v>
      </c>
      <c r="I1434" s="3" t="s">
        <v>32</v>
      </c>
      <c r="J1434" s="3" t="s">
        <v>208</v>
      </c>
      <c r="K1434" s="3" t="s">
        <v>134</v>
      </c>
      <c r="L1434" s="3" t="s">
        <v>69</v>
      </c>
      <c r="M1434" s="3" t="s">
        <v>195</v>
      </c>
      <c r="N1434" s="3" t="s">
        <v>37</v>
      </c>
      <c r="O1434" s="3" t="s">
        <v>196</v>
      </c>
      <c r="P1434" s="3" t="s">
        <v>197</v>
      </c>
      <c r="Q1434" s="5" t="n">
        <v>9775.5</v>
      </c>
      <c r="R1434" s="3" t="n">
        <v>7</v>
      </c>
      <c r="S1434" s="6" t="n">
        <v>0.5</v>
      </c>
      <c r="T1434" s="5" t="n">
        <v>-542.62</v>
      </c>
      <c r="U1434" s="3" t="str">
        <f aca="false">IF(T1434&lt;0,"Loss",IF(T1434=0,"Break-even","Profit"))</f>
        <v>Loss</v>
      </c>
      <c r="V1434" s="3" t="str">
        <f aca="false">IF(Q1434&lt;100,"Low",IF(Q1434&lt;=500,"Medium","High"))</f>
        <v>High</v>
      </c>
      <c r="W1434" s="3" t="n">
        <f aca="false">D1434-C1434</f>
        <v>7</v>
      </c>
      <c r="X1434" s="3" t="str">
        <f aca="false">TEXT(C1434,"mmmm")</f>
        <v>September</v>
      </c>
      <c r="Y1434" s="3" t="str">
        <f aca="false">LEFT(G1434,1)&amp;MID(G1434,FIND(" ",G1434)+1,1)</f>
        <v>OS</v>
      </c>
    </row>
    <row r="1435" customFormat="false" ht="15" hidden="false" customHeight="false" outlineLevel="0" collapsed="false">
      <c r="A1435" s="3" t="n">
        <v>1434</v>
      </c>
      <c r="B1435" s="3" t="s">
        <v>3197</v>
      </c>
      <c r="C1435" s="4" t="s">
        <v>3184</v>
      </c>
      <c r="D1435" s="4" t="s">
        <v>3198</v>
      </c>
      <c r="E1435" s="3" t="s">
        <v>28</v>
      </c>
      <c r="F1435" s="3" t="s">
        <v>338</v>
      </c>
      <c r="G1435" s="3" t="s">
        <v>469</v>
      </c>
      <c r="H1435" s="3" t="s">
        <v>56</v>
      </c>
      <c r="I1435" s="3" t="s">
        <v>32</v>
      </c>
      <c r="J1435" s="3" t="s">
        <v>243</v>
      </c>
      <c r="K1435" s="3" t="s">
        <v>244</v>
      </c>
      <c r="L1435" s="3" t="s">
        <v>157</v>
      </c>
      <c r="M1435" s="3" t="s">
        <v>461</v>
      </c>
      <c r="N1435" s="3" t="s">
        <v>37</v>
      </c>
      <c r="O1435" s="3" t="s">
        <v>71</v>
      </c>
      <c r="P1435" s="3" t="s">
        <v>462</v>
      </c>
      <c r="Q1435" s="5" t="n">
        <v>1228.03</v>
      </c>
      <c r="R1435" s="3" t="n">
        <v>3</v>
      </c>
      <c r="S1435" s="6" t="n">
        <v>0</v>
      </c>
      <c r="T1435" s="5" t="n">
        <v>-141.14</v>
      </c>
      <c r="U1435" s="3" t="str">
        <f aca="false">IF(T1435&lt;0,"Loss",IF(T1435=0,"Break-even","Profit"))</f>
        <v>Loss</v>
      </c>
      <c r="V1435" s="3" t="str">
        <f aca="false">IF(Q1435&lt;100,"Low",IF(Q1435&lt;=500,"Medium","High"))</f>
        <v>High</v>
      </c>
      <c r="W1435" s="3" t="n">
        <f aca="false">D1435-C1435</f>
        <v>7</v>
      </c>
      <c r="X1435" s="3" t="str">
        <f aca="false">TEXT(C1435,"mmmm")</f>
        <v>September</v>
      </c>
      <c r="Y1435" s="3" t="str">
        <f aca="false">LEFT(G1435,1)&amp;MID(G1435,FIND(" ",G1435)+1,1)</f>
        <v>WJ</v>
      </c>
    </row>
    <row r="1436" customFormat="false" ht="15" hidden="false" customHeight="false" outlineLevel="0" collapsed="false">
      <c r="A1436" s="3" t="n">
        <v>1435</v>
      </c>
      <c r="B1436" s="3" t="s">
        <v>3009</v>
      </c>
      <c r="C1436" s="4" t="s">
        <v>3184</v>
      </c>
      <c r="D1436" s="4" t="s">
        <v>3192</v>
      </c>
      <c r="E1436" s="3" t="s">
        <v>84</v>
      </c>
      <c r="F1436" s="3" t="s">
        <v>1613</v>
      </c>
      <c r="G1436" s="3" t="s">
        <v>1614</v>
      </c>
      <c r="H1436" s="3" t="s">
        <v>56</v>
      </c>
      <c r="I1436" s="3" t="s">
        <v>32</v>
      </c>
      <c r="J1436" s="3" t="s">
        <v>188</v>
      </c>
      <c r="K1436" s="3" t="s">
        <v>189</v>
      </c>
      <c r="L1436" s="3" t="s">
        <v>59</v>
      </c>
      <c r="M1436" s="3" t="s">
        <v>70</v>
      </c>
      <c r="N1436" s="3" t="s">
        <v>37</v>
      </c>
      <c r="O1436" s="3" t="s">
        <v>71</v>
      </c>
      <c r="P1436" s="3" t="s">
        <v>72</v>
      </c>
      <c r="Q1436" s="5" t="n">
        <v>649.92</v>
      </c>
      <c r="R1436" s="3" t="n">
        <v>1</v>
      </c>
      <c r="S1436" s="6" t="n">
        <v>0.4</v>
      </c>
      <c r="T1436" s="5" t="n">
        <v>-76.16</v>
      </c>
      <c r="U1436" s="3" t="str">
        <f aca="false">IF(T1436&lt;0,"Loss",IF(T1436=0,"Break-even","Profit"))</f>
        <v>Loss</v>
      </c>
      <c r="V1436" s="3" t="str">
        <f aca="false">IF(Q1436&lt;100,"Low",IF(Q1436&lt;=500,"Medium","High"))</f>
        <v>High</v>
      </c>
      <c r="W1436" s="3" t="n">
        <f aca="false">D1436-C1436</f>
        <v>4</v>
      </c>
      <c r="X1436" s="3" t="str">
        <f aca="false">TEXT(C1436,"mmmm")</f>
        <v>September</v>
      </c>
      <c r="Y1436" s="3" t="str">
        <f aca="false">LEFT(G1436,1)&amp;MID(G1436,FIND(" ",G1436)+1,1)</f>
        <v>PN</v>
      </c>
    </row>
    <row r="1437" customFormat="false" ht="15" hidden="false" customHeight="false" outlineLevel="0" collapsed="false">
      <c r="A1437" s="3" t="n">
        <v>1436</v>
      </c>
      <c r="B1437" s="3" t="s">
        <v>3199</v>
      </c>
      <c r="C1437" s="4" t="s">
        <v>3184</v>
      </c>
      <c r="D1437" s="4" t="s">
        <v>3198</v>
      </c>
      <c r="E1437" s="3" t="s">
        <v>28</v>
      </c>
      <c r="F1437" s="3" t="s">
        <v>313</v>
      </c>
      <c r="G1437" s="3" t="s">
        <v>314</v>
      </c>
      <c r="H1437" s="3" t="s">
        <v>45</v>
      </c>
      <c r="I1437" s="3" t="s">
        <v>32</v>
      </c>
      <c r="J1437" s="3" t="s">
        <v>873</v>
      </c>
      <c r="K1437" s="3" t="s">
        <v>387</v>
      </c>
      <c r="L1437" s="3" t="s">
        <v>35</v>
      </c>
      <c r="M1437" s="3" t="s">
        <v>470</v>
      </c>
      <c r="N1437" s="3" t="s">
        <v>49</v>
      </c>
      <c r="O1437" s="3" t="s">
        <v>159</v>
      </c>
      <c r="P1437" s="3" t="s">
        <v>471</v>
      </c>
      <c r="Q1437" s="5" t="n">
        <v>977.2</v>
      </c>
      <c r="R1437" s="3" t="n">
        <v>12</v>
      </c>
      <c r="S1437" s="6" t="n">
        <v>0.1</v>
      </c>
      <c r="T1437" s="5" t="n">
        <v>-106.51</v>
      </c>
      <c r="U1437" s="3" t="str">
        <f aca="false">IF(T1437&lt;0,"Loss",IF(T1437=0,"Break-even","Profit"))</f>
        <v>Loss</v>
      </c>
      <c r="V1437" s="3" t="str">
        <f aca="false">IF(Q1437&lt;100,"Low",IF(Q1437&lt;=500,"Medium","High"))</f>
        <v>High</v>
      </c>
      <c r="W1437" s="3" t="n">
        <f aca="false">D1437-C1437</f>
        <v>7</v>
      </c>
      <c r="X1437" s="3" t="str">
        <f aca="false">TEXT(C1437,"mmmm")</f>
        <v>September</v>
      </c>
      <c r="Y1437" s="3" t="str">
        <f aca="false">LEFT(G1437,1)&amp;MID(G1437,FIND(" ",G1437)+1,1)</f>
        <v>JK</v>
      </c>
    </row>
    <row r="1438" customFormat="false" ht="15" hidden="false" customHeight="false" outlineLevel="0" collapsed="false">
      <c r="A1438" s="3" t="n">
        <v>1437</v>
      </c>
      <c r="B1438" s="3" t="s">
        <v>2860</v>
      </c>
      <c r="C1438" s="4" t="s">
        <v>3188</v>
      </c>
      <c r="D1438" s="4" t="s">
        <v>3200</v>
      </c>
      <c r="E1438" s="3" t="s">
        <v>42</v>
      </c>
      <c r="F1438" s="3" t="s">
        <v>1395</v>
      </c>
      <c r="G1438" s="3" t="s">
        <v>1396</v>
      </c>
      <c r="H1438" s="3" t="s">
        <v>31</v>
      </c>
      <c r="I1438" s="3" t="s">
        <v>32</v>
      </c>
      <c r="J1438" s="3" t="s">
        <v>548</v>
      </c>
      <c r="K1438" s="3" t="s">
        <v>244</v>
      </c>
      <c r="L1438" s="3" t="s">
        <v>157</v>
      </c>
      <c r="M1438" s="3" t="s">
        <v>158</v>
      </c>
      <c r="N1438" s="3" t="s">
        <v>49</v>
      </c>
      <c r="O1438" s="3" t="s">
        <v>159</v>
      </c>
      <c r="P1438" s="3" t="s">
        <v>160</v>
      </c>
      <c r="Q1438" s="5" t="n">
        <v>615.32</v>
      </c>
      <c r="R1438" s="3" t="n">
        <v>7</v>
      </c>
      <c r="S1438" s="6" t="n">
        <v>0.2</v>
      </c>
      <c r="T1438" s="5" t="n">
        <v>81.92</v>
      </c>
      <c r="U1438" s="3" t="str">
        <f aca="false">IF(T1438&lt;0,"Loss",IF(T1438=0,"Break-even","Profit"))</f>
        <v>Profit</v>
      </c>
      <c r="V1438" s="3" t="str">
        <f aca="false">IF(Q1438&lt;100,"Low",IF(Q1438&lt;=500,"Medium","High"))</f>
        <v>High</v>
      </c>
      <c r="W1438" s="3" t="n">
        <f aca="false">D1438-C1438</f>
        <v>2</v>
      </c>
      <c r="X1438" s="3" t="str">
        <f aca="false">TEXT(C1438,"mmmm")</f>
        <v>September</v>
      </c>
      <c r="Y1438" s="3" t="str">
        <f aca="false">LEFT(G1438,1)&amp;MID(G1438,FIND(" ",G1438)+1,1)</f>
        <v>LM</v>
      </c>
    </row>
    <row r="1439" customFormat="false" ht="15" hidden="false" customHeight="false" outlineLevel="0" collapsed="false">
      <c r="A1439" s="3" t="n">
        <v>1438</v>
      </c>
      <c r="B1439" s="3" t="s">
        <v>3201</v>
      </c>
      <c r="C1439" s="4" t="s">
        <v>3200</v>
      </c>
      <c r="D1439" s="4" t="s">
        <v>3202</v>
      </c>
      <c r="E1439" s="3" t="s">
        <v>28</v>
      </c>
      <c r="F1439" s="3" t="s">
        <v>572</v>
      </c>
      <c r="G1439" s="3" t="s">
        <v>573</v>
      </c>
      <c r="H1439" s="3" t="s">
        <v>56</v>
      </c>
      <c r="I1439" s="3" t="s">
        <v>32</v>
      </c>
      <c r="J1439" s="3" t="s">
        <v>77</v>
      </c>
      <c r="K1439" s="3" t="s">
        <v>78</v>
      </c>
      <c r="L1439" s="3" t="s">
        <v>59</v>
      </c>
      <c r="M1439" s="3" t="s">
        <v>334</v>
      </c>
      <c r="N1439" s="3" t="s">
        <v>37</v>
      </c>
      <c r="O1439" s="3" t="s">
        <v>136</v>
      </c>
      <c r="P1439" s="3" t="s">
        <v>335</v>
      </c>
      <c r="Q1439" s="5" t="n">
        <v>86.12</v>
      </c>
      <c r="R1439" s="3" t="n">
        <v>1</v>
      </c>
      <c r="S1439" s="6" t="n">
        <v>0.2</v>
      </c>
      <c r="T1439" s="5" t="n">
        <v>16.31</v>
      </c>
      <c r="U1439" s="3" t="str">
        <f aca="false">IF(T1439&lt;0,"Loss",IF(T1439=0,"Break-even","Profit"))</f>
        <v>Profit</v>
      </c>
      <c r="V1439" s="3" t="str">
        <f aca="false">IF(Q1439&lt;100,"Low",IF(Q1439&lt;=500,"Medium","High"))</f>
        <v>Low</v>
      </c>
      <c r="W1439" s="3" t="n">
        <f aca="false">D1439-C1439</f>
        <v>7</v>
      </c>
      <c r="X1439" s="3" t="str">
        <f aca="false">TEXT(C1439,"mmmm")</f>
        <v>October</v>
      </c>
      <c r="Y1439" s="3" t="str">
        <f aca="false">LEFT(G1439,1)&amp;MID(G1439,FIND(" ",G1439)+1,1)</f>
        <v>PM</v>
      </c>
    </row>
    <row r="1440" customFormat="false" ht="15" hidden="false" customHeight="false" outlineLevel="0" collapsed="false">
      <c r="A1440" s="3" t="n">
        <v>1439</v>
      </c>
      <c r="B1440" s="3" t="s">
        <v>3203</v>
      </c>
      <c r="C1440" s="4" t="s">
        <v>3200</v>
      </c>
      <c r="D1440" s="4" t="s">
        <v>3196</v>
      </c>
      <c r="E1440" s="3" t="s">
        <v>28</v>
      </c>
      <c r="F1440" s="3" t="s">
        <v>445</v>
      </c>
      <c r="G1440" s="3" t="s">
        <v>446</v>
      </c>
      <c r="H1440" s="3" t="s">
        <v>56</v>
      </c>
      <c r="I1440" s="3" t="s">
        <v>32</v>
      </c>
      <c r="J1440" s="3" t="s">
        <v>873</v>
      </c>
      <c r="K1440" s="3" t="s">
        <v>387</v>
      </c>
      <c r="L1440" s="3" t="s">
        <v>35</v>
      </c>
      <c r="M1440" s="3" t="s">
        <v>195</v>
      </c>
      <c r="N1440" s="3" t="s">
        <v>37</v>
      </c>
      <c r="O1440" s="3" t="s">
        <v>196</v>
      </c>
      <c r="P1440" s="3" t="s">
        <v>197</v>
      </c>
      <c r="Q1440" s="5" t="n">
        <v>4429.11</v>
      </c>
      <c r="R1440" s="3" t="n">
        <v>12</v>
      </c>
      <c r="S1440" s="6" t="n">
        <v>0.2</v>
      </c>
      <c r="T1440" s="5" t="n">
        <v>-790.45</v>
      </c>
      <c r="U1440" s="3" t="str">
        <f aca="false">IF(T1440&lt;0,"Loss",IF(T1440=0,"Break-even","Profit"))</f>
        <v>Loss</v>
      </c>
      <c r="V1440" s="3" t="str">
        <f aca="false">IF(Q1440&lt;100,"Low",IF(Q1440&lt;=500,"Medium","High"))</f>
        <v>High</v>
      </c>
      <c r="W1440" s="3" t="n">
        <f aca="false">D1440-C1440</f>
        <v>3</v>
      </c>
      <c r="X1440" s="3" t="str">
        <f aca="false">TEXT(C1440,"mmmm")</f>
        <v>October</v>
      </c>
      <c r="Y1440" s="3" t="str">
        <f aca="false">LEFT(G1440,1)&amp;MID(G1440,FIND(" ",G1440)+1,1)</f>
        <v>JN</v>
      </c>
    </row>
    <row r="1441" customFormat="false" ht="15" hidden="false" customHeight="false" outlineLevel="0" collapsed="false">
      <c r="A1441" s="3" t="n">
        <v>1440</v>
      </c>
      <c r="B1441" s="3" t="s">
        <v>3204</v>
      </c>
      <c r="C1441" s="4" t="s">
        <v>3192</v>
      </c>
      <c r="D1441" s="4" t="s">
        <v>3198</v>
      </c>
      <c r="E1441" s="3" t="s">
        <v>28</v>
      </c>
      <c r="F1441" s="3" t="s">
        <v>568</v>
      </c>
      <c r="G1441" s="3" t="s">
        <v>569</v>
      </c>
      <c r="H1441" s="3" t="s">
        <v>45</v>
      </c>
      <c r="I1441" s="3" t="s">
        <v>32</v>
      </c>
      <c r="J1441" s="3" t="s">
        <v>476</v>
      </c>
      <c r="K1441" s="3" t="s">
        <v>366</v>
      </c>
      <c r="L1441" s="3" t="s">
        <v>157</v>
      </c>
      <c r="M1441" s="3" t="s">
        <v>121</v>
      </c>
      <c r="N1441" s="3" t="s">
        <v>49</v>
      </c>
      <c r="O1441" s="3" t="s">
        <v>50</v>
      </c>
      <c r="P1441" s="3" t="s">
        <v>122</v>
      </c>
      <c r="Q1441" s="5" t="n">
        <v>299.57</v>
      </c>
      <c r="R1441" s="3" t="n">
        <v>4</v>
      </c>
      <c r="S1441" s="6" t="n">
        <v>0</v>
      </c>
      <c r="T1441" s="5" t="n">
        <v>43.57</v>
      </c>
      <c r="U1441" s="3" t="str">
        <f aca="false">IF(T1441&lt;0,"Loss",IF(T1441=0,"Break-even","Profit"))</f>
        <v>Profit</v>
      </c>
      <c r="V1441" s="3" t="str">
        <f aca="false">IF(Q1441&lt;100,"Low",IF(Q1441&lt;=500,"Medium","High"))</f>
        <v>Medium</v>
      </c>
      <c r="W1441" s="3" t="n">
        <f aca="false">D1441-C1441</f>
        <v>3</v>
      </c>
      <c r="X1441" s="3" t="str">
        <f aca="false">TEXT(C1441,"mmmm")</f>
        <v>October</v>
      </c>
      <c r="Y1441" s="3" t="str">
        <f aca="false">LEFT(G1441,1)&amp;MID(G1441,FIND(" ",G1441)+1,1)</f>
        <v>JT</v>
      </c>
    </row>
    <row r="1442" customFormat="false" ht="15" hidden="false" customHeight="false" outlineLevel="0" collapsed="false">
      <c r="A1442" s="3" t="n">
        <v>1441</v>
      </c>
      <c r="B1442" s="3" t="s">
        <v>3205</v>
      </c>
      <c r="C1442" s="4" t="s">
        <v>3192</v>
      </c>
      <c r="D1442" s="4" t="s">
        <v>3196</v>
      </c>
      <c r="E1442" s="3" t="s">
        <v>42</v>
      </c>
      <c r="F1442" s="3" t="s">
        <v>716</v>
      </c>
      <c r="G1442" s="3" t="s">
        <v>717</v>
      </c>
      <c r="H1442" s="3" t="s">
        <v>56</v>
      </c>
      <c r="I1442" s="3" t="s">
        <v>32</v>
      </c>
      <c r="J1442" s="3" t="s">
        <v>208</v>
      </c>
      <c r="K1442" s="3" t="s">
        <v>134</v>
      </c>
      <c r="L1442" s="3" t="s">
        <v>69</v>
      </c>
      <c r="M1442" s="3" t="s">
        <v>334</v>
      </c>
      <c r="N1442" s="3" t="s">
        <v>37</v>
      </c>
      <c r="O1442" s="3" t="s">
        <v>136</v>
      </c>
      <c r="P1442" s="3" t="s">
        <v>335</v>
      </c>
      <c r="Q1442" s="5" t="n">
        <v>6228.9</v>
      </c>
      <c r="R1442" s="3" t="n">
        <v>5</v>
      </c>
      <c r="S1442" s="6" t="n">
        <v>0.3</v>
      </c>
      <c r="T1442" s="5" t="n">
        <v>363.27</v>
      </c>
      <c r="U1442" s="3" t="str">
        <f aca="false">IF(T1442&lt;0,"Loss",IF(T1442=0,"Break-even","Profit"))</f>
        <v>Profit</v>
      </c>
      <c r="V1442" s="3" t="str">
        <f aca="false">IF(Q1442&lt;100,"Low",IF(Q1442&lt;=500,"Medium","High"))</f>
        <v>High</v>
      </c>
      <c r="W1442" s="3" t="n">
        <f aca="false">D1442-C1442</f>
        <v>2</v>
      </c>
      <c r="X1442" s="3" t="str">
        <f aca="false">TEXT(C1442,"mmmm")</f>
        <v>October</v>
      </c>
      <c r="Y1442" s="3" t="str">
        <f aca="false">LEFT(G1442,1)&amp;MID(G1442,FIND(" ",G1442)+1,1)</f>
        <v>WS</v>
      </c>
    </row>
    <row r="1443" customFormat="false" ht="15" hidden="false" customHeight="false" outlineLevel="0" collapsed="false">
      <c r="A1443" s="3" t="n">
        <v>1442</v>
      </c>
      <c r="B1443" s="3" t="s">
        <v>3027</v>
      </c>
      <c r="C1443" s="4" t="s">
        <v>3192</v>
      </c>
      <c r="D1443" s="4" t="s">
        <v>3190</v>
      </c>
      <c r="E1443" s="3" t="s">
        <v>42</v>
      </c>
      <c r="F1443" s="3" t="s">
        <v>1031</v>
      </c>
      <c r="G1443" s="3" t="s">
        <v>1032</v>
      </c>
      <c r="H1443" s="3" t="s">
        <v>45</v>
      </c>
      <c r="I1443" s="3" t="s">
        <v>32</v>
      </c>
      <c r="J1443" s="3" t="s">
        <v>386</v>
      </c>
      <c r="K1443" s="3" t="s">
        <v>387</v>
      </c>
      <c r="L1443" s="3" t="s">
        <v>35</v>
      </c>
      <c r="M1443" s="3" t="s">
        <v>88</v>
      </c>
      <c r="N1443" s="3" t="s">
        <v>89</v>
      </c>
      <c r="O1443" s="3" t="s">
        <v>90</v>
      </c>
      <c r="P1443" s="3" t="s">
        <v>91</v>
      </c>
      <c r="Q1443" s="5" t="n">
        <v>2008.8</v>
      </c>
      <c r="R1443" s="3" t="n">
        <v>5</v>
      </c>
      <c r="S1443" s="6" t="n">
        <v>0.2</v>
      </c>
      <c r="T1443" s="5" t="n">
        <v>476.14</v>
      </c>
      <c r="U1443" s="3" t="str">
        <f aca="false">IF(T1443&lt;0,"Loss",IF(T1443=0,"Break-even","Profit"))</f>
        <v>Profit</v>
      </c>
      <c r="V1443" s="3" t="str">
        <f aca="false">IF(Q1443&lt;100,"Low",IF(Q1443&lt;=500,"Medium","High"))</f>
        <v>High</v>
      </c>
      <c r="W1443" s="3" t="n">
        <f aca="false">D1443-C1443</f>
        <v>1</v>
      </c>
      <c r="X1443" s="3" t="str">
        <f aca="false">TEXT(C1443,"mmmm")</f>
        <v>October</v>
      </c>
      <c r="Y1443" s="3" t="str">
        <f aca="false">LEFT(G1443,1)&amp;MID(G1443,FIND(" ",G1443)+1,1)</f>
        <v>CS</v>
      </c>
    </row>
    <row r="1444" customFormat="false" ht="15" hidden="false" customHeight="false" outlineLevel="0" collapsed="false">
      <c r="A1444" s="3" t="n">
        <v>1443</v>
      </c>
      <c r="B1444" s="3" t="s">
        <v>3206</v>
      </c>
      <c r="C1444" s="4" t="s">
        <v>3190</v>
      </c>
      <c r="D1444" s="4" t="s">
        <v>3207</v>
      </c>
      <c r="E1444" s="3" t="s">
        <v>28</v>
      </c>
      <c r="F1444" s="3" t="s">
        <v>908</v>
      </c>
      <c r="G1444" s="3" t="s">
        <v>909</v>
      </c>
      <c r="H1444" s="3" t="s">
        <v>31</v>
      </c>
      <c r="I1444" s="3" t="s">
        <v>32</v>
      </c>
      <c r="J1444" s="3" t="s">
        <v>415</v>
      </c>
      <c r="K1444" s="3" t="s">
        <v>202</v>
      </c>
      <c r="L1444" s="3" t="s">
        <v>35</v>
      </c>
      <c r="M1444" s="3" t="s">
        <v>559</v>
      </c>
      <c r="N1444" s="3" t="s">
        <v>37</v>
      </c>
      <c r="O1444" s="3" t="s">
        <v>38</v>
      </c>
      <c r="P1444" s="3" t="s">
        <v>560</v>
      </c>
      <c r="Q1444" s="5" t="n">
        <v>2498.34</v>
      </c>
      <c r="R1444" s="3" t="n">
        <v>8</v>
      </c>
      <c r="S1444" s="6" t="n">
        <v>0</v>
      </c>
      <c r="T1444" s="5" t="n">
        <v>-301.84</v>
      </c>
      <c r="U1444" s="3" t="str">
        <f aca="false">IF(T1444&lt;0,"Loss",IF(T1444=0,"Break-even","Profit"))</f>
        <v>Loss</v>
      </c>
      <c r="V1444" s="3" t="str">
        <f aca="false">IF(Q1444&lt;100,"Low",IF(Q1444&lt;=500,"Medium","High"))</f>
        <v>High</v>
      </c>
      <c r="W1444" s="3" t="n">
        <f aca="false">D1444-C1444</f>
        <v>4</v>
      </c>
      <c r="X1444" s="3" t="str">
        <f aca="false">TEXT(C1444,"mmmm")</f>
        <v>October</v>
      </c>
      <c r="Y1444" s="3" t="str">
        <f aca="false">LEFT(G1444,1)&amp;MID(G1444,FIND(" ",G1444)+1,1)</f>
        <v>JM</v>
      </c>
    </row>
    <row r="1445" customFormat="false" ht="15" hidden="false" customHeight="false" outlineLevel="0" collapsed="false">
      <c r="A1445" s="3" t="n">
        <v>1444</v>
      </c>
      <c r="B1445" s="3" t="s">
        <v>2868</v>
      </c>
      <c r="C1445" s="4" t="s">
        <v>3196</v>
      </c>
      <c r="D1445" s="4" t="s">
        <v>3207</v>
      </c>
      <c r="E1445" s="3" t="s">
        <v>84</v>
      </c>
      <c r="F1445" s="3" t="s">
        <v>1318</v>
      </c>
      <c r="G1445" s="3" t="s">
        <v>1319</v>
      </c>
      <c r="H1445" s="3" t="s">
        <v>31</v>
      </c>
      <c r="I1445" s="3" t="s">
        <v>32</v>
      </c>
      <c r="J1445" s="3" t="s">
        <v>104</v>
      </c>
      <c r="K1445" s="3" t="s">
        <v>96</v>
      </c>
      <c r="L1445" s="3" t="s">
        <v>59</v>
      </c>
      <c r="M1445" s="3" t="s">
        <v>70</v>
      </c>
      <c r="N1445" s="3" t="s">
        <v>37</v>
      </c>
      <c r="O1445" s="3" t="s">
        <v>71</v>
      </c>
      <c r="P1445" s="3" t="s">
        <v>72</v>
      </c>
      <c r="Q1445" s="5" t="n">
        <v>5343.98</v>
      </c>
      <c r="R1445" s="3" t="n">
        <v>8</v>
      </c>
      <c r="S1445" s="6" t="n">
        <v>0</v>
      </c>
      <c r="T1445" s="5" t="n">
        <v>1143.87</v>
      </c>
      <c r="U1445" s="3" t="str">
        <f aca="false">IF(T1445&lt;0,"Loss",IF(T1445=0,"Break-even","Profit"))</f>
        <v>Profit</v>
      </c>
      <c r="V1445" s="3" t="str">
        <f aca="false">IF(Q1445&lt;100,"Low",IF(Q1445&lt;=500,"Medium","High"))</f>
        <v>High</v>
      </c>
      <c r="W1445" s="3" t="n">
        <f aca="false">D1445-C1445</f>
        <v>3</v>
      </c>
      <c r="X1445" s="3" t="str">
        <f aca="false">TEXT(C1445,"mmmm")</f>
        <v>October</v>
      </c>
      <c r="Y1445" s="3" t="str">
        <f aca="false">LEFT(G1445,1)&amp;MID(G1445,FIND(" ",G1445)+1,1)</f>
        <v>WK</v>
      </c>
    </row>
    <row r="1446" customFormat="false" ht="15" hidden="false" customHeight="false" outlineLevel="0" collapsed="false">
      <c r="A1446" s="3" t="n">
        <v>1445</v>
      </c>
      <c r="B1446" s="3" t="s">
        <v>3208</v>
      </c>
      <c r="C1446" s="4" t="s">
        <v>3196</v>
      </c>
      <c r="D1446" s="4" t="s">
        <v>3207</v>
      </c>
      <c r="E1446" s="3" t="s">
        <v>28</v>
      </c>
      <c r="F1446" s="3" t="s">
        <v>572</v>
      </c>
      <c r="G1446" s="3" t="s">
        <v>573</v>
      </c>
      <c r="H1446" s="3" t="s">
        <v>56</v>
      </c>
      <c r="I1446" s="3" t="s">
        <v>32</v>
      </c>
      <c r="J1446" s="3" t="s">
        <v>57</v>
      </c>
      <c r="K1446" s="3" t="s">
        <v>58</v>
      </c>
      <c r="L1446" s="3" t="s">
        <v>59</v>
      </c>
      <c r="M1446" s="3" t="s">
        <v>48</v>
      </c>
      <c r="N1446" s="3" t="s">
        <v>49</v>
      </c>
      <c r="O1446" s="3" t="s">
        <v>50</v>
      </c>
      <c r="P1446" s="3" t="s">
        <v>51</v>
      </c>
      <c r="Q1446" s="5" t="n">
        <v>140.98</v>
      </c>
      <c r="R1446" s="3" t="n">
        <v>6</v>
      </c>
      <c r="S1446" s="6" t="n">
        <v>0</v>
      </c>
      <c r="T1446" s="5" t="n">
        <v>1.85</v>
      </c>
      <c r="U1446" s="3" t="str">
        <f aca="false">IF(T1446&lt;0,"Loss",IF(T1446=0,"Break-even","Profit"))</f>
        <v>Profit</v>
      </c>
      <c r="V1446" s="3" t="str">
        <f aca="false">IF(Q1446&lt;100,"Low",IF(Q1446&lt;=500,"Medium","High"))</f>
        <v>Medium</v>
      </c>
      <c r="W1446" s="3" t="n">
        <f aca="false">D1446-C1446</f>
        <v>3</v>
      </c>
      <c r="X1446" s="3" t="str">
        <f aca="false">TEXT(C1446,"mmmm")</f>
        <v>October</v>
      </c>
      <c r="Y1446" s="3" t="str">
        <f aca="false">LEFT(G1446,1)&amp;MID(G1446,FIND(" ",G1446)+1,1)</f>
        <v>PM</v>
      </c>
    </row>
    <row r="1447" customFormat="false" ht="15" hidden="false" customHeight="false" outlineLevel="0" collapsed="false">
      <c r="A1447" s="3" t="n">
        <v>1446</v>
      </c>
      <c r="B1447" s="3" t="s">
        <v>3209</v>
      </c>
      <c r="C1447" s="4" t="s">
        <v>3198</v>
      </c>
      <c r="D1447" s="4" t="s">
        <v>3202</v>
      </c>
      <c r="E1447" s="3" t="s">
        <v>28</v>
      </c>
      <c r="F1447" s="3" t="s">
        <v>582</v>
      </c>
      <c r="G1447" s="3" t="s">
        <v>583</v>
      </c>
      <c r="H1447" s="3" t="s">
        <v>56</v>
      </c>
      <c r="I1447" s="3" t="s">
        <v>32</v>
      </c>
      <c r="J1447" s="3" t="s">
        <v>171</v>
      </c>
      <c r="K1447" s="3" t="s">
        <v>172</v>
      </c>
      <c r="L1447" s="3" t="s">
        <v>157</v>
      </c>
      <c r="M1447" s="3" t="s">
        <v>158</v>
      </c>
      <c r="N1447" s="3" t="s">
        <v>49</v>
      </c>
      <c r="O1447" s="3" t="s">
        <v>159</v>
      </c>
      <c r="P1447" s="3" t="s">
        <v>160</v>
      </c>
      <c r="Q1447" s="5" t="n">
        <v>736.47</v>
      </c>
      <c r="R1447" s="3" t="n">
        <v>7</v>
      </c>
      <c r="S1447" s="6" t="n">
        <v>0.3</v>
      </c>
      <c r="T1447" s="5" t="n">
        <v>-195.51</v>
      </c>
      <c r="U1447" s="3" t="str">
        <f aca="false">IF(T1447&lt;0,"Loss",IF(T1447=0,"Break-even","Profit"))</f>
        <v>Loss</v>
      </c>
      <c r="V1447" s="3" t="str">
        <f aca="false">IF(Q1447&lt;100,"Low",IF(Q1447&lt;=500,"Medium","High"))</f>
        <v>High</v>
      </c>
      <c r="W1447" s="3" t="n">
        <f aca="false">D1447-C1447</f>
        <v>3</v>
      </c>
      <c r="X1447" s="3" t="str">
        <f aca="false">TEXT(C1447,"mmmm")</f>
        <v>October</v>
      </c>
      <c r="Y1447" s="3" t="str">
        <f aca="false">LEFT(G1447,1)&amp;MID(G1447,FIND(" ",G1447)+1,1)</f>
        <v>PB</v>
      </c>
    </row>
    <row r="1448" customFormat="false" ht="15" hidden="false" customHeight="false" outlineLevel="0" collapsed="false">
      <c r="A1448" s="3" t="n">
        <v>1447</v>
      </c>
      <c r="B1448" s="3" t="s">
        <v>3064</v>
      </c>
      <c r="C1448" s="4" t="s">
        <v>3207</v>
      </c>
      <c r="D1448" s="4" t="s">
        <v>3210</v>
      </c>
      <c r="E1448" s="3" t="s">
        <v>84</v>
      </c>
      <c r="F1448" s="3" t="s">
        <v>1423</v>
      </c>
      <c r="G1448" s="3" t="s">
        <v>1424</v>
      </c>
      <c r="H1448" s="3" t="s">
        <v>31</v>
      </c>
      <c r="I1448" s="3" t="s">
        <v>32</v>
      </c>
      <c r="J1448" s="3" t="s">
        <v>104</v>
      </c>
      <c r="K1448" s="3" t="s">
        <v>96</v>
      </c>
      <c r="L1448" s="3" t="s">
        <v>59</v>
      </c>
      <c r="M1448" s="3" t="s">
        <v>195</v>
      </c>
      <c r="N1448" s="3" t="s">
        <v>37</v>
      </c>
      <c r="O1448" s="3" t="s">
        <v>196</v>
      </c>
      <c r="P1448" s="3" t="s">
        <v>197</v>
      </c>
      <c r="Q1448" s="5" t="n">
        <v>4113.73</v>
      </c>
      <c r="R1448" s="3" t="n">
        <v>8</v>
      </c>
      <c r="S1448" s="6" t="n">
        <v>0.2</v>
      </c>
      <c r="T1448" s="5" t="n">
        <v>-1142.47</v>
      </c>
      <c r="U1448" s="3" t="str">
        <f aca="false">IF(T1448&lt;0,"Loss",IF(T1448=0,"Break-even","Profit"))</f>
        <v>Loss</v>
      </c>
      <c r="V1448" s="3" t="str">
        <f aca="false">IF(Q1448&lt;100,"Low",IF(Q1448&lt;=500,"Medium","High"))</f>
        <v>High</v>
      </c>
      <c r="W1448" s="3" t="n">
        <f aca="false">D1448-C1448</f>
        <v>4</v>
      </c>
      <c r="X1448" s="3" t="str">
        <f aca="false">TEXT(C1448,"mmmm")</f>
        <v>October</v>
      </c>
      <c r="Y1448" s="3" t="str">
        <f aca="false">LEFT(G1448,1)&amp;MID(G1448,FIND(" ",G1448)+1,1)</f>
        <v>RJ</v>
      </c>
    </row>
    <row r="1449" customFormat="false" ht="15" hidden="false" customHeight="false" outlineLevel="0" collapsed="false">
      <c r="A1449" s="3" t="n">
        <v>1448</v>
      </c>
      <c r="B1449" s="3" t="s">
        <v>3211</v>
      </c>
      <c r="C1449" s="4" t="s">
        <v>3207</v>
      </c>
      <c r="D1449" s="4" t="s">
        <v>3212</v>
      </c>
      <c r="E1449" s="3" t="s">
        <v>28</v>
      </c>
      <c r="F1449" s="3" t="s">
        <v>575</v>
      </c>
      <c r="G1449" s="3" t="s">
        <v>576</v>
      </c>
      <c r="H1449" s="3" t="s">
        <v>56</v>
      </c>
      <c r="I1449" s="3" t="s">
        <v>32</v>
      </c>
      <c r="J1449" s="3" t="s">
        <v>87</v>
      </c>
      <c r="K1449" s="3" t="s">
        <v>68</v>
      </c>
      <c r="L1449" s="3" t="s">
        <v>69</v>
      </c>
      <c r="M1449" s="3" t="s">
        <v>97</v>
      </c>
      <c r="N1449" s="3" t="s">
        <v>89</v>
      </c>
      <c r="O1449" s="3" t="s">
        <v>90</v>
      </c>
      <c r="P1449" s="3" t="s">
        <v>98</v>
      </c>
      <c r="Q1449" s="5" t="n">
        <v>7470.43</v>
      </c>
      <c r="R1449" s="3" t="n">
        <v>9</v>
      </c>
      <c r="S1449" s="6" t="n">
        <v>0.2</v>
      </c>
      <c r="T1449" s="5" t="n">
        <v>-272.54</v>
      </c>
      <c r="U1449" s="3" t="str">
        <f aca="false">IF(T1449&lt;0,"Loss",IF(T1449=0,"Break-even","Profit"))</f>
        <v>Loss</v>
      </c>
      <c r="V1449" s="3" t="str">
        <f aca="false">IF(Q1449&lt;100,"Low",IF(Q1449&lt;=500,"Medium","High"))</f>
        <v>High</v>
      </c>
      <c r="W1449" s="3" t="n">
        <f aca="false">D1449-C1449</f>
        <v>6</v>
      </c>
      <c r="X1449" s="3" t="str">
        <f aca="false">TEXT(C1449,"mmmm")</f>
        <v>October</v>
      </c>
      <c r="Y1449" s="3" t="str">
        <f aca="false">LEFT(G1449,1)&amp;MID(G1449,FIND(" ",G1449)+1,1)</f>
        <v>PC</v>
      </c>
    </row>
    <row r="1450" customFormat="false" ht="15" hidden="false" customHeight="false" outlineLevel="0" collapsed="false">
      <c r="A1450" s="3" t="n">
        <v>1449</v>
      </c>
      <c r="B1450" s="3" t="s">
        <v>3213</v>
      </c>
      <c r="C1450" s="4" t="s">
        <v>3207</v>
      </c>
      <c r="D1450" s="4" t="s">
        <v>3214</v>
      </c>
      <c r="E1450" s="3" t="s">
        <v>28</v>
      </c>
      <c r="F1450" s="3" t="s">
        <v>1288</v>
      </c>
      <c r="G1450" s="3" t="s">
        <v>1289</v>
      </c>
      <c r="H1450" s="3" t="s">
        <v>31</v>
      </c>
      <c r="I1450" s="3" t="s">
        <v>32</v>
      </c>
      <c r="J1450" s="3" t="s">
        <v>215</v>
      </c>
      <c r="K1450" s="3" t="s">
        <v>34</v>
      </c>
      <c r="L1450" s="3" t="s">
        <v>35</v>
      </c>
      <c r="M1450" s="3" t="s">
        <v>190</v>
      </c>
      <c r="N1450" s="3" t="s">
        <v>49</v>
      </c>
      <c r="O1450" s="3" t="s">
        <v>150</v>
      </c>
      <c r="P1450" s="3" t="s">
        <v>191</v>
      </c>
      <c r="Q1450" s="5" t="n">
        <v>52.79</v>
      </c>
      <c r="R1450" s="3" t="n">
        <v>1</v>
      </c>
      <c r="S1450" s="6" t="n">
        <v>0</v>
      </c>
      <c r="T1450" s="5" t="n">
        <v>-2.71</v>
      </c>
      <c r="U1450" s="3" t="str">
        <f aca="false">IF(T1450&lt;0,"Loss",IF(T1450=0,"Break-even","Profit"))</f>
        <v>Loss</v>
      </c>
      <c r="V1450" s="3" t="str">
        <f aca="false">IF(Q1450&lt;100,"Low",IF(Q1450&lt;=500,"Medium","High"))</f>
        <v>Low</v>
      </c>
      <c r="W1450" s="3" t="n">
        <f aca="false">D1450-C1450</f>
        <v>7</v>
      </c>
      <c r="X1450" s="3" t="str">
        <f aca="false">TEXT(C1450,"mmmm")</f>
        <v>October</v>
      </c>
      <c r="Y1450" s="3" t="str">
        <f aca="false">LEFT(G1450,1)&amp;MID(G1450,FIND(" ",G1450)+1,1)</f>
        <v>LT</v>
      </c>
    </row>
    <row r="1451" customFormat="false" ht="15" hidden="false" customHeight="false" outlineLevel="0" collapsed="false">
      <c r="A1451" s="3" t="n">
        <v>1450</v>
      </c>
      <c r="B1451" s="3" t="s">
        <v>3215</v>
      </c>
      <c r="C1451" s="4" t="s">
        <v>3202</v>
      </c>
      <c r="D1451" s="4" t="s">
        <v>3214</v>
      </c>
      <c r="E1451" s="3" t="s">
        <v>28</v>
      </c>
      <c r="F1451" s="3" t="s">
        <v>1070</v>
      </c>
      <c r="G1451" s="3" t="s">
        <v>1071</v>
      </c>
      <c r="H1451" s="3" t="s">
        <v>45</v>
      </c>
      <c r="I1451" s="3" t="s">
        <v>32</v>
      </c>
      <c r="J1451" s="3" t="s">
        <v>215</v>
      </c>
      <c r="K1451" s="3" t="s">
        <v>34</v>
      </c>
      <c r="L1451" s="3" t="s">
        <v>35</v>
      </c>
      <c r="M1451" s="3" t="s">
        <v>290</v>
      </c>
      <c r="N1451" s="3" t="s">
        <v>37</v>
      </c>
      <c r="O1451" s="3" t="s">
        <v>38</v>
      </c>
      <c r="P1451" s="3" t="s">
        <v>291</v>
      </c>
      <c r="Q1451" s="5" t="n">
        <v>14487.59</v>
      </c>
      <c r="R1451" s="3" t="n">
        <v>11</v>
      </c>
      <c r="S1451" s="6" t="n">
        <v>0</v>
      </c>
      <c r="T1451" s="5" t="n">
        <v>-508.99</v>
      </c>
      <c r="U1451" s="3" t="str">
        <f aca="false">IF(T1451&lt;0,"Loss",IF(T1451=0,"Break-even","Profit"))</f>
        <v>Loss</v>
      </c>
      <c r="V1451" s="3" t="str">
        <f aca="false">IF(Q1451&lt;100,"Low",IF(Q1451&lt;=500,"Medium","High"))</f>
        <v>High</v>
      </c>
      <c r="W1451" s="3" t="n">
        <f aca="false">D1451-C1451</f>
        <v>6</v>
      </c>
      <c r="X1451" s="3" t="str">
        <f aca="false">TEXT(C1451,"mmmm")</f>
        <v>October</v>
      </c>
      <c r="Y1451" s="3" t="str">
        <f aca="false">LEFT(G1451,1)&amp;MID(G1451,FIND(" ",G1451)+1,1)</f>
        <v>PB</v>
      </c>
    </row>
    <row r="1452" customFormat="false" ht="15" hidden="false" customHeight="false" outlineLevel="0" collapsed="false">
      <c r="A1452" s="3" t="n">
        <v>1451</v>
      </c>
      <c r="B1452" s="3" t="s">
        <v>3216</v>
      </c>
      <c r="C1452" s="4" t="s">
        <v>3217</v>
      </c>
      <c r="D1452" s="4" t="s">
        <v>3210</v>
      </c>
      <c r="E1452" s="3" t="s">
        <v>84</v>
      </c>
      <c r="F1452" s="3" t="s">
        <v>1524</v>
      </c>
      <c r="G1452" s="3" t="s">
        <v>1525</v>
      </c>
      <c r="H1452" s="3" t="s">
        <v>56</v>
      </c>
      <c r="I1452" s="3" t="s">
        <v>32</v>
      </c>
      <c r="J1452" s="3" t="s">
        <v>306</v>
      </c>
      <c r="K1452" s="3" t="s">
        <v>307</v>
      </c>
      <c r="L1452" s="3" t="s">
        <v>69</v>
      </c>
      <c r="M1452" s="3" t="s">
        <v>79</v>
      </c>
      <c r="N1452" s="3" t="s">
        <v>49</v>
      </c>
      <c r="O1452" s="3" t="s">
        <v>80</v>
      </c>
      <c r="P1452" s="3" t="s">
        <v>81</v>
      </c>
      <c r="Q1452" s="5" t="n">
        <v>384.15</v>
      </c>
      <c r="R1452" s="3" t="n">
        <v>4</v>
      </c>
      <c r="S1452" s="6" t="n">
        <v>0.3</v>
      </c>
      <c r="T1452" s="5" t="n">
        <v>37.55</v>
      </c>
      <c r="U1452" s="3" t="str">
        <f aca="false">IF(T1452&lt;0,"Loss",IF(T1452=0,"Break-even","Profit"))</f>
        <v>Profit</v>
      </c>
      <c r="V1452" s="3" t="str">
        <f aca="false">IF(Q1452&lt;100,"Low",IF(Q1452&lt;=500,"Medium","High"))</f>
        <v>Medium</v>
      </c>
      <c r="W1452" s="3" t="n">
        <f aca="false">D1452-C1452</f>
        <v>2</v>
      </c>
      <c r="X1452" s="3" t="str">
        <f aca="false">TEXT(C1452,"mmmm")</f>
        <v>October</v>
      </c>
      <c r="Y1452" s="3" t="str">
        <f aca="false">LEFT(G1452,1)&amp;MID(G1452,FIND(" ",G1452)+1,1)</f>
        <v>LN</v>
      </c>
    </row>
    <row r="1453" customFormat="false" ht="15" hidden="false" customHeight="false" outlineLevel="0" collapsed="false">
      <c r="A1453" s="3" t="n">
        <v>1452</v>
      </c>
      <c r="B1453" s="3" t="s">
        <v>3218</v>
      </c>
      <c r="C1453" s="4" t="s">
        <v>3210</v>
      </c>
      <c r="D1453" s="4" t="s">
        <v>3214</v>
      </c>
      <c r="E1453" s="3" t="s">
        <v>84</v>
      </c>
      <c r="F1453" s="3" t="s">
        <v>206</v>
      </c>
      <c r="G1453" s="3" t="s">
        <v>207</v>
      </c>
      <c r="H1453" s="3" t="s">
        <v>31</v>
      </c>
      <c r="I1453" s="3" t="s">
        <v>32</v>
      </c>
      <c r="J1453" s="3" t="s">
        <v>215</v>
      </c>
      <c r="K1453" s="3" t="s">
        <v>34</v>
      </c>
      <c r="L1453" s="3" t="s">
        <v>35</v>
      </c>
      <c r="M1453" s="3" t="s">
        <v>219</v>
      </c>
      <c r="N1453" s="3" t="s">
        <v>49</v>
      </c>
      <c r="O1453" s="3" t="s">
        <v>220</v>
      </c>
      <c r="P1453" s="3" t="s">
        <v>221</v>
      </c>
      <c r="Q1453" s="5" t="n">
        <v>199.37</v>
      </c>
      <c r="R1453" s="3" t="n">
        <v>9</v>
      </c>
      <c r="S1453" s="6" t="n">
        <v>0.3</v>
      </c>
      <c r="T1453" s="5" t="n">
        <v>-39.29</v>
      </c>
      <c r="U1453" s="3" t="str">
        <f aca="false">IF(T1453&lt;0,"Loss",IF(T1453=0,"Break-even","Profit"))</f>
        <v>Loss</v>
      </c>
      <c r="V1453" s="3" t="str">
        <f aca="false">IF(Q1453&lt;100,"Low",IF(Q1453&lt;=500,"Medium","High"))</f>
        <v>Medium</v>
      </c>
      <c r="W1453" s="3" t="n">
        <f aca="false">D1453-C1453</f>
        <v>3</v>
      </c>
      <c r="X1453" s="3" t="str">
        <f aca="false">TEXT(C1453,"mmmm")</f>
        <v>October</v>
      </c>
      <c r="Y1453" s="3" t="str">
        <f aca="false">LEFT(G1453,1)&amp;MID(G1453,FIND(" ",G1453)+1,1)</f>
        <v>DJ</v>
      </c>
    </row>
    <row r="1454" customFormat="false" ht="15" hidden="false" customHeight="false" outlineLevel="0" collapsed="false">
      <c r="A1454" s="3" t="n">
        <v>1453</v>
      </c>
      <c r="B1454" s="3" t="s">
        <v>2953</v>
      </c>
      <c r="C1454" s="4" t="s">
        <v>3219</v>
      </c>
      <c r="D1454" s="4" t="s">
        <v>3214</v>
      </c>
      <c r="E1454" s="3" t="s">
        <v>84</v>
      </c>
      <c r="F1454" s="3" t="s">
        <v>1462</v>
      </c>
      <c r="G1454" s="3" t="s">
        <v>1463</v>
      </c>
      <c r="H1454" s="3" t="s">
        <v>56</v>
      </c>
      <c r="I1454" s="3" t="s">
        <v>32</v>
      </c>
      <c r="J1454" s="3" t="s">
        <v>148</v>
      </c>
      <c r="K1454" s="3" t="s">
        <v>78</v>
      </c>
      <c r="L1454" s="3" t="s">
        <v>59</v>
      </c>
      <c r="M1454" s="3" t="s">
        <v>149</v>
      </c>
      <c r="N1454" s="3" t="s">
        <v>49</v>
      </c>
      <c r="O1454" s="3" t="s">
        <v>150</v>
      </c>
      <c r="P1454" s="3" t="s">
        <v>151</v>
      </c>
      <c r="Q1454" s="5" t="n">
        <v>157</v>
      </c>
      <c r="R1454" s="3" t="n">
        <v>2</v>
      </c>
      <c r="S1454" s="6" t="n">
        <v>0</v>
      </c>
      <c r="T1454" s="5" t="n">
        <v>19.41</v>
      </c>
      <c r="U1454" s="3" t="str">
        <f aca="false">IF(T1454&lt;0,"Loss",IF(T1454=0,"Break-even","Profit"))</f>
        <v>Profit</v>
      </c>
      <c r="V1454" s="3" t="str">
        <f aca="false">IF(Q1454&lt;100,"Low",IF(Q1454&lt;=500,"Medium","High"))</f>
        <v>Medium</v>
      </c>
      <c r="W1454" s="3" t="n">
        <f aca="false">D1454-C1454</f>
        <v>2</v>
      </c>
      <c r="X1454" s="3" t="str">
        <f aca="false">TEXT(C1454,"mmmm")</f>
        <v>October</v>
      </c>
      <c r="Y1454" s="3" t="str">
        <f aca="false">LEFT(G1454,1)&amp;MID(G1454,FIND(" ",G1454)+1,1)</f>
        <v>SA</v>
      </c>
    </row>
    <row r="1455" customFormat="false" ht="15" hidden="false" customHeight="false" outlineLevel="0" collapsed="false">
      <c r="A1455" s="3" t="n">
        <v>1454</v>
      </c>
      <c r="B1455" s="3" t="s">
        <v>3220</v>
      </c>
      <c r="C1455" s="4" t="s">
        <v>3219</v>
      </c>
      <c r="D1455" s="4" t="s">
        <v>3221</v>
      </c>
      <c r="E1455" s="3" t="s">
        <v>28</v>
      </c>
      <c r="F1455" s="3" t="s">
        <v>2232</v>
      </c>
      <c r="G1455" s="3" t="s">
        <v>2233</v>
      </c>
      <c r="H1455" s="3" t="s">
        <v>31</v>
      </c>
      <c r="I1455" s="3" t="s">
        <v>32</v>
      </c>
      <c r="J1455" s="3" t="s">
        <v>155</v>
      </c>
      <c r="K1455" s="3" t="s">
        <v>156</v>
      </c>
      <c r="L1455" s="3" t="s">
        <v>157</v>
      </c>
      <c r="M1455" s="3" t="s">
        <v>322</v>
      </c>
      <c r="N1455" s="3" t="s">
        <v>89</v>
      </c>
      <c r="O1455" s="3" t="s">
        <v>323</v>
      </c>
      <c r="P1455" s="3" t="s">
        <v>324</v>
      </c>
      <c r="Q1455" s="5" t="n">
        <v>5448.33</v>
      </c>
      <c r="R1455" s="3" t="n">
        <v>13</v>
      </c>
      <c r="S1455" s="6" t="n">
        <v>0</v>
      </c>
      <c r="T1455" s="5" t="n">
        <v>440.56</v>
      </c>
      <c r="U1455" s="3" t="str">
        <f aca="false">IF(T1455&lt;0,"Loss",IF(T1455=0,"Break-even","Profit"))</f>
        <v>Profit</v>
      </c>
      <c r="V1455" s="3" t="str">
        <f aca="false">IF(Q1455&lt;100,"Low",IF(Q1455&lt;=500,"Medium","High"))</f>
        <v>High</v>
      </c>
      <c r="W1455" s="3" t="n">
        <f aca="false">D1455-C1455</f>
        <v>4</v>
      </c>
      <c r="X1455" s="3" t="str">
        <f aca="false">TEXT(C1455,"mmmm")</f>
        <v>October</v>
      </c>
      <c r="Y1455" s="3" t="str">
        <f aca="false">LEFT(G1455,1)&amp;MID(G1455,FIND(" ",G1455)+1,1)</f>
        <v>EB</v>
      </c>
    </row>
    <row r="1456" customFormat="false" ht="15" hidden="false" customHeight="false" outlineLevel="0" collapsed="false">
      <c r="A1456" s="3" t="n">
        <v>1455</v>
      </c>
      <c r="B1456" s="3" t="s">
        <v>3222</v>
      </c>
      <c r="C1456" s="4" t="s">
        <v>3212</v>
      </c>
      <c r="D1456" s="4" t="s">
        <v>3223</v>
      </c>
      <c r="E1456" s="3" t="s">
        <v>28</v>
      </c>
      <c r="F1456" s="3" t="s">
        <v>401</v>
      </c>
      <c r="G1456" s="3" t="s">
        <v>402</v>
      </c>
      <c r="H1456" s="3" t="s">
        <v>45</v>
      </c>
      <c r="I1456" s="3" t="s">
        <v>32</v>
      </c>
      <c r="J1456" s="3" t="s">
        <v>208</v>
      </c>
      <c r="K1456" s="3" t="s">
        <v>134</v>
      </c>
      <c r="L1456" s="3" t="s">
        <v>69</v>
      </c>
      <c r="M1456" s="3" t="s">
        <v>237</v>
      </c>
      <c r="N1456" s="3" t="s">
        <v>49</v>
      </c>
      <c r="O1456" s="3" t="s">
        <v>220</v>
      </c>
      <c r="P1456" s="3" t="s">
        <v>238</v>
      </c>
      <c r="Q1456" s="5" t="n">
        <v>86.36</v>
      </c>
      <c r="R1456" s="3" t="n">
        <v>12</v>
      </c>
      <c r="S1456" s="6" t="n">
        <v>0</v>
      </c>
      <c r="T1456" s="5" t="n">
        <v>2.85</v>
      </c>
      <c r="U1456" s="3" t="str">
        <f aca="false">IF(T1456&lt;0,"Loss",IF(T1456=0,"Break-even","Profit"))</f>
        <v>Profit</v>
      </c>
      <c r="V1456" s="3" t="str">
        <f aca="false">IF(Q1456&lt;100,"Low",IF(Q1456&lt;=500,"Medium","High"))</f>
        <v>Low</v>
      </c>
      <c r="W1456" s="3" t="n">
        <f aca="false">D1456-C1456</f>
        <v>6</v>
      </c>
      <c r="X1456" s="3" t="str">
        <f aca="false">TEXT(C1456,"mmmm")</f>
        <v>October</v>
      </c>
      <c r="Y1456" s="3" t="str">
        <f aca="false">LEFT(G1456,1)&amp;MID(G1456,FIND(" ",G1456)+1,1)</f>
        <v>PD</v>
      </c>
    </row>
    <row r="1457" customFormat="false" ht="15" hidden="false" customHeight="false" outlineLevel="0" collapsed="false">
      <c r="A1457" s="3" t="n">
        <v>1456</v>
      </c>
      <c r="B1457" s="3" t="s">
        <v>3224</v>
      </c>
      <c r="C1457" s="4" t="s">
        <v>3212</v>
      </c>
      <c r="D1457" s="4" t="s">
        <v>3225</v>
      </c>
      <c r="E1457" s="3" t="s">
        <v>42</v>
      </c>
      <c r="F1457" s="3" t="s">
        <v>1047</v>
      </c>
      <c r="G1457" s="3" t="s">
        <v>1048</v>
      </c>
      <c r="H1457" s="3" t="s">
        <v>56</v>
      </c>
      <c r="I1457" s="3" t="s">
        <v>32</v>
      </c>
      <c r="J1457" s="3" t="s">
        <v>112</v>
      </c>
      <c r="K1457" s="3" t="s">
        <v>113</v>
      </c>
      <c r="L1457" s="3" t="s">
        <v>69</v>
      </c>
      <c r="M1457" s="3" t="s">
        <v>190</v>
      </c>
      <c r="N1457" s="3" t="s">
        <v>49</v>
      </c>
      <c r="O1457" s="3" t="s">
        <v>150</v>
      </c>
      <c r="P1457" s="3" t="s">
        <v>191</v>
      </c>
      <c r="Q1457" s="5" t="n">
        <v>1068.85</v>
      </c>
      <c r="R1457" s="3" t="n">
        <v>14</v>
      </c>
      <c r="S1457" s="6" t="n">
        <v>0.2</v>
      </c>
      <c r="T1457" s="5" t="n">
        <v>261.94</v>
      </c>
      <c r="U1457" s="3" t="str">
        <f aca="false">IF(T1457&lt;0,"Loss",IF(T1457=0,"Break-even","Profit"))</f>
        <v>Profit</v>
      </c>
      <c r="V1457" s="3" t="str">
        <f aca="false">IF(Q1457&lt;100,"Low",IF(Q1457&lt;=500,"Medium","High"))</f>
        <v>High</v>
      </c>
      <c r="W1457" s="3" t="n">
        <f aca="false">D1457-C1457</f>
        <v>2</v>
      </c>
      <c r="X1457" s="3" t="str">
        <f aca="false">TEXT(C1457,"mmmm")</f>
        <v>October</v>
      </c>
      <c r="Y1457" s="3" t="str">
        <f aca="false">LEFT(G1457,1)&amp;MID(G1457,FIND(" ",G1457)+1,1)</f>
        <v>AJ</v>
      </c>
    </row>
    <row r="1458" customFormat="false" ht="15" hidden="false" customHeight="false" outlineLevel="0" collapsed="false">
      <c r="A1458" s="3" t="n">
        <v>1457</v>
      </c>
      <c r="B1458" s="3" t="s">
        <v>3226</v>
      </c>
      <c r="C1458" s="4" t="s">
        <v>3214</v>
      </c>
      <c r="D1458" s="4" t="s">
        <v>3221</v>
      </c>
      <c r="E1458" s="3" t="s">
        <v>42</v>
      </c>
      <c r="F1458" s="3" t="s">
        <v>110</v>
      </c>
      <c r="G1458" s="3" t="s">
        <v>111</v>
      </c>
      <c r="H1458" s="3" t="s">
        <v>56</v>
      </c>
      <c r="I1458" s="3" t="s">
        <v>32</v>
      </c>
      <c r="J1458" s="3" t="s">
        <v>133</v>
      </c>
      <c r="K1458" s="3" t="s">
        <v>134</v>
      </c>
      <c r="L1458" s="3" t="s">
        <v>69</v>
      </c>
      <c r="M1458" s="3" t="s">
        <v>559</v>
      </c>
      <c r="N1458" s="3" t="s">
        <v>37</v>
      </c>
      <c r="O1458" s="3" t="s">
        <v>38</v>
      </c>
      <c r="P1458" s="3" t="s">
        <v>560</v>
      </c>
      <c r="Q1458" s="5" t="n">
        <v>19911.19</v>
      </c>
      <c r="R1458" s="3" t="n">
        <v>14</v>
      </c>
      <c r="S1458" s="6" t="n">
        <v>0.1</v>
      </c>
      <c r="T1458" s="5" t="n">
        <v>238.18</v>
      </c>
      <c r="U1458" s="3" t="str">
        <f aca="false">IF(T1458&lt;0,"Loss",IF(T1458=0,"Break-even","Profit"))</f>
        <v>Profit</v>
      </c>
      <c r="V1458" s="3" t="str">
        <f aca="false">IF(Q1458&lt;100,"Low",IF(Q1458&lt;=500,"Medium","High"))</f>
        <v>High</v>
      </c>
      <c r="W1458" s="3" t="n">
        <f aca="false">D1458-C1458</f>
        <v>2</v>
      </c>
      <c r="X1458" s="3" t="str">
        <f aca="false">TEXT(C1458,"mmmm")</f>
        <v>October</v>
      </c>
      <c r="Y1458" s="3" t="str">
        <f aca="false">LEFT(G1458,1)&amp;MID(G1458,FIND(" ",G1458)+1,1)</f>
        <v>CJ</v>
      </c>
    </row>
    <row r="1459" customFormat="false" ht="15" hidden="false" customHeight="false" outlineLevel="0" collapsed="false">
      <c r="A1459" s="3" t="n">
        <v>1458</v>
      </c>
      <c r="B1459" s="3" t="s">
        <v>3227</v>
      </c>
      <c r="C1459" s="4" t="s">
        <v>3214</v>
      </c>
      <c r="D1459" s="4" t="s">
        <v>3228</v>
      </c>
      <c r="E1459" s="3" t="s">
        <v>28</v>
      </c>
      <c r="F1459" s="3" t="s">
        <v>2337</v>
      </c>
      <c r="G1459" s="3" t="s">
        <v>2338</v>
      </c>
      <c r="H1459" s="3" t="s">
        <v>31</v>
      </c>
      <c r="I1459" s="3" t="s">
        <v>32</v>
      </c>
      <c r="J1459" s="3" t="s">
        <v>306</v>
      </c>
      <c r="K1459" s="3" t="s">
        <v>307</v>
      </c>
      <c r="L1459" s="3" t="s">
        <v>69</v>
      </c>
      <c r="M1459" s="3" t="s">
        <v>253</v>
      </c>
      <c r="N1459" s="3" t="s">
        <v>89</v>
      </c>
      <c r="O1459" s="3" t="s">
        <v>90</v>
      </c>
      <c r="P1459" s="3" t="s">
        <v>254</v>
      </c>
      <c r="Q1459" s="5" t="n">
        <v>1869.04</v>
      </c>
      <c r="R1459" s="3" t="n">
        <v>3</v>
      </c>
      <c r="S1459" s="6" t="n">
        <v>0.1</v>
      </c>
      <c r="T1459" s="5" t="n">
        <v>384.67</v>
      </c>
      <c r="U1459" s="3" t="str">
        <f aca="false">IF(T1459&lt;0,"Loss",IF(T1459=0,"Break-even","Profit"))</f>
        <v>Profit</v>
      </c>
      <c r="V1459" s="3" t="str">
        <f aca="false">IF(Q1459&lt;100,"Low",IF(Q1459&lt;=500,"Medium","High"))</f>
        <v>High</v>
      </c>
      <c r="W1459" s="3" t="n">
        <f aca="false">D1459-C1459</f>
        <v>4</v>
      </c>
      <c r="X1459" s="3" t="str">
        <f aca="false">TEXT(C1459,"mmmm")</f>
        <v>October</v>
      </c>
      <c r="Y1459" s="3" t="str">
        <f aca="false">LEFT(G1459,1)&amp;MID(G1459,FIND(" ",G1459)+1,1)</f>
        <v>WN</v>
      </c>
    </row>
    <row r="1460" customFormat="false" ht="15" hidden="false" customHeight="false" outlineLevel="0" collapsed="false">
      <c r="A1460" s="3" t="n">
        <v>1459</v>
      </c>
      <c r="B1460" s="3" t="s">
        <v>3052</v>
      </c>
      <c r="C1460" s="4" t="s">
        <v>3214</v>
      </c>
      <c r="D1460" s="4" t="s">
        <v>3221</v>
      </c>
      <c r="E1460" s="3" t="s">
        <v>42</v>
      </c>
      <c r="F1460" s="3" t="s">
        <v>760</v>
      </c>
      <c r="G1460" s="3" t="s">
        <v>761</v>
      </c>
      <c r="H1460" s="3" t="s">
        <v>56</v>
      </c>
      <c r="I1460" s="3" t="s">
        <v>32</v>
      </c>
      <c r="J1460" s="3" t="s">
        <v>171</v>
      </c>
      <c r="K1460" s="3" t="s">
        <v>172</v>
      </c>
      <c r="L1460" s="3" t="s">
        <v>157</v>
      </c>
      <c r="M1460" s="3" t="s">
        <v>60</v>
      </c>
      <c r="N1460" s="3" t="s">
        <v>49</v>
      </c>
      <c r="O1460" s="3" t="s">
        <v>61</v>
      </c>
      <c r="P1460" s="3" t="s">
        <v>62</v>
      </c>
      <c r="Q1460" s="5" t="n">
        <v>915.07</v>
      </c>
      <c r="R1460" s="3" t="n">
        <v>13</v>
      </c>
      <c r="S1460" s="6" t="n">
        <v>0</v>
      </c>
      <c r="T1460" s="5" t="n">
        <v>-66.74</v>
      </c>
      <c r="U1460" s="3" t="str">
        <f aca="false">IF(T1460&lt;0,"Loss",IF(T1460=0,"Break-even","Profit"))</f>
        <v>Loss</v>
      </c>
      <c r="V1460" s="3" t="str">
        <f aca="false">IF(Q1460&lt;100,"Low",IF(Q1460&lt;=500,"Medium","High"))</f>
        <v>High</v>
      </c>
      <c r="W1460" s="3" t="n">
        <f aca="false">D1460-C1460</f>
        <v>2</v>
      </c>
      <c r="X1460" s="3" t="str">
        <f aca="false">TEXT(C1460,"mmmm")</f>
        <v>October</v>
      </c>
      <c r="Y1460" s="3" t="str">
        <f aca="false">LEFT(G1460,1)&amp;MID(G1460,FIND(" ",G1460)+1,1)</f>
        <v>MM</v>
      </c>
    </row>
    <row r="1461" customFormat="false" ht="15" hidden="false" customHeight="false" outlineLevel="0" collapsed="false">
      <c r="A1461" s="3" t="n">
        <v>1460</v>
      </c>
      <c r="B1461" s="3" t="s">
        <v>3229</v>
      </c>
      <c r="C1461" s="4" t="s">
        <v>3225</v>
      </c>
      <c r="D1461" s="4" t="s">
        <v>3223</v>
      </c>
      <c r="E1461" s="3" t="s">
        <v>84</v>
      </c>
      <c r="F1461" s="3" t="s">
        <v>338</v>
      </c>
      <c r="G1461" s="3" t="s">
        <v>339</v>
      </c>
      <c r="H1461" s="3" t="s">
        <v>56</v>
      </c>
      <c r="I1461" s="3" t="s">
        <v>32</v>
      </c>
      <c r="J1461" s="3" t="s">
        <v>133</v>
      </c>
      <c r="K1461" s="3" t="s">
        <v>134</v>
      </c>
      <c r="L1461" s="3" t="s">
        <v>69</v>
      </c>
      <c r="M1461" s="3" t="s">
        <v>461</v>
      </c>
      <c r="N1461" s="3" t="s">
        <v>37</v>
      </c>
      <c r="O1461" s="3" t="s">
        <v>71</v>
      </c>
      <c r="P1461" s="3" t="s">
        <v>462</v>
      </c>
      <c r="Q1461" s="5" t="n">
        <v>11265.05</v>
      </c>
      <c r="R1461" s="3" t="n">
        <v>8</v>
      </c>
      <c r="S1461" s="6" t="n">
        <v>0</v>
      </c>
      <c r="T1461" s="5" t="n">
        <v>-176.74</v>
      </c>
      <c r="U1461" s="3" t="str">
        <f aca="false">IF(T1461&lt;0,"Loss",IF(T1461=0,"Break-even","Profit"))</f>
        <v>Loss</v>
      </c>
      <c r="V1461" s="3" t="str">
        <f aca="false">IF(Q1461&lt;100,"Low",IF(Q1461&lt;=500,"Medium","High"))</f>
        <v>High</v>
      </c>
      <c r="W1461" s="3" t="n">
        <f aca="false">D1461-C1461</f>
        <v>4</v>
      </c>
      <c r="X1461" s="3" t="str">
        <f aca="false">TEXT(C1461,"mmmm")</f>
        <v>October</v>
      </c>
      <c r="Y1461" s="3" t="str">
        <f aca="false">LEFT(G1461,1)&amp;MID(G1461,FIND(" ",G1461)+1,1)</f>
        <v>DS</v>
      </c>
    </row>
    <row r="1462" customFormat="false" ht="15" hidden="false" customHeight="false" outlineLevel="0" collapsed="false">
      <c r="A1462" s="3" t="n">
        <v>1461</v>
      </c>
      <c r="B1462" s="3" t="s">
        <v>3230</v>
      </c>
      <c r="C1462" s="4" t="s">
        <v>3221</v>
      </c>
      <c r="D1462" s="4" t="s">
        <v>3231</v>
      </c>
      <c r="E1462" s="3" t="s">
        <v>28</v>
      </c>
      <c r="F1462" s="3" t="s">
        <v>582</v>
      </c>
      <c r="G1462" s="3" t="s">
        <v>583</v>
      </c>
      <c r="H1462" s="3" t="s">
        <v>45</v>
      </c>
      <c r="I1462" s="3" t="s">
        <v>32</v>
      </c>
      <c r="J1462" s="3" t="s">
        <v>476</v>
      </c>
      <c r="K1462" s="3" t="s">
        <v>366</v>
      </c>
      <c r="L1462" s="3" t="s">
        <v>157</v>
      </c>
      <c r="M1462" s="3" t="s">
        <v>209</v>
      </c>
      <c r="N1462" s="3" t="s">
        <v>49</v>
      </c>
      <c r="O1462" s="3" t="s">
        <v>106</v>
      </c>
      <c r="P1462" s="3" t="s">
        <v>210</v>
      </c>
      <c r="Q1462" s="5" t="n">
        <v>193.83</v>
      </c>
      <c r="R1462" s="3" t="n">
        <v>7</v>
      </c>
      <c r="S1462" s="6" t="n">
        <v>0</v>
      </c>
      <c r="T1462" s="5" t="n">
        <v>-32.07</v>
      </c>
      <c r="U1462" s="3" t="str">
        <f aca="false">IF(T1462&lt;0,"Loss",IF(T1462=0,"Break-even","Profit"))</f>
        <v>Loss</v>
      </c>
      <c r="V1462" s="3" t="str">
        <f aca="false">IF(Q1462&lt;100,"Low",IF(Q1462&lt;=500,"Medium","High"))</f>
        <v>Medium</v>
      </c>
      <c r="W1462" s="3" t="n">
        <f aca="false">D1462-C1462</f>
        <v>5</v>
      </c>
      <c r="X1462" s="3" t="str">
        <f aca="false">TEXT(C1462,"mmmm")</f>
        <v>October</v>
      </c>
      <c r="Y1462" s="3" t="str">
        <f aca="false">LEFT(G1462,1)&amp;MID(G1462,FIND(" ",G1462)+1,1)</f>
        <v>PB</v>
      </c>
    </row>
    <row r="1463" customFormat="false" ht="15" hidden="false" customHeight="false" outlineLevel="0" collapsed="false">
      <c r="A1463" s="3" t="n">
        <v>1462</v>
      </c>
      <c r="B1463" s="3" t="s">
        <v>3232</v>
      </c>
      <c r="C1463" s="4" t="s">
        <v>3221</v>
      </c>
      <c r="D1463" s="4" t="s">
        <v>3223</v>
      </c>
      <c r="E1463" s="3" t="s">
        <v>28</v>
      </c>
      <c r="F1463" s="3" t="s">
        <v>1008</v>
      </c>
      <c r="G1463" s="3" t="s">
        <v>1009</v>
      </c>
      <c r="H1463" s="3" t="s">
        <v>56</v>
      </c>
      <c r="I1463" s="3" t="s">
        <v>32</v>
      </c>
      <c r="J1463" s="3" t="s">
        <v>208</v>
      </c>
      <c r="K1463" s="3" t="s">
        <v>134</v>
      </c>
      <c r="L1463" s="3" t="s">
        <v>69</v>
      </c>
      <c r="M1463" s="3" t="s">
        <v>269</v>
      </c>
      <c r="N1463" s="3" t="s">
        <v>89</v>
      </c>
      <c r="O1463" s="3" t="s">
        <v>174</v>
      </c>
      <c r="P1463" s="3" t="s">
        <v>270</v>
      </c>
      <c r="Q1463" s="5" t="n">
        <v>1643.34</v>
      </c>
      <c r="R1463" s="3" t="n">
        <v>7</v>
      </c>
      <c r="S1463" s="6" t="n">
        <v>0.3</v>
      </c>
      <c r="T1463" s="5" t="n">
        <v>-169.82</v>
      </c>
      <c r="U1463" s="3" t="str">
        <f aca="false">IF(T1463&lt;0,"Loss",IF(T1463=0,"Break-even","Profit"))</f>
        <v>Loss</v>
      </c>
      <c r="V1463" s="3" t="str">
        <f aca="false">IF(Q1463&lt;100,"Low",IF(Q1463&lt;=500,"Medium","High"))</f>
        <v>High</v>
      </c>
      <c r="W1463" s="3" t="n">
        <f aca="false">D1463-C1463</f>
        <v>3</v>
      </c>
      <c r="X1463" s="3" t="str">
        <f aca="false">TEXT(C1463,"mmmm")</f>
        <v>October</v>
      </c>
      <c r="Y1463" s="3" t="str">
        <f aca="false">LEFT(G1463,1)&amp;MID(G1463,FIND(" ",G1463)+1,1)</f>
        <v>SJ</v>
      </c>
    </row>
    <row r="1464" customFormat="false" ht="15" hidden="false" customHeight="false" outlineLevel="0" collapsed="false">
      <c r="A1464" s="3" t="n">
        <v>1463</v>
      </c>
      <c r="B1464" s="3" t="s">
        <v>3071</v>
      </c>
      <c r="C1464" s="4" t="s">
        <v>3221</v>
      </c>
      <c r="D1464" s="4" t="s">
        <v>3223</v>
      </c>
      <c r="E1464" s="3" t="s">
        <v>84</v>
      </c>
      <c r="F1464" s="3" t="s">
        <v>338</v>
      </c>
      <c r="G1464" s="3" t="s">
        <v>469</v>
      </c>
      <c r="H1464" s="3" t="s">
        <v>45</v>
      </c>
      <c r="I1464" s="3" t="s">
        <v>32</v>
      </c>
      <c r="J1464" s="3" t="s">
        <v>120</v>
      </c>
      <c r="K1464" s="3" t="s">
        <v>113</v>
      </c>
      <c r="L1464" s="3" t="s">
        <v>69</v>
      </c>
      <c r="M1464" s="3" t="s">
        <v>447</v>
      </c>
      <c r="N1464" s="3" t="s">
        <v>89</v>
      </c>
      <c r="O1464" s="3" t="s">
        <v>323</v>
      </c>
      <c r="P1464" s="3" t="s">
        <v>448</v>
      </c>
      <c r="Q1464" s="5" t="n">
        <v>1654.86</v>
      </c>
      <c r="R1464" s="3" t="n">
        <v>9</v>
      </c>
      <c r="S1464" s="6" t="n">
        <v>0.3</v>
      </c>
      <c r="T1464" s="5" t="n">
        <v>-27.52</v>
      </c>
      <c r="U1464" s="3" t="str">
        <f aca="false">IF(T1464&lt;0,"Loss",IF(T1464=0,"Break-even","Profit"))</f>
        <v>Loss</v>
      </c>
      <c r="V1464" s="3" t="str">
        <f aca="false">IF(Q1464&lt;100,"Low",IF(Q1464&lt;=500,"Medium","High"))</f>
        <v>High</v>
      </c>
      <c r="W1464" s="3" t="n">
        <f aca="false">D1464-C1464</f>
        <v>3</v>
      </c>
      <c r="X1464" s="3" t="str">
        <f aca="false">TEXT(C1464,"mmmm")</f>
        <v>October</v>
      </c>
      <c r="Y1464" s="3" t="str">
        <f aca="false">LEFT(G1464,1)&amp;MID(G1464,FIND(" ",G1464)+1,1)</f>
        <v>WJ</v>
      </c>
    </row>
    <row r="1465" customFormat="false" ht="15" hidden="false" customHeight="false" outlineLevel="0" collapsed="false">
      <c r="A1465" s="3" t="n">
        <v>1464</v>
      </c>
      <c r="B1465" s="3" t="s">
        <v>3233</v>
      </c>
      <c r="C1465" s="4" t="s">
        <v>3234</v>
      </c>
      <c r="D1465" s="4" t="s">
        <v>3231</v>
      </c>
      <c r="E1465" s="3" t="s">
        <v>28</v>
      </c>
      <c r="F1465" s="3" t="s">
        <v>1263</v>
      </c>
      <c r="G1465" s="3" t="s">
        <v>1264</v>
      </c>
      <c r="H1465" s="3" t="s">
        <v>45</v>
      </c>
      <c r="I1465" s="3" t="s">
        <v>32</v>
      </c>
      <c r="J1465" s="3" t="s">
        <v>67</v>
      </c>
      <c r="K1465" s="3" t="s">
        <v>68</v>
      </c>
      <c r="L1465" s="3" t="s">
        <v>69</v>
      </c>
      <c r="M1465" s="3" t="s">
        <v>683</v>
      </c>
      <c r="N1465" s="3" t="s">
        <v>37</v>
      </c>
      <c r="O1465" s="3" t="s">
        <v>136</v>
      </c>
      <c r="P1465" s="3" t="s">
        <v>684</v>
      </c>
      <c r="Q1465" s="5" t="n">
        <v>9818.87</v>
      </c>
      <c r="R1465" s="3" t="n">
        <v>11</v>
      </c>
      <c r="S1465" s="6" t="n">
        <v>0.2</v>
      </c>
      <c r="T1465" s="5" t="n">
        <v>2011.75</v>
      </c>
      <c r="U1465" s="3" t="str">
        <f aca="false">IF(T1465&lt;0,"Loss",IF(T1465=0,"Break-even","Profit"))</f>
        <v>Profit</v>
      </c>
      <c r="V1465" s="3" t="str">
        <f aca="false">IF(Q1465&lt;100,"Low",IF(Q1465&lt;=500,"Medium","High"))</f>
        <v>High</v>
      </c>
      <c r="W1465" s="3" t="n">
        <f aca="false">D1465-C1465</f>
        <v>4</v>
      </c>
      <c r="X1465" s="3" t="str">
        <f aca="false">TEXT(C1465,"mmmm")</f>
        <v>October</v>
      </c>
      <c r="Y1465" s="3" t="str">
        <f aca="false">LEFT(G1465,1)&amp;MID(G1465,FIND(" ",G1465)+1,1)</f>
        <v>MR</v>
      </c>
    </row>
    <row r="1466" customFormat="false" ht="15" hidden="false" customHeight="false" outlineLevel="0" collapsed="false">
      <c r="A1466" s="3" t="n">
        <v>1465</v>
      </c>
      <c r="B1466" s="3" t="s">
        <v>3235</v>
      </c>
      <c r="C1466" s="4" t="s">
        <v>3228</v>
      </c>
      <c r="D1466" s="4" t="s">
        <v>3236</v>
      </c>
      <c r="E1466" s="3" t="s">
        <v>84</v>
      </c>
      <c r="F1466" s="3" t="s">
        <v>1335</v>
      </c>
      <c r="G1466" s="3" t="s">
        <v>1336</v>
      </c>
      <c r="H1466" s="3" t="s">
        <v>56</v>
      </c>
      <c r="I1466" s="3" t="s">
        <v>32</v>
      </c>
      <c r="J1466" s="3" t="s">
        <v>188</v>
      </c>
      <c r="K1466" s="3" t="s">
        <v>189</v>
      </c>
      <c r="L1466" s="3" t="s">
        <v>59</v>
      </c>
      <c r="M1466" s="3" t="s">
        <v>79</v>
      </c>
      <c r="N1466" s="3" t="s">
        <v>49</v>
      </c>
      <c r="O1466" s="3" t="s">
        <v>80</v>
      </c>
      <c r="P1466" s="3" t="s">
        <v>81</v>
      </c>
      <c r="Q1466" s="5" t="n">
        <v>111.48</v>
      </c>
      <c r="R1466" s="3" t="n">
        <v>2</v>
      </c>
      <c r="S1466" s="6" t="n">
        <v>0</v>
      </c>
      <c r="T1466" s="5" t="n">
        <v>9.52</v>
      </c>
      <c r="U1466" s="3" t="str">
        <f aca="false">IF(T1466&lt;0,"Loss",IF(T1466=0,"Break-even","Profit"))</f>
        <v>Profit</v>
      </c>
      <c r="V1466" s="3" t="str">
        <f aca="false">IF(Q1466&lt;100,"Low",IF(Q1466&lt;=500,"Medium","High"))</f>
        <v>Medium</v>
      </c>
      <c r="W1466" s="3" t="n">
        <f aca="false">D1466-C1466</f>
        <v>4</v>
      </c>
      <c r="X1466" s="3" t="str">
        <f aca="false">TEXT(C1466,"mmmm")</f>
        <v>October</v>
      </c>
      <c r="Y1466" s="3" t="str">
        <f aca="false">LEFT(G1466,1)&amp;MID(G1466,FIND(" ",G1466)+1,1)</f>
        <v>AK</v>
      </c>
    </row>
    <row r="1467" customFormat="false" ht="15" hidden="false" customHeight="false" outlineLevel="0" collapsed="false">
      <c r="A1467" s="3" t="n">
        <v>1466</v>
      </c>
      <c r="B1467" s="3" t="s">
        <v>3237</v>
      </c>
      <c r="C1467" s="4" t="s">
        <v>3238</v>
      </c>
      <c r="D1467" s="4" t="s">
        <v>3236</v>
      </c>
      <c r="E1467" s="3" t="s">
        <v>42</v>
      </c>
      <c r="F1467" s="3" t="s">
        <v>2720</v>
      </c>
      <c r="G1467" s="3" t="s">
        <v>2721</v>
      </c>
      <c r="H1467" s="3" t="s">
        <v>56</v>
      </c>
      <c r="I1467" s="3" t="s">
        <v>32</v>
      </c>
      <c r="J1467" s="3" t="s">
        <v>386</v>
      </c>
      <c r="K1467" s="3" t="s">
        <v>387</v>
      </c>
      <c r="L1467" s="3" t="s">
        <v>35</v>
      </c>
      <c r="M1467" s="3" t="s">
        <v>195</v>
      </c>
      <c r="N1467" s="3" t="s">
        <v>37</v>
      </c>
      <c r="O1467" s="3" t="s">
        <v>196</v>
      </c>
      <c r="P1467" s="3" t="s">
        <v>197</v>
      </c>
      <c r="Q1467" s="5" t="n">
        <v>15065.25</v>
      </c>
      <c r="R1467" s="3" t="n">
        <v>9</v>
      </c>
      <c r="S1467" s="6" t="n">
        <v>0</v>
      </c>
      <c r="T1467" s="5" t="n">
        <v>4924.55</v>
      </c>
      <c r="U1467" s="3" t="str">
        <f aca="false">IF(T1467&lt;0,"Loss",IF(T1467=0,"Break-even","Profit"))</f>
        <v>Profit</v>
      </c>
      <c r="V1467" s="3" t="str">
        <f aca="false">IF(Q1467&lt;100,"Low",IF(Q1467&lt;=500,"Medium","High"))</f>
        <v>High</v>
      </c>
      <c r="W1467" s="3" t="n">
        <f aca="false">D1467-C1467</f>
        <v>2</v>
      </c>
      <c r="X1467" s="3" t="str">
        <f aca="false">TEXT(C1467,"mmmm")</f>
        <v>October</v>
      </c>
      <c r="Y1467" s="3" t="str">
        <f aca="false">LEFT(G1467,1)&amp;MID(G1467,FIND(" ",G1467)+1,1)</f>
        <v>RR</v>
      </c>
    </row>
    <row r="1468" customFormat="false" ht="15" hidden="false" customHeight="false" outlineLevel="0" collapsed="false">
      <c r="A1468" s="3" t="n">
        <v>1467</v>
      </c>
      <c r="B1468" s="3" t="s">
        <v>3239</v>
      </c>
      <c r="C1468" s="4" t="s">
        <v>3240</v>
      </c>
      <c r="D1468" s="4" t="s">
        <v>3241</v>
      </c>
      <c r="E1468" s="3" t="s">
        <v>28</v>
      </c>
      <c r="F1468" s="3" t="s">
        <v>1278</v>
      </c>
      <c r="G1468" s="3" t="s">
        <v>1279</v>
      </c>
      <c r="H1468" s="3" t="s">
        <v>56</v>
      </c>
      <c r="I1468" s="3" t="s">
        <v>32</v>
      </c>
      <c r="J1468" s="3" t="s">
        <v>381</v>
      </c>
      <c r="K1468" s="3" t="s">
        <v>58</v>
      </c>
      <c r="L1468" s="3" t="s">
        <v>59</v>
      </c>
      <c r="M1468" s="3" t="s">
        <v>48</v>
      </c>
      <c r="N1468" s="3" t="s">
        <v>49</v>
      </c>
      <c r="O1468" s="3" t="s">
        <v>50</v>
      </c>
      <c r="P1468" s="3" t="s">
        <v>51</v>
      </c>
      <c r="Q1468" s="5" t="n">
        <v>1059.5</v>
      </c>
      <c r="R1468" s="3" t="n">
        <v>12</v>
      </c>
      <c r="S1468" s="6" t="n">
        <v>0</v>
      </c>
      <c r="T1468" s="5" t="n">
        <v>143.52</v>
      </c>
      <c r="U1468" s="3" t="str">
        <f aca="false">IF(T1468&lt;0,"Loss",IF(T1468=0,"Break-even","Profit"))</f>
        <v>Profit</v>
      </c>
      <c r="V1468" s="3" t="str">
        <f aca="false">IF(Q1468&lt;100,"Low",IF(Q1468&lt;=500,"Medium","High"))</f>
        <v>High</v>
      </c>
      <c r="W1468" s="3" t="n">
        <f aca="false">D1468-C1468</f>
        <v>6</v>
      </c>
      <c r="X1468" s="3" t="str">
        <f aca="false">TEXT(C1468,"mmmm")</f>
        <v>October</v>
      </c>
      <c r="Y1468" s="3" t="str">
        <f aca="false">LEFT(G1468,1)&amp;MID(G1468,FIND(" ",G1468)+1,1)</f>
        <v>MC</v>
      </c>
    </row>
    <row r="1469" customFormat="false" ht="15" hidden="false" customHeight="false" outlineLevel="0" collapsed="false">
      <c r="A1469" s="3" t="n">
        <v>1468</v>
      </c>
      <c r="B1469" s="3" t="s">
        <v>2688</v>
      </c>
      <c r="C1469" s="4" t="s">
        <v>3240</v>
      </c>
      <c r="D1469" s="4" t="s">
        <v>3242</v>
      </c>
      <c r="E1469" s="3" t="s">
        <v>28</v>
      </c>
      <c r="F1469" s="3" t="s">
        <v>1233</v>
      </c>
      <c r="G1469" s="3" t="s">
        <v>1234</v>
      </c>
      <c r="H1469" s="3" t="s">
        <v>56</v>
      </c>
      <c r="I1469" s="3" t="s">
        <v>32</v>
      </c>
      <c r="J1469" s="3" t="s">
        <v>148</v>
      </c>
      <c r="K1469" s="3" t="s">
        <v>78</v>
      </c>
      <c r="L1469" s="3" t="s">
        <v>59</v>
      </c>
      <c r="M1469" s="3" t="s">
        <v>290</v>
      </c>
      <c r="N1469" s="3" t="s">
        <v>37</v>
      </c>
      <c r="O1469" s="3" t="s">
        <v>38</v>
      </c>
      <c r="P1469" s="3" t="s">
        <v>291</v>
      </c>
      <c r="Q1469" s="5" t="n">
        <v>1341.66</v>
      </c>
      <c r="R1469" s="3" t="n">
        <v>2</v>
      </c>
      <c r="S1469" s="6" t="n">
        <v>0</v>
      </c>
      <c r="T1469" s="5" t="n">
        <v>132.46</v>
      </c>
      <c r="U1469" s="3" t="str">
        <f aca="false">IF(T1469&lt;0,"Loss",IF(T1469=0,"Break-even","Profit"))</f>
        <v>Profit</v>
      </c>
      <c r="V1469" s="3" t="str">
        <f aca="false">IF(Q1469&lt;100,"Low",IF(Q1469&lt;=500,"Medium","High"))</f>
        <v>High</v>
      </c>
      <c r="W1469" s="3" t="n">
        <f aca="false">D1469-C1469</f>
        <v>5</v>
      </c>
      <c r="X1469" s="3" t="str">
        <f aca="false">TEXT(C1469,"mmmm")</f>
        <v>October</v>
      </c>
      <c r="Y1469" s="3" t="str">
        <f aca="false">LEFT(G1469,1)&amp;MID(G1469,FIND(" ",G1469)+1,1)</f>
        <v>WJ</v>
      </c>
    </row>
    <row r="1470" customFormat="false" ht="15" hidden="false" customHeight="false" outlineLevel="0" collapsed="false">
      <c r="A1470" s="3" t="n">
        <v>1469</v>
      </c>
      <c r="B1470" s="3" t="s">
        <v>3243</v>
      </c>
      <c r="C1470" s="4" t="s">
        <v>3244</v>
      </c>
      <c r="D1470" s="4" t="s">
        <v>3241</v>
      </c>
      <c r="E1470" s="3" t="s">
        <v>28</v>
      </c>
      <c r="F1470" s="3" t="s">
        <v>1194</v>
      </c>
      <c r="G1470" s="3" t="s">
        <v>1195</v>
      </c>
      <c r="H1470" s="3" t="s">
        <v>31</v>
      </c>
      <c r="I1470" s="3" t="s">
        <v>32</v>
      </c>
      <c r="J1470" s="3" t="s">
        <v>179</v>
      </c>
      <c r="K1470" s="3" t="s">
        <v>47</v>
      </c>
      <c r="L1470" s="3" t="s">
        <v>35</v>
      </c>
      <c r="M1470" s="3" t="s">
        <v>237</v>
      </c>
      <c r="N1470" s="3" t="s">
        <v>49</v>
      </c>
      <c r="O1470" s="3" t="s">
        <v>220</v>
      </c>
      <c r="P1470" s="3" t="s">
        <v>238</v>
      </c>
      <c r="Q1470" s="5" t="n">
        <v>321.26</v>
      </c>
      <c r="R1470" s="3" t="n">
        <v>10</v>
      </c>
      <c r="S1470" s="6" t="n">
        <v>0</v>
      </c>
      <c r="T1470" s="5" t="n">
        <v>-34.57</v>
      </c>
      <c r="U1470" s="3" t="str">
        <f aca="false">IF(T1470&lt;0,"Loss",IF(T1470=0,"Break-even","Profit"))</f>
        <v>Loss</v>
      </c>
      <c r="V1470" s="3" t="str">
        <f aca="false">IF(Q1470&lt;100,"Low",IF(Q1470&lt;=500,"Medium","High"))</f>
        <v>Medium</v>
      </c>
      <c r="W1470" s="3" t="n">
        <f aca="false">D1470-C1470</f>
        <v>5</v>
      </c>
      <c r="X1470" s="3" t="str">
        <f aca="false">TEXT(C1470,"mmmm")</f>
        <v>October</v>
      </c>
      <c r="Y1470" s="3" t="str">
        <f aca="false">LEFT(G1470,1)&amp;MID(G1470,FIND(" ",G1470)+1,1)</f>
        <v>JK</v>
      </c>
    </row>
    <row r="1471" customFormat="false" ht="15" hidden="false" customHeight="false" outlineLevel="0" collapsed="false">
      <c r="A1471" s="3" t="n">
        <v>1470</v>
      </c>
      <c r="B1471" s="3" t="s">
        <v>2980</v>
      </c>
      <c r="C1471" s="4" t="s">
        <v>3245</v>
      </c>
      <c r="D1471" s="4" t="s">
        <v>3241</v>
      </c>
      <c r="E1471" s="3" t="s">
        <v>84</v>
      </c>
      <c r="F1471" s="3" t="s">
        <v>1459</v>
      </c>
      <c r="G1471" s="3" t="s">
        <v>1460</v>
      </c>
      <c r="H1471" s="3" t="s">
        <v>31</v>
      </c>
      <c r="I1471" s="3" t="s">
        <v>32</v>
      </c>
      <c r="J1471" s="3" t="s">
        <v>306</v>
      </c>
      <c r="K1471" s="3" t="s">
        <v>307</v>
      </c>
      <c r="L1471" s="3" t="s">
        <v>69</v>
      </c>
      <c r="M1471" s="3" t="s">
        <v>48</v>
      </c>
      <c r="N1471" s="3" t="s">
        <v>49</v>
      </c>
      <c r="O1471" s="3" t="s">
        <v>50</v>
      </c>
      <c r="P1471" s="3" t="s">
        <v>51</v>
      </c>
      <c r="Q1471" s="5" t="n">
        <v>1008.74</v>
      </c>
      <c r="R1471" s="3" t="n">
        <v>10</v>
      </c>
      <c r="S1471" s="6" t="n">
        <v>0.1</v>
      </c>
      <c r="T1471" s="5" t="n">
        <v>151.41</v>
      </c>
      <c r="U1471" s="3" t="str">
        <f aca="false">IF(T1471&lt;0,"Loss",IF(T1471=0,"Break-even","Profit"))</f>
        <v>Profit</v>
      </c>
      <c r="V1471" s="3" t="str">
        <f aca="false">IF(Q1471&lt;100,"Low",IF(Q1471&lt;=500,"Medium","High"))</f>
        <v>High</v>
      </c>
      <c r="W1471" s="3" t="n">
        <f aca="false">D1471-C1471</f>
        <v>4</v>
      </c>
      <c r="X1471" s="3" t="str">
        <f aca="false">TEXT(C1471,"mmmm")</f>
        <v>October</v>
      </c>
      <c r="Y1471" s="3" t="str">
        <f aca="false">LEFT(G1471,1)&amp;MID(G1471,FIND(" ",G1471)+1,1)</f>
        <v>AS</v>
      </c>
    </row>
    <row r="1472" customFormat="false" ht="15" hidden="false" customHeight="false" outlineLevel="0" collapsed="false">
      <c r="A1472" s="3" t="n">
        <v>1471</v>
      </c>
      <c r="B1472" s="3" t="s">
        <v>3246</v>
      </c>
      <c r="C1472" s="4" t="s">
        <v>3245</v>
      </c>
      <c r="D1472" s="4" t="s">
        <v>3247</v>
      </c>
      <c r="E1472" s="3" t="s">
        <v>28</v>
      </c>
      <c r="F1472" s="3" t="s">
        <v>1826</v>
      </c>
      <c r="G1472" s="3" t="s">
        <v>1827</v>
      </c>
      <c r="H1472" s="3" t="s">
        <v>31</v>
      </c>
      <c r="I1472" s="3" t="s">
        <v>32</v>
      </c>
      <c r="J1472" s="3" t="s">
        <v>381</v>
      </c>
      <c r="K1472" s="3" t="s">
        <v>58</v>
      </c>
      <c r="L1472" s="3" t="s">
        <v>59</v>
      </c>
      <c r="M1472" s="3" t="s">
        <v>420</v>
      </c>
      <c r="N1472" s="3" t="s">
        <v>49</v>
      </c>
      <c r="O1472" s="3" t="s">
        <v>80</v>
      </c>
      <c r="P1472" s="3" t="s">
        <v>421</v>
      </c>
      <c r="Q1472" s="5" t="n">
        <v>41.11</v>
      </c>
      <c r="R1472" s="3" t="n">
        <v>1</v>
      </c>
      <c r="S1472" s="6" t="n">
        <v>0</v>
      </c>
      <c r="T1472" s="5" t="n">
        <v>10.38</v>
      </c>
      <c r="U1472" s="3" t="str">
        <f aca="false">IF(T1472&lt;0,"Loss",IF(T1472=0,"Break-even","Profit"))</f>
        <v>Profit</v>
      </c>
      <c r="V1472" s="3" t="str">
        <f aca="false">IF(Q1472&lt;100,"Low",IF(Q1472&lt;=500,"Medium","High"))</f>
        <v>Low</v>
      </c>
      <c r="W1472" s="3" t="n">
        <f aca="false">D1472-C1472</f>
        <v>7</v>
      </c>
      <c r="X1472" s="3" t="str">
        <f aca="false">TEXT(C1472,"mmmm")</f>
        <v>October</v>
      </c>
      <c r="Y1472" s="3" t="str">
        <f aca="false">LEFT(G1472,1)&amp;MID(G1472,FIND(" ",G1472)+1,1)</f>
        <v>EG</v>
      </c>
    </row>
    <row r="1473" customFormat="false" ht="15" hidden="false" customHeight="false" outlineLevel="0" collapsed="false">
      <c r="A1473" s="3" t="n">
        <v>1472</v>
      </c>
      <c r="B1473" s="3" t="s">
        <v>3016</v>
      </c>
      <c r="C1473" s="4" t="s">
        <v>3248</v>
      </c>
      <c r="D1473" s="4" t="s">
        <v>3241</v>
      </c>
      <c r="E1473" s="3" t="s">
        <v>42</v>
      </c>
      <c r="F1473" s="3" t="s">
        <v>241</v>
      </c>
      <c r="G1473" s="3" t="s">
        <v>242</v>
      </c>
      <c r="H1473" s="3" t="s">
        <v>56</v>
      </c>
      <c r="I1473" s="3" t="s">
        <v>32</v>
      </c>
      <c r="J1473" s="3" t="s">
        <v>57</v>
      </c>
      <c r="K1473" s="3" t="s">
        <v>58</v>
      </c>
      <c r="L1473" s="3" t="s">
        <v>59</v>
      </c>
      <c r="M1473" s="3" t="s">
        <v>149</v>
      </c>
      <c r="N1473" s="3" t="s">
        <v>49</v>
      </c>
      <c r="O1473" s="3" t="s">
        <v>150</v>
      </c>
      <c r="P1473" s="3" t="s">
        <v>151</v>
      </c>
      <c r="Q1473" s="5" t="n">
        <v>837.85</v>
      </c>
      <c r="R1473" s="3" t="n">
        <v>8</v>
      </c>
      <c r="S1473" s="6" t="n">
        <v>0.4</v>
      </c>
      <c r="T1473" s="5" t="n">
        <v>-189.58</v>
      </c>
      <c r="U1473" s="3" t="str">
        <f aca="false">IF(T1473&lt;0,"Loss",IF(T1473=0,"Break-even","Profit"))</f>
        <v>Loss</v>
      </c>
      <c r="V1473" s="3" t="str">
        <f aca="false">IF(Q1473&lt;100,"Low",IF(Q1473&lt;=500,"Medium","High"))</f>
        <v>High</v>
      </c>
      <c r="W1473" s="3" t="n">
        <f aca="false">D1473-C1473</f>
        <v>2</v>
      </c>
      <c r="X1473" s="3" t="str">
        <f aca="false">TEXT(C1473,"mmmm")</f>
        <v>October</v>
      </c>
      <c r="Y1473" s="3" t="str">
        <f aca="false">LEFT(G1473,1)&amp;MID(G1473,FIND(" ",G1473)+1,1)</f>
        <v>AC</v>
      </c>
    </row>
    <row r="1474" customFormat="false" ht="15" hidden="false" customHeight="false" outlineLevel="0" collapsed="false">
      <c r="A1474" s="3" t="n">
        <v>1473</v>
      </c>
      <c r="B1474" s="3" t="s">
        <v>3249</v>
      </c>
      <c r="C1474" s="4" t="s">
        <v>3248</v>
      </c>
      <c r="D1474" s="4" t="s">
        <v>3247</v>
      </c>
      <c r="E1474" s="3" t="s">
        <v>28</v>
      </c>
      <c r="F1474" s="3" t="s">
        <v>1008</v>
      </c>
      <c r="G1474" s="3" t="s">
        <v>1009</v>
      </c>
      <c r="H1474" s="3" t="s">
        <v>56</v>
      </c>
      <c r="I1474" s="3" t="s">
        <v>32</v>
      </c>
      <c r="J1474" s="3" t="s">
        <v>67</v>
      </c>
      <c r="K1474" s="3" t="s">
        <v>68</v>
      </c>
      <c r="L1474" s="3" t="s">
        <v>69</v>
      </c>
      <c r="M1474" s="3" t="s">
        <v>60</v>
      </c>
      <c r="N1474" s="3" t="s">
        <v>49</v>
      </c>
      <c r="O1474" s="3" t="s">
        <v>61</v>
      </c>
      <c r="P1474" s="3" t="s">
        <v>62</v>
      </c>
      <c r="Q1474" s="5" t="n">
        <v>891.1</v>
      </c>
      <c r="R1474" s="3" t="n">
        <v>8</v>
      </c>
      <c r="S1474" s="6" t="n">
        <v>0</v>
      </c>
      <c r="T1474" s="5" t="n">
        <v>17.28</v>
      </c>
      <c r="U1474" s="3" t="str">
        <f aca="false">IF(T1474&lt;0,"Loss",IF(T1474=0,"Break-even","Profit"))</f>
        <v>Profit</v>
      </c>
      <c r="V1474" s="3" t="str">
        <f aca="false">IF(Q1474&lt;100,"Low",IF(Q1474&lt;=500,"Medium","High"))</f>
        <v>High</v>
      </c>
      <c r="W1474" s="3" t="n">
        <f aca="false">D1474-C1474</f>
        <v>5</v>
      </c>
      <c r="X1474" s="3" t="str">
        <f aca="false">TEXT(C1474,"mmmm")</f>
        <v>October</v>
      </c>
      <c r="Y1474" s="3" t="str">
        <f aca="false">LEFT(G1474,1)&amp;MID(G1474,FIND(" ",G1474)+1,1)</f>
        <v>SJ</v>
      </c>
    </row>
    <row r="1475" customFormat="false" ht="15" hidden="false" customHeight="false" outlineLevel="0" collapsed="false">
      <c r="A1475" s="3" t="n">
        <v>1474</v>
      </c>
      <c r="B1475" s="3" t="s">
        <v>3250</v>
      </c>
      <c r="C1475" s="4" t="s">
        <v>3242</v>
      </c>
      <c r="D1475" s="4" t="s">
        <v>3251</v>
      </c>
      <c r="E1475" s="3" t="s">
        <v>28</v>
      </c>
      <c r="F1475" s="3" t="s">
        <v>2389</v>
      </c>
      <c r="G1475" s="3" t="s">
        <v>2390</v>
      </c>
      <c r="H1475" s="3" t="s">
        <v>45</v>
      </c>
      <c r="I1475" s="3" t="s">
        <v>32</v>
      </c>
      <c r="J1475" s="3" t="s">
        <v>87</v>
      </c>
      <c r="K1475" s="3" t="s">
        <v>68</v>
      </c>
      <c r="L1475" s="3" t="s">
        <v>69</v>
      </c>
      <c r="M1475" s="3" t="s">
        <v>225</v>
      </c>
      <c r="N1475" s="3" t="s">
        <v>37</v>
      </c>
      <c r="O1475" s="3" t="s">
        <v>196</v>
      </c>
      <c r="P1475" s="3" t="s">
        <v>226</v>
      </c>
      <c r="Q1475" s="5" t="n">
        <v>1936.09</v>
      </c>
      <c r="R1475" s="3" t="n">
        <v>2</v>
      </c>
      <c r="S1475" s="6" t="n">
        <v>0.2</v>
      </c>
      <c r="T1475" s="5" t="n">
        <v>4.64</v>
      </c>
      <c r="U1475" s="3" t="str">
        <f aca="false">IF(T1475&lt;0,"Loss",IF(T1475=0,"Break-even","Profit"))</f>
        <v>Profit</v>
      </c>
      <c r="V1475" s="3" t="str">
        <f aca="false">IF(Q1475&lt;100,"Low",IF(Q1475&lt;=500,"Medium","High"))</f>
        <v>High</v>
      </c>
      <c r="W1475" s="3" t="n">
        <f aca="false">D1475-C1475</f>
        <v>3</v>
      </c>
      <c r="X1475" s="3" t="str">
        <f aca="false">TEXT(C1475,"mmmm")</f>
        <v>October</v>
      </c>
      <c r="Y1475" s="3" t="str">
        <f aca="false">LEFT(G1475,1)&amp;MID(G1475,FIND(" ",G1475)+1,1)</f>
        <v>AS</v>
      </c>
    </row>
    <row r="1476" customFormat="false" ht="15" hidden="false" customHeight="false" outlineLevel="0" collapsed="false">
      <c r="A1476" s="3" t="n">
        <v>1475</v>
      </c>
      <c r="B1476" s="3" t="s">
        <v>3252</v>
      </c>
      <c r="C1476" s="4" t="s">
        <v>3241</v>
      </c>
      <c r="D1476" s="4" t="s">
        <v>3253</v>
      </c>
      <c r="E1476" s="3" t="s">
        <v>42</v>
      </c>
      <c r="F1476" s="3" t="s">
        <v>1102</v>
      </c>
      <c r="G1476" s="3" t="s">
        <v>1103</v>
      </c>
      <c r="H1476" s="3" t="s">
        <v>45</v>
      </c>
      <c r="I1476" s="3" t="s">
        <v>32</v>
      </c>
      <c r="J1476" s="3" t="s">
        <v>365</v>
      </c>
      <c r="K1476" s="3" t="s">
        <v>366</v>
      </c>
      <c r="L1476" s="3" t="s">
        <v>157</v>
      </c>
      <c r="M1476" s="3" t="s">
        <v>88</v>
      </c>
      <c r="N1476" s="3" t="s">
        <v>89</v>
      </c>
      <c r="O1476" s="3" t="s">
        <v>90</v>
      </c>
      <c r="P1476" s="3" t="s">
        <v>91</v>
      </c>
      <c r="Q1476" s="5" t="n">
        <v>4048.72</v>
      </c>
      <c r="R1476" s="3" t="n">
        <v>6</v>
      </c>
      <c r="S1476" s="6" t="n">
        <v>0.2</v>
      </c>
      <c r="T1476" s="5" t="n">
        <v>-822.4</v>
      </c>
      <c r="U1476" s="3" t="str">
        <f aca="false">IF(T1476&lt;0,"Loss",IF(T1476=0,"Break-even","Profit"))</f>
        <v>Loss</v>
      </c>
      <c r="V1476" s="3" t="str">
        <f aca="false">IF(Q1476&lt;100,"Low",IF(Q1476&lt;=500,"Medium","High"))</f>
        <v>High</v>
      </c>
      <c r="W1476" s="3" t="n">
        <f aca="false">D1476-C1476</f>
        <v>1</v>
      </c>
      <c r="X1476" s="3" t="str">
        <f aca="false">TEXT(C1476,"mmmm")</f>
        <v>October</v>
      </c>
      <c r="Y1476" s="3" t="str">
        <f aca="false">LEFT(G1476,1)&amp;MID(G1476,FIND(" ",G1476)+1,1)</f>
        <v>DS</v>
      </c>
    </row>
    <row r="1477" customFormat="false" ht="15" hidden="false" customHeight="false" outlineLevel="0" collapsed="false">
      <c r="A1477" s="3" t="n">
        <v>1476</v>
      </c>
      <c r="B1477" s="3" t="s">
        <v>3254</v>
      </c>
      <c r="C1477" s="4" t="s">
        <v>3241</v>
      </c>
      <c r="D1477" s="4" t="s">
        <v>3251</v>
      </c>
      <c r="E1477" s="3" t="s">
        <v>42</v>
      </c>
      <c r="F1477" s="3" t="s">
        <v>1714</v>
      </c>
      <c r="G1477" s="3" t="s">
        <v>1715</v>
      </c>
      <c r="H1477" s="3" t="s">
        <v>56</v>
      </c>
      <c r="I1477" s="3" t="s">
        <v>32</v>
      </c>
      <c r="J1477" s="3" t="s">
        <v>87</v>
      </c>
      <c r="K1477" s="3" t="s">
        <v>68</v>
      </c>
      <c r="L1477" s="3" t="s">
        <v>69</v>
      </c>
      <c r="M1477" s="3" t="s">
        <v>88</v>
      </c>
      <c r="N1477" s="3" t="s">
        <v>89</v>
      </c>
      <c r="O1477" s="3" t="s">
        <v>90</v>
      </c>
      <c r="P1477" s="3" t="s">
        <v>91</v>
      </c>
      <c r="Q1477" s="5" t="n">
        <v>959.33</v>
      </c>
      <c r="R1477" s="3" t="n">
        <v>7</v>
      </c>
      <c r="S1477" s="6" t="n">
        <v>0</v>
      </c>
      <c r="T1477" s="5" t="n">
        <v>-161.6</v>
      </c>
      <c r="U1477" s="3" t="str">
        <f aca="false">IF(T1477&lt;0,"Loss",IF(T1477=0,"Break-even","Profit"))</f>
        <v>Loss</v>
      </c>
      <c r="V1477" s="3" t="str">
        <f aca="false">IF(Q1477&lt;100,"Low",IF(Q1477&lt;=500,"Medium","High"))</f>
        <v>High</v>
      </c>
      <c r="W1477" s="3" t="n">
        <f aca="false">D1477-C1477</f>
        <v>2</v>
      </c>
      <c r="X1477" s="3" t="str">
        <f aca="false">TEXT(C1477,"mmmm")</f>
        <v>October</v>
      </c>
      <c r="Y1477" s="3" t="str">
        <f aca="false">LEFT(G1477,1)&amp;MID(G1477,FIND(" ",G1477)+1,1)</f>
        <v>AD</v>
      </c>
    </row>
    <row r="1478" customFormat="false" ht="15" hidden="false" customHeight="false" outlineLevel="0" collapsed="false">
      <c r="A1478" s="3" t="n">
        <v>1477</v>
      </c>
      <c r="B1478" s="3" t="s">
        <v>2668</v>
      </c>
      <c r="C1478" s="4" t="s">
        <v>3241</v>
      </c>
      <c r="D1478" s="4" t="s">
        <v>3251</v>
      </c>
      <c r="E1478" s="3" t="s">
        <v>42</v>
      </c>
      <c r="F1478" s="3" t="s">
        <v>1812</v>
      </c>
      <c r="G1478" s="3" t="s">
        <v>1813</v>
      </c>
      <c r="H1478" s="3" t="s">
        <v>45</v>
      </c>
      <c r="I1478" s="3" t="s">
        <v>32</v>
      </c>
      <c r="J1478" s="3" t="s">
        <v>243</v>
      </c>
      <c r="K1478" s="3" t="s">
        <v>244</v>
      </c>
      <c r="L1478" s="3" t="s">
        <v>157</v>
      </c>
      <c r="M1478" s="3" t="s">
        <v>237</v>
      </c>
      <c r="N1478" s="3" t="s">
        <v>49</v>
      </c>
      <c r="O1478" s="3" t="s">
        <v>220</v>
      </c>
      <c r="P1478" s="3" t="s">
        <v>238</v>
      </c>
      <c r="Q1478" s="5" t="n">
        <v>1292.21</v>
      </c>
      <c r="R1478" s="3" t="n">
        <v>13</v>
      </c>
      <c r="S1478" s="6" t="n">
        <v>0.1</v>
      </c>
      <c r="T1478" s="5" t="n">
        <v>155.2</v>
      </c>
      <c r="U1478" s="3" t="str">
        <f aca="false">IF(T1478&lt;0,"Loss",IF(T1478=0,"Break-even","Profit"))</f>
        <v>Profit</v>
      </c>
      <c r="V1478" s="3" t="str">
        <f aca="false">IF(Q1478&lt;100,"Low",IF(Q1478&lt;=500,"Medium","High"))</f>
        <v>High</v>
      </c>
      <c r="W1478" s="3" t="n">
        <f aca="false">D1478-C1478</f>
        <v>2</v>
      </c>
      <c r="X1478" s="3" t="str">
        <f aca="false">TEXT(C1478,"mmmm")</f>
        <v>October</v>
      </c>
      <c r="Y1478" s="3" t="str">
        <f aca="false">LEFT(G1478,1)&amp;MID(G1478,FIND(" ",G1478)+1,1)</f>
        <v>FG</v>
      </c>
    </row>
    <row r="1479" customFormat="false" ht="15" hidden="false" customHeight="false" outlineLevel="0" collapsed="false">
      <c r="A1479" s="3" t="n">
        <v>1478</v>
      </c>
      <c r="B1479" s="3" t="s">
        <v>3255</v>
      </c>
      <c r="C1479" s="4" t="s">
        <v>3251</v>
      </c>
      <c r="D1479" s="4" t="s">
        <v>3256</v>
      </c>
      <c r="E1479" s="3" t="s">
        <v>42</v>
      </c>
      <c r="F1479" s="3" t="s">
        <v>1700</v>
      </c>
      <c r="G1479" s="3" t="s">
        <v>1701</v>
      </c>
      <c r="H1479" s="3" t="s">
        <v>56</v>
      </c>
      <c r="I1479" s="3" t="s">
        <v>32</v>
      </c>
      <c r="J1479" s="3" t="s">
        <v>306</v>
      </c>
      <c r="K1479" s="3" t="s">
        <v>307</v>
      </c>
      <c r="L1479" s="3" t="s">
        <v>69</v>
      </c>
      <c r="M1479" s="3" t="s">
        <v>165</v>
      </c>
      <c r="N1479" s="3" t="s">
        <v>89</v>
      </c>
      <c r="O1479" s="3" t="s">
        <v>166</v>
      </c>
      <c r="P1479" s="3" t="s">
        <v>167</v>
      </c>
      <c r="Q1479" s="5" t="n">
        <v>964.82</v>
      </c>
      <c r="R1479" s="3" t="n">
        <v>6</v>
      </c>
      <c r="S1479" s="6" t="n">
        <v>0.1</v>
      </c>
      <c r="T1479" s="5" t="n">
        <v>-107.75</v>
      </c>
      <c r="U1479" s="3" t="str">
        <f aca="false">IF(T1479&lt;0,"Loss",IF(T1479=0,"Break-even","Profit"))</f>
        <v>Loss</v>
      </c>
      <c r="V1479" s="3" t="str">
        <f aca="false">IF(Q1479&lt;100,"Low",IF(Q1479&lt;=500,"Medium","High"))</f>
        <v>High</v>
      </c>
      <c r="W1479" s="3" t="n">
        <f aca="false">D1479-C1479</f>
        <v>2</v>
      </c>
      <c r="X1479" s="3" t="str">
        <f aca="false">TEXT(C1479,"mmmm")</f>
        <v>October</v>
      </c>
      <c r="Y1479" s="3" t="str">
        <f aca="false">LEFT(G1479,1)&amp;MID(G1479,FIND(" ",G1479)+1,1)</f>
        <v>AT</v>
      </c>
    </row>
    <row r="1480" customFormat="false" ht="15" hidden="false" customHeight="false" outlineLevel="0" collapsed="false">
      <c r="A1480" s="3" t="n">
        <v>1479</v>
      </c>
      <c r="B1480" s="3" t="s">
        <v>3257</v>
      </c>
      <c r="C1480" s="4" t="s">
        <v>3247</v>
      </c>
      <c r="D1480" s="4" t="s">
        <v>3258</v>
      </c>
      <c r="E1480" s="3" t="s">
        <v>28</v>
      </c>
      <c r="F1480" s="3" t="s">
        <v>749</v>
      </c>
      <c r="G1480" s="3" t="s">
        <v>750</v>
      </c>
      <c r="H1480" s="3" t="s">
        <v>45</v>
      </c>
      <c r="I1480" s="3" t="s">
        <v>32</v>
      </c>
      <c r="J1480" s="3" t="s">
        <v>365</v>
      </c>
      <c r="K1480" s="3" t="s">
        <v>366</v>
      </c>
      <c r="L1480" s="3" t="s">
        <v>157</v>
      </c>
      <c r="M1480" s="3" t="s">
        <v>559</v>
      </c>
      <c r="N1480" s="3" t="s">
        <v>37</v>
      </c>
      <c r="O1480" s="3" t="s">
        <v>38</v>
      </c>
      <c r="P1480" s="3" t="s">
        <v>560</v>
      </c>
      <c r="Q1480" s="5" t="n">
        <v>367.68</v>
      </c>
      <c r="R1480" s="3" t="n">
        <v>3</v>
      </c>
      <c r="S1480" s="6" t="n">
        <v>0.2</v>
      </c>
      <c r="T1480" s="5" t="n">
        <v>-16.19</v>
      </c>
      <c r="U1480" s="3" t="str">
        <f aca="false">IF(T1480&lt;0,"Loss",IF(T1480=0,"Break-even","Profit"))</f>
        <v>Loss</v>
      </c>
      <c r="V1480" s="3" t="str">
        <f aca="false">IF(Q1480&lt;100,"Low",IF(Q1480&lt;=500,"Medium","High"))</f>
        <v>Medium</v>
      </c>
      <c r="W1480" s="3" t="n">
        <f aca="false">D1480-C1480</f>
        <v>4</v>
      </c>
      <c r="X1480" s="3" t="str">
        <f aca="false">TEXT(C1480,"mmmm")</f>
        <v>November</v>
      </c>
      <c r="Y1480" s="3" t="str">
        <f aca="false">LEFT(G1480,1)&amp;MID(G1480,FIND(" ",G1480)+1,1)</f>
        <v>EA</v>
      </c>
    </row>
    <row r="1481" customFormat="false" ht="15" hidden="false" customHeight="false" outlineLevel="0" collapsed="false">
      <c r="A1481" s="3" t="n">
        <v>1480</v>
      </c>
      <c r="B1481" s="3" t="s">
        <v>3259</v>
      </c>
      <c r="C1481" s="4" t="s">
        <v>3256</v>
      </c>
      <c r="D1481" s="4" t="s">
        <v>3260</v>
      </c>
      <c r="E1481" s="3" t="s">
        <v>28</v>
      </c>
      <c r="F1481" s="3" t="s">
        <v>1624</v>
      </c>
      <c r="G1481" s="3" t="s">
        <v>1625</v>
      </c>
      <c r="H1481" s="3" t="s">
        <v>45</v>
      </c>
      <c r="I1481" s="3" t="s">
        <v>32</v>
      </c>
      <c r="J1481" s="3" t="s">
        <v>171</v>
      </c>
      <c r="K1481" s="3" t="s">
        <v>172</v>
      </c>
      <c r="L1481" s="3" t="s">
        <v>157</v>
      </c>
      <c r="M1481" s="3" t="s">
        <v>195</v>
      </c>
      <c r="N1481" s="3" t="s">
        <v>37</v>
      </c>
      <c r="O1481" s="3" t="s">
        <v>196</v>
      </c>
      <c r="P1481" s="3" t="s">
        <v>197</v>
      </c>
      <c r="Q1481" s="5" t="n">
        <v>12934.46</v>
      </c>
      <c r="R1481" s="3" t="n">
        <v>14</v>
      </c>
      <c r="S1481" s="6" t="n">
        <v>0</v>
      </c>
      <c r="T1481" s="5" t="n">
        <v>-343.26</v>
      </c>
      <c r="U1481" s="3" t="str">
        <f aca="false">IF(T1481&lt;0,"Loss",IF(T1481=0,"Break-even","Profit"))</f>
        <v>Loss</v>
      </c>
      <c r="V1481" s="3" t="str">
        <f aca="false">IF(Q1481&lt;100,"Low",IF(Q1481&lt;=500,"Medium","High"))</f>
        <v>High</v>
      </c>
      <c r="W1481" s="3" t="n">
        <f aca="false">D1481-C1481</f>
        <v>5</v>
      </c>
      <c r="X1481" s="3" t="str">
        <f aca="false">TEXT(C1481,"mmmm")</f>
        <v>November</v>
      </c>
      <c r="Y1481" s="3" t="str">
        <f aca="false">LEFT(G1481,1)&amp;MID(G1481,FIND(" ",G1481)+1,1)</f>
        <v>JD</v>
      </c>
    </row>
    <row r="1482" customFormat="false" ht="15" hidden="false" customHeight="false" outlineLevel="0" collapsed="false">
      <c r="A1482" s="3" t="n">
        <v>1481</v>
      </c>
      <c r="B1482" s="3" t="s">
        <v>3261</v>
      </c>
      <c r="C1482" s="4" t="s">
        <v>3256</v>
      </c>
      <c r="D1482" s="4" t="s">
        <v>3258</v>
      </c>
      <c r="E1482" s="3" t="s">
        <v>28</v>
      </c>
      <c r="F1482" s="3" t="s">
        <v>1741</v>
      </c>
      <c r="G1482" s="3" t="s">
        <v>1742</v>
      </c>
      <c r="H1482" s="3" t="s">
        <v>56</v>
      </c>
      <c r="I1482" s="3" t="s">
        <v>32</v>
      </c>
      <c r="J1482" s="3" t="s">
        <v>306</v>
      </c>
      <c r="K1482" s="3" t="s">
        <v>307</v>
      </c>
      <c r="L1482" s="3" t="s">
        <v>69</v>
      </c>
      <c r="M1482" s="3" t="s">
        <v>70</v>
      </c>
      <c r="N1482" s="3" t="s">
        <v>37</v>
      </c>
      <c r="O1482" s="3" t="s">
        <v>71</v>
      </c>
      <c r="P1482" s="3" t="s">
        <v>72</v>
      </c>
      <c r="Q1482" s="5" t="n">
        <v>758.54</v>
      </c>
      <c r="R1482" s="3" t="n">
        <v>4</v>
      </c>
      <c r="S1482" s="6" t="n">
        <v>0.1</v>
      </c>
      <c r="T1482" s="5" t="n">
        <v>87.6</v>
      </c>
      <c r="U1482" s="3" t="str">
        <f aca="false">IF(T1482&lt;0,"Loss",IF(T1482=0,"Break-even","Profit"))</f>
        <v>Profit</v>
      </c>
      <c r="V1482" s="3" t="str">
        <f aca="false">IF(Q1482&lt;100,"Low",IF(Q1482&lt;=500,"Medium","High"))</f>
        <v>High</v>
      </c>
      <c r="W1482" s="3" t="n">
        <f aca="false">D1482-C1482</f>
        <v>3</v>
      </c>
      <c r="X1482" s="3" t="str">
        <f aca="false">TEXT(C1482,"mmmm")</f>
        <v>November</v>
      </c>
      <c r="Y1482" s="3" t="str">
        <f aca="false">LEFT(G1482,1)&amp;MID(G1482,FIND(" ",G1482)+1,1)</f>
        <v>WW</v>
      </c>
    </row>
    <row r="1483" customFormat="false" ht="15" hidden="false" customHeight="false" outlineLevel="0" collapsed="false">
      <c r="A1483" s="3" t="n">
        <v>1482</v>
      </c>
      <c r="B1483" s="3" t="s">
        <v>3262</v>
      </c>
      <c r="C1483" s="4" t="s">
        <v>3256</v>
      </c>
      <c r="D1483" s="4" t="s">
        <v>3258</v>
      </c>
      <c r="E1483" s="3" t="s">
        <v>84</v>
      </c>
      <c r="F1483" s="3" t="s">
        <v>1735</v>
      </c>
      <c r="G1483" s="3" t="s">
        <v>1736</v>
      </c>
      <c r="H1483" s="3" t="s">
        <v>45</v>
      </c>
      <c r="I1483" s="3" t="s">
        <v>32</v>
      </c>
      <c r="J1483" s="3" t="s">
        <v>148</v>
      </c>
      <c r="K1483" s="3" t="s">
        <v>78</v>
      </c>
      <c r="L1483" s="3" t="s">
        <v>59</v>
      </c>
      <c r="M1483" s="3" t="s">
        <v>237</v>
      </c>
      <c r="N1483" s="3" t="s">
        <v>49</v>
      </c>
      <c r="O1483" s="3" t="s">
        <v>220</v>
      </c>
      <c r="P1483" s="3" t="s">
        <v>238</v>
      </c>
      <c r="Q1483" s="5" t="n">
        <v>356.71</v>
      </c>
      <c r="R1483" s="3" t="n">
        <v>13</v>
      </c>
      <c r="S1483" s="6" t="n">
        <v>0.4</v>
      </c>
      <c r="T1483" s="5" t="n">
        <v>-47.74</v>
      </c>
      <c r="U1483" s="3" t="str">
        <f aca="false">IF(T1483&lt;0,"Loss",IF(T1483=0,"Break-even","Profit"))</f>
        <v>Loss</v>
      </c>
      <c r="V1483" s="3" t="str">
        <f aca="false">IF(Q1483&lt;100,"Low",IF(Q1483&lt;=500,"Medium","High"))</f>
        <v>Medium</v>
      </c>
      <c r="W1483" s="3" t="n">
        <f aca="false">D1483-C1483</f>
        <v>3</v>
      </c>
      <c r="X1483" s="3" t="str">
        <f aca="false">TEXT(C1483,"mmmm")</f>
        <v>November</v>
      </c>
      <c r="Y1483" s="3" t="str">
        <f aca="false">LEFT(G1483,1)&amp;MID(G1483,FIND(" ",G1483)+1,1)</f>
        <v>CG</v>
      </c>
    </row>
    <row r="1484" customFormat="false" ht="15" hidden="false" customHeight="false" outlineLevel="0" collapsed="false">
      <c r="A1484" s="3" t="n">
        <v>1483</v>
      </c>
      <c r="B1484" s="3" t="s">
        <v>3263</v>
      </c>
      <c r="C1484" s="4" t="s">
        <v>3264</v>
      </c>
      <c r="D1484" s="4" t="s">
        <v>3265</v>
      </c>
      <c r="E1484" s="3" t="s">
        <v>28</v>
      </c>
      <c r="F1484" s="3" t="s">
        <v>960</v>
      </c>
      <c r="G1484" s="3" t="s">
        <v>961</v>
      </c>
      <c r="H1484" s="3" t="s">
        <v>31</v>
      </c>
      <c r="I1484" s="3" t="s">
        <v>32</v>
      </c>
      <c r="J1484" s="3" t="s">
        <v>663</v>
      </c>
      <c r="K1484" s="3" t="s">
        <v>307</v>
      </c>
      <c r="L1484" s="3" t="s">
        <v>69</v>
      </c>
      <c r="M1484" s="3" t="s">
        <v>158</v>
      </c>
      <c r="N1484" s="3" t="s">
        <v>49</v>
      </c>
      <c r="O1484" s="3" t="s">
        <v>159</v>
      </c>
      <c r="P1484" s="3" t="s">
        <v>160</v>
      </c>
      <c r="Q1484" s="5" t="n">
        <v>965.39</v>
      </c>
      <c r="R1484" s="3" t="n">
        <v>14</v>
      </c>
      <c r="S1484" s="6" t="n">
        <v>0.2</v>
      </c>
      <c r="T1484" s="5" t="n">
        <v>-270.88</v>
      </c>
      <c r="U1484" s="3" t="str">
        <f aca="false">IF(T1484&lt;0,"Loss",IF(T1484=0,"Break-even","Profit"))</f>
        <v>Loss</v>
      </c>
      <c r="V1484" s="3" t="str">
        <f aca="false">IF(Q1484&lt;100,"Low",IF(Q1484&lt;=500,"Medium","High"))</f>
        <v>High</v>
      </c>
      <c r="W1484" s="3" t="n">
        <f aca="false">D1484-C1484</f>
        <v>5</v>
      </c>
      <c r="X1484" s="3" t="str">
        <f aca="false">TEXT(C1484,"mmmm")</f>
        <v>November</v>
      </c>
      <c r="Y1484" s="3" t="str">
        <f aca="false">LEFT(G1484,1)&amp;MID(G1484,FIND(" ",G1484)+1,1)</f>
        <v>JD</v>
      </c>
    </row>
    <row r="1485" customFormat="false" ht="15" hidden="false" customHeight="false" outlineLevel="0" collapsed="false">
      <c r="A1485" s="3" t="n">
        <v>1484</v>
      </c>
      <c r="B1485" s="3" t="s">
        <v>3266</v>
      </c>
      <c r="C1485" s="4" t="s">
        <v>3264</v>
      </c>
      <c r="D1485" s="4" t="s">
        <v>3267</v>
      </c>
      <c r="E1485" s="3" t="s">
        <v>28</v>
      </c>
      <c r="F1485" s="3" t="s">
        <v>1870</v>
      </c>
      <c r="G1485" s="3" t="s">
        <v>1871</v>
      </c>
      <c r="H1485" s="3" t="s">
        <v>56</v>
      </c>
      <c r="I1485" s="3" t="s">
        <v>32</v>
      </c>
      <c r="J1485" s="3" t="s">
        <v>104</v>
      </c>
      <c r="K1485" s="3" t="s">
        <v>96</v>
      </c>
      <c r="L1485" s="3" t="s">
        <v>59</v>
      </c>
      <c r="M1485" s="3" t="s">
        <v>404</v>
      </c>
      <c r="N1485" s="3" t="s">
        <v>89</v>
      </c>
      <c r="O1485" s="3" t="s">
        <v>166</v>
      </c>
      <c r="P1485" s="3" t="s">
        <v>405</v>
      </c>
      <c r="Q1485" s="5" t="n">
        <v>906.6</v>
      </c>
      <c r="R1485" s="3" t="n">
        <v>2</v>
      </c>
      <c r="S1485" s="6" t="n">
        <v>0.1</v>
      </c>
      <c r="T1485" s="5" t="n">
        <v>184.77</v>
      </c>
      <c r="U1485" s="3" t="str">
        <f aca="false">IF(T1485&lt;0,"Loss",IF(T1485=0,"Break-even","Profit"))</f>
        <v>Profit</v>
      </c>
      <c r="V1485" s="3" t="str">
        <f aca="false">IF(Q1485&lt;100,"Low",IF(Q1485&lt;=500,"Medium","High"))</f>
        <v>High</v>
      </c>
      <c r="W1485" s="3" t="n">
        <f aca="false">D1485-C1485</f>
        <v>4</v>
      </c>
      <c r="X1485" s="3" t="str">
        <f aca="false">TEXT(C1485,"mmmm")</f>
        <v>November</v>
      </c>
      <c r="Y1485" s="3" t="str">
        <f aca="false">LEFT(G1485,1)&amp;MID(G1485,FIND(" ",G1485)+1,1)</f>
        <v>PK</v>
      </c>
    </row>
    <row r="1486" customFormat="false" ht="15" hidden="false" customHeight="false" outlineLevel="0" collapsed="false">
      <c r="A1486" s="3" t="n">
        <v>1485</v>
      </c>
      <c r="B1486" s="3" t="s">
        <v>3268</v>
      </c>
      <c r="C1486" s="4" t="s">
        <v>3264</v>
      </c>
      <c r="D1486" s="4" t="s">
        <v>3258</v>
      </c>
      <c r="E1486" s="3" t="s">
        <v>42</v>
      </c>
      <c r="F1486" s="3" t="s">
        <v>983</v>
      </c>
      <c r="G1486" s="3" t="s">
        <v>984</v>
      </c>
      <c r="H1486" s="3" t="s">
        <v>56</v>
      </c>
      <c r="I1486" s="3" t="s">
        <v>32</v>
      </c>
      <c r="J1486" s="3" t="s">
        <v>148</v>
      </c>
      <c r="K1486" s="3" t="s">
        <v>78</v>
      </c>
      <c r="L1486" s="3" t="s">
        <v>59</v>
      </c>
      <c r="M1486" s="3" t="s">
        <v>447</v>
      </c>
      <c r="N1486" s="3" t="s">
        <v>89</v>
      </c>
      <c r="O1486" s="3" t="s">
        <v>323</v>
      </c>
      <c r="P1486" s="3" t="s">
        <v>448</v>
      </c>
      <c r="Q1486" s="5" t="n">
        <v>4364.17</v>
      </c>
      <c r="R1486" s="3" t="n">
        <v>9</v>
      </c>
      <c r="S1486" s="6" t="n">
        <v>0.2</v>
      </c>
      <c r="T1486" s="5" t="n">
        <v>262.82</v>
      </c>
      <c r="U1486" s="3" t="str">
        <f aca="false">IF(T1486&lt;0,"Loss",IF(T1486=0,"Break-even","Profit"))</f>
        <v>Profit</v>
      </c>
      <c r="V1486" s="3" t="str">
        <f aca="false">IF(Q1486&lt;100,"Low",IF(Q1486&lt;=500,"Medium","High"))</f>
        <v>High</v>
      </c>
      <c r="W1486" s="3" t="n">
        <f aca="false">D1486-C1486</f>
        <v>1</v>
      </c>
      <c r="X1486" s="3" t="str">
        <f aca="false">TEXT(C1486,"mmmm")</f>
        <v>November</v>
      </c>
      <c r="Y1486" s="3" t="str">
        <f aca="false">LEFT(G1486,1)&amp;MID(G1486,FIND(" ",G1486)+1,1)</f>
        <v>JS</v>
      </c>
    </row>
    <row r="1487" customFormat="false" ht="15" hidden="false" customHeight="false" outlineLevel="0" collapsed="false">
      <c r="A1487" s="3" t="n">
        <v>1486</v>
      </c>
      <c r="B1487" s="3" t="s">
        <v>3269</v>
      </c>
      <c r="C1487" s="4" t="s">
        <v>3264</v>
      </c>
      <c r="D1487" s="4" t="s">
        <v>3258</v>
      </c>
      <c r="E1487" s="3" t="s">
        <v>42</v>
      </c>
      <c r="F1487" s="3" t="s">
        <v>953</v>
      </c>
      <c r="G1487" s="3" t="s">
        <v>954</v>
      </c>
      <c r="H1487" s="3" t="s">
        <v>45</v>
      </c>
      <c r="I1487" s="3" t="s">
        <v>32</v>
      </c>
      <c r="J1487" s="3" t="s">
        <v>120</v>
      </c>
      <c r="K1487" s="3" t="s">
        <v>113</v>
      </c>
      <c r="L1487" s="3" t="s">
        <v>69</v>
      </c>
      <c r="M1487" s="3" t="s">
        <v>461</v>
      </c>
      <c r="N1487" s="3" t="s">
        <v>37</v>
      </c>
      <c r="O1487" s="3" t="s">
        <v>71</v>
      </c>
      <c r="P1487" s="3" t="s">
        <v>462</v>
      </c>
      <c r="Q1487" s="5" t="n">
        <v>19566.57</v>
      </c>
      <c r="R1487" s="3" t="n">
        <v>12</v>
      </c>
      <c r="S1487" s="6" t="n">
        <v>0.2</v>
      </c>
      <c r="T1487" s="5" t="n">
        <v>-758.85</v>
      </c>
      <c r="U1487" s="3" t="str">
        <f aca="false">IF(T1487&lt;0,"Loss",IF(T1487=0,"Break-even","Profit"))</f>
        <v>Loss</v>
      </c>
      <c r="V1487" s="3" t="str">
        <f aca="false">IF(Q1487&lt;100,"Low",IF(Q1487&lt;=500,"Medium","High"))</f>
        <v>High</v>
      </c>
      <c r="W1487" s="3" t="n">
        <f aca="false">D1487-C1487</f>
        <v>1</v>
      </c>
      <c r="X1487" s="3" t="str">
        <f aca="false">TEXT(C1487,"mmmm")</f>
        <v>November</v>
      </c>
      <c r="Y1487" s="3" t="str">
        <f aca="false">LEFT(G1487,1)&amp;MID(G1487,FIND(" ",G1487)+1,1)</f>
        <v>CB</v>
      </c>
    </row>
    <row r="1488" customFormat="false" ht="15" hidden="false" customHeight="false" outlineLevel="0" collapsed="false">
      <c r="A1488" s="3" t="n">
        <v>1487</v>
      </c>
      <c r="B1488" s="3" t="s">
        <v>3270</v>
      </c>
      <c r="C1488" s="4" t="s">
        <v>3264</v>
      </c>
      <c r="D1488" s="4" t="s">
        <v>3271</v>
      </c>
      <c r="E1488" s="3" t="s">
        <v>28</v>
      </c>
      <c r="F1488" s="3" t="s">
        <v>1692</v>
      </c>
      <c r="G1488" s="3" t="s">
        <v>1693</v>
      </c>
      <c r="H1488" s="3" t="s">
        <v>56</v>
      </c>
      <c r="I1488" s="3" t="s">
        <v>32</v>
      </c>
      <c r="J1488" s="3" t="s">
        <v>133</v>
      </c>
      <c r="K1488" s="3" t="s">
        <v>134</v>
      </c>
      <c r="L1488" s="3" t="s">
        <v>69</v>
      </c>
      <c r="M1488" s="3" t="s">
        <v>190</v>
      </c>
      <c r="N1488" s="3" t="s">
        <v>49</v>
      </c>
      <c r="O1488" s="3" t="s">
        <v>150</v>
      </c>
      <c r="P1488" s="3" t="s">
        <v>191</v>
      </c>
      <c r="Q1488" s="5" t="n">
        <v>50.63</v>
      </c>
      <c r="R1488" s="3" t="n">
        <v>9</v>
      </c>
      <c r="S1488" s="6" t="n">
        <v>0.5</v>
      </c>
      <c r="T1488" s="5" t="n">
        <v>-1.8</v>
      </c>
      <c r="U1488" s="3" t="str">
        <f aca="false">IF(T1488&lt;0,"Loss",IF(T1488=0,"Break-even","Profit"))</f>
        <v>Loss</v>
      </c>
      <c r="V1488" s="3" t="str">
        <f aca="false">IF(Q1488&lt;100,"Low",IF(Q1488&lt;=500,"Medium","High"))</f>
        <v>Low</v>
      </c>
      <c r="W1488" s="3" t="n">
        <f aca="false">D1488-C1488</f>
        <v>7</v>
      </c>
      <c r="X1488" s="3" t="str">
        <f aca="false">TEXT(C1488,"mmmm")</f>
        <v>November</v>
      </c>
      <c r="Y1488" s="3" t="str">
        <f aca="false">LEFT(G1488,1)&amp;MID(G1488,FIND(" ",G1488)+1,1)</f>
        <v>SW</v>
      </c>
    </row>
    <row r="1489" customFormat="false" ht="15" hidden="false" customHeight="false" outlineLevel="0" collapsed="false">
      <c r="A1489" s="3" t="n">
        <v>1488</v>
      </c>
      <c r="B1489" s="3" t="s">
        <v>3272</v>
      </c>
      <c r="C1489" s="4" t="s">
        <v>3260</v>
      </c>
      <c r="D1489" s="4" t="s">
        <v>3273</v>
      </c>
      <c r="E1489" s="3" t="s">
        <v>84</v>
      </c>
      <c r="F1489" s="3" t="s">
        <v>2462</v>
      </c>
      <c r="G1489" s="3" t="s">
        <v>2463</v>
      </c>
      <c r="H1489" s="3" t="s">
        <v>56</v>
      </c>
      <c r="I1489" s="3" t="s">
        <v>32</v>
      </c>
      <c r="J1489" s="3" t="s">
        <v>386</v>
      </c>
      <c r="K1489" s="3" t="s">
        <v>387</v>
      </c>
      <c r="L1489" s="3" t="s">
        <v>35</v>
      </c>
      <c r="M1489" s="3" t="s">
        <v>225</v>
      </c>
      <c r="N1489" s="3" t="s">
        <v>37</v>
      </c>
      <c r="O1489" s="3" t="s">
        <v>196</v>
      </c>
      <c r="P1489" s="3" t="s">
        <v>226</v>
      </c>
      <c r="Q1489" s="5" t="n">
        <v>1302.74</v>
      </c>
      <c r="R1489" s="3" t="n">
        <v>1</v>
      </c>
      <c r="S1489" s="6" t="n">
        <v>0.1</v>
      </c>
      <c r="T1489" s="5" t="n">
        <v>-141.81</v>
      </c>
      <c r="U1489" s="3" t="str">
        <f aca="false">IF(T1489&lt;0,"Loss",IF(T1489=0,"Break-even","Profit"))</f>
        <v>Loss</v>
      </c>
      <c r="V1489" s="3" t="str">
        <f aca="false">IF(Q1489&lt;100,"Low",IF(Q1489&lt;=500,"Medium","High"))</f>
        <v>High</v>
      </c>
      <c r="W1489" s="3" t="n">
        <f aca="false">D1489-C1489</f>
        <v>3</v>
      </c>
      <c r="X1489" s="3" t="str">
        <f aca="false">TEXT(C1489,"mmmm")</f>
        <v>November</v>
      </c>
      <c r="Y1489" s="3" t="str">
        <f aca="false">LEFT(G1489,1)&amp;MID(G1489,FIND(" ",G1489)+1,1)</f>
        <v>LS</v>
      </c>
    </row>
    <row r="1490" customFormat="false" ht="15" hidden="false" customHeight="false" outlineLevel="0" collapsed="false">
      <c r="A1490" s="3" t="n">
        <v>1489</v>
      </c>
      <c r="B1490" s="3" t="s">
        <v>3274</v>
      </c>
      <c r="C1490" s="4" t="s">
        <v>3267</v>
      </c>
      <c r="D1490" s="4" t="s">
        <v>3275</v>
      </c>
      <c r="E1490" s="3" t="s">
        <v>28</v>
      </c>
      <c r="F1490" s="3" t="s">
        <v>1775</v>
      </c>
      <c r="G1490" s="3" t="s">
        <v>1776</v>
      </c>
      <c r="H1490" s="3" t="s">
        <v>56</v>
      </c>
      <c r="I1490" s="3" t="s">
        <v>32</v>
      </c>
      <c r="J1490" s="3" t="s">
        <v>299</v>
      </c>
      <c r="K1490" s="3" t="s">
        <v>189</v>
      </c>
      <c r="L1490" s="3" t="s">
        <v>59</v>
      </c>
      <c r="M1490" s="3" t="s">
        <v>461</v>
      </c>
      <c r="N1490" s="3" t="s">
        <v>37</v>
      </c>
      <c r="O1490" s="3" t="s">
        <v>71</v>
      </c>
      <c r="P1490" s="3" t="s">
        <v>462</v>
      </c>
      <c r="Q1490" s="5" t="n">
        <v>6917.24</v>
      </c>
      <c r="R1490" s="3" t="n">
        <v>13</v>
      </c>
      <c r="S1490" s="6" t="n">
        <v>0.1</v>
      </c>
      <c r="T1490" s="5" t="n">
        <v>-1751.63</v>
      </c>
      <c r="U1490" s="3" t="str">
        <f aca="false">IF(T1490&lt;0,"Loss",IF(T1490=0,"Break-even","Profit"))</f>
        <v>Loss</v>
      </c>
      <c r="V1490" s="3" t="str">
        <f aca="false">IF(Q1490&lt;100,"Low",IF(Q1490&lt;=500,"Medium","High"))</f>
        <v>High</v>
      </c>
      <c r="W1490" s="3" t="n">
        <f aca="false">D1490-C1490</f>
        <v>6</v>
      </c>
      <c r="X1490" s="3" t="str">
        <f aca="false">TEXT(C1490,"mmmm")</f>
        <v>November</v>
      </c>
      <c r="Y1490" s="3" t="str">
        <f aca="false">LEFT(G1490,1)&amp;MID(G1490,FIND(" ",G1490)+1,1)</f>
        <v>LA</v>
      </c>
    </row>
    <row r="1491" customFormat="false" ht="15" hidden="false" customHeight="false" outlineLevel="0" collapsed="false">
      <c r="A1491" s="3" t="n">
        <v>1490</v>
      </c>
      <c r="B1491" s="3" t="s">
        <v>3276</v>
      </c>
      <c r="C1491" s="4" t="s">
        <v>3265</v>
      </c>
      <c r="D1491" s="4" t="s">
        <v>3273</v>
      </c>
      <c r="E1491" s="3" t="s">
        <v>42</v>
      </c>
      <c r="F1491" s="3" t="s">
        <v>699</v>
      </c>
      <c r="G1491" s="3" t="s">
        <v>700</v>
      </c>
      <c r="H1491" s="3" t="s">
        <v>56</v>
      </c>
      <c r="I1491" s="3" t="s">
        <v>32</v>
      </c>
      <c r="J1491" s="3" t="s">
        <v>365</v>
      </c>
      <c r="K1491" s="3" t="s">
        <v>366</v>
      </c>
      <c r="L1491" s="3" t="s">
        <v>157</v>
      </c>
      <c r="M1491" s="3" t="s">
        <v>190</v>
      </c>
      <c r="N1491" s="3" t="s">
        <v>49</v>
      </c>
      <c r="O1491" s="3" t="s">
        <v>150</v>
      </c>
      <c r="P1491" s="3" t="s">
        <v>191</v>
      </c>
      <c r="Q1491" s="5" t="n">
        <v>575.06</v>
      </c>
      <c r="R1491" s="3" t="n">
        <v>13</v>
      </c>
      <c r="S1491" s="6" t="n">
        <v>0.1</v>
      </c>
      <c r="T1491" s="5" t="n">
        <v>123.11</v>
      </c>
      <c r="U1491" s="3" t="str">
        <f aca="false">IF(T1491&lt;0,"Loss",IF(T1491=0,"Break-even","Profit"))</f>
        <v>Profit</v>
      </c>
      <c r="V1491" s="3" t="str">
        <f aca="false">IF(Q1491&lt;100,"Low",IF(Q1491&lt;=500,"Medium","High"))</f>
        <v>High</v>
      </c>
      <c r="W1491" s="3" t="n">
        <f aca="false">D1491-C1491</f>
        <v>1</v>
      </c>
      <c r="X1491" s="3" t="str">
        <f aca="false">TEXT(C1491,"mmmm")</f>
        <v>November</v>
      </c>
      <c r="Y1491" s="3" t="str">
        <f aca="false">LEFT(G1491,1)&amp;MID(G1491,FIND(" ",G1491)+1,1)</f>
        <v>RJ</v>
      </c>
    </row>
    <row r="1492" customFormat="false" ht="15" hidden="false" customHeight="false" outlineLevel="0" collapsed="false">
      <c r="A1492" s="3" t="n">
        <v>1491</v>
      </c>
      <c r="B1492" s="3" t="s">
        <v>3277</v>
      </c>
      <c r="C1492" s="4" t="s">
        <v>3265</v>
      </c>
      <c r="D1492" s="4" t="s">
        <v>3278</v>
      </c>
      <c r="E1492" s="3" t="s">
        <v>28</v>
      </c>
      <c r="F1492" s="3" t="s">
        <v>490</v>
      </c>
      <c r="G1492" s="3" t="s">
        <v>491</v>
      </c>
      <c r="H1492" s="3" t="s">
        <v>56</v>
      </c>
      <c r="I1492" s="3" t="s">
        <v>32</v>
      </c>
      <c r="J1492" s="3" t="s">
        <v>252</v>
      </c>
      <c r="K1492" s="3" t="s">
        <v>172</v>
      </c>
      <c r="L1492" s="3" t="s">
        <v>157</v>
      </c>
      <c r="M1492" s="3" t="s">
        <v>190</v>
      </c>
      <c r="N1492" s="3" t="s">
        <v>49</v>
      </c>
      <c r="O1492" s="3" t="s">
        <v>150</v>
      </c>
      <c r="P1492" s="3" t="s">
        <v>191</v>
      </c>
      <c r="Q1492" s="5" t="n">
        <v>578.83</v>
      </c>
      <c r="R1492" s="3" t="n">
        <v>14</v>
      </c>
      <c r="S1492" s="6" t="n">
        <v>0.1</v>
      </c>
      <c r="T1492" s="5" t="n">
        <v>160.02</v>
      </c>
      <c r="U1492" s="3" t="str">
        <f aca="false">IF(T1492&lt;0,"Loss",IF(T1492=0,"Break-even","Profit"))</f>
        <v>Profit</v>
      </c>
      <c r="V1492" s="3" t="str">
        <f aca="false">IF(Q1492&lt;100,"Low",IF(Q1492&lt;=500,"Medium","High"))</f>
        <v>High</v>
      </c>
      <c r="W1492" s="3" t="n">
        <f aca="false">D1492-C1492</f>
        <v>7</v>
      </c>
      <c r="X1492" s="3" t="str">
        <f aca="false">TEXT(C1492,"mmmm")</f>
        <v>November</v>
      </c>
      <c r="Y1492" s="3" t="str">
        <f aca="false">LEFT(G1492,1)&amp;MID(G1492,FIND(" ",G1492)+1,1)</f>
        <v>WM</v>
      </c>
    </row>
    <row r="1493" customFormat="false" ht="15" hidden="false" customHeight="false" outlineLevel="0" collapsed="false">
      <c r="A1493" s="3" t="n">
        <v>1492</v>
      </c>
      <c r="B1493" s="3" t="s">
        <v>3279</v>
      </c>
      <c r="C1493" s="4" t="s">
        <v>3273</v>
      </c>
      <c r="D1493" s="4" t="s">
        <v>3280</v>
      </c>
      <c r="E1493" s="3" t="s">
        <v>28</v>
      </c>
      <c r="F1493" s="3" t="s">
        <v>1498</v>
      </c>
      <c r="G1493" s="3" t="s">
        <v>1499</v>
      </c>
      <c r="H1493" s="3" t="s">
        <v>56</v>
      </c>
      <c r="I1493" s="3" t="s">
        <v>32</v>
      </c>
      <c r="J1493" s="3" t="s">
        <v>476</v>
      </c>
      <c r="K1493" s="3" t="s">
        <v>366</v>
      </c>
      <c r="L1493" s="3" t="s">
        <v>157</v>
      </c>
      <c r="M1493" s="3" t="s">
        <v>149</v>
      </c>
      <c r="N1493" s="3" t="s">
        <v>49</v>
      </c>
      <c r="O1493" s="3" t="s">
        <v>150</v>
      </c>
      <c r="P1493" s="3" t="s">
        <v>151</v>
      </c>
      <c r="Q1493" s="5" t="n">
        <v>311.17</v>
      </c>
      <c r="R1493" s="3" t="n">
        <v>13</v>
      </c>
      <c r="S1493" s="6" t="n">
        <v>0</v>
      </c>
      <c r="T1493" s="5" t="n">
        <v>107.36</v>
      </c>
      <c r="U1493" s="3" t="str">
        <f aca="false">IF(T1493&lt;0,"Loss",IF(T1493=0,"Break-even","Profit"))</f>
        <v>Profit</v>
      </c>
      <c r="V1493" s="3" t="str">
        <f aca="false">IF(Q1493&lt;100,"Low",IF(Q1493&lt;=500,"Medium","High"))</f>
        <v>Medium</v>
      </c>
      <c r="W1493" s="3" t="n">
        <f aca="false">D1493-C1493</f>
        <v>7</v>
      </c>
      <c r="X1493" s="3" t="str">
        <f aca="false">TEXT(C1493,"mmmm")</f>
        <v>November</v>
      </c>
      <c r="Y1493" s="3" t="str">
        <f aca="false">LEFT(G1493,1)&amp;MID(G1493,FIND(" ",G1493)+1,1)</f>
        <v>SJ</v>
      </c>
    </row>
    <row r="1494" customFormat="false" ht="15" hidden="false" customHeight="false" outlineLevel="0" collapsed="false">
      <c r="A1494" s="3" t="n">
        <v>1493</v>
      </c>
      <c r="B1494" s="3" t="s">
        <v>3281</v>
      </c>
      <c r="C1494" s="4" t="s">
        <v>3282</v>
      </c>
      <c r="D1494" s="4" t="s">
        <v>3280</v>
      </c>
      <c r="E1494" s="3" t="s">
        <v>28</v>
      </c>
      <c r="F1494" s="3" t="s">
        <v>1378</v>
      </c>
      <c r="G1494" s="3" t="s">
        <v>1379</v>
      </c>
      <c r="H1494" s="3" t="s">
        <v>31</v>
      </c>
      <c r="I1494" s="3" t="s">
        <v>32</v>
      </c>
      <c r="J1494" s="3" t="s">
        <v>46</v>
      </c>
      <c r="K1494" s="3" t="s">
        <v>47</v>
      </c>
      <c r="L1494" s="3" t="s">
        <v>35</v>
      </c>
      <c r="M1494" s="3" t="s">
        <v>300</v>
      </c>
      <c r="N1494" s="3" t="s">
        <v>49</v>
      </c>
      <c r="O1494" s="3" t="s">
        <v>143</v>
      </c>
      <c r="P1494" s="3" t="s">
        <v>301</v>
      </c>
      <c r="Q1494" s="5" t="n">
        <v>1201.79</v>
      </c>
      <c r="R1494" s="3" t="n">
        <v>13</v>
      </c>
      <c r="S1494" s="6" t="n">
        <v>0</v>
      </c>
      <c r="T1494" s="5" t="n">
        <v>-53.77</v>
      </c>
      <c r="U1494" s="3" t="str">
        <f aca="false">IF(T1494&lt;0,"Loss",IF(T1494=0,"Break-even","Profit"))</f>
        <v>Loss</v>
      </c>
      <c r="V1494" s="3" t="str">
        <f aca="false">IF(Q1494&lt;100,"Low",IF(Q1494&lt;=500,"Medium","High"))</f>
        <v>High</v>
      </c>
      <c r="W1494" s="3" t="n">
        <f aca="false">D1494-C1494</f>
        <v>5</v>
      </c>
      <c r="X1494" s="3" t="str">
        <f aca="false">TEXT(C1494,"mmmm")</f>
        <v>November</v>
      </c>
      <c r="Y1494" s="3" t="str">
        <f aca="false">LEFT(G1494,1)&amp;MID(G1494,FIND(" ",G1494)+1,1)</f>
        <v>JB</v>
      </c>
    </row>
    <row r="1495" customFormat="false" ht="15" hidden="false" customHeight="false" outlineLevel="0" collapsed="false">
      <c r="A1495" s="3" t="n">
        <v>1494</v>
      </c>
      <c r="B1495" s="3" t="s">
        <v>3233</v>
      </c>
      <c r="C1495" s="4" t="s">
        <v>3282</v>
      </c>
      <c r="D1495" s="4" t="s">
        <v>3280</v>
      </c>
      <c r="E1495" s="3" t="s">
        <v>28</v>
      </c>
      <c r="F1495" s="3" t="s">
        <v>1077</v>
      </c>
      <c r="G1495" s="3" t="s">
        <v>1078</v>
      </c>
      <c r="H1495" s="3" t="s">
        <v>45</v>
      </c>
      <c r="I1495" s="3" t="s">
        <v>32</v>
      </c>
      <c r="J1495" s="3" t="s">
        <v>87</v>
      </c>
      <c r="K1495" s="3" t="s">
        <v>68</v>
      </c>
      <c r="L1495" s="3" t="s">
        <v>69</v>
      </c>
      <c r="M1495" s="3" t="s">
        <v>470</v>
      </c>
      <c r="N1495" s="3" t="s">
        <v>49</v>
      </c>
      <c r="O1495" s="3" t="s">
        <v>159</v>
      </c>
      <c r="P1495" s="3" t="s">
        <v>471</v>
      </c>
      <c r="Q1495" s="5" t="n">
        <v>839.89</v>
      </c>
      <c r="R1495" s="3" t="n">
        <v>13</v>
      </c>
      <c r="S1495" s="6" t="n">
        <v>0.1</v>
      </c>
      <c r="T1495" s="5" t="n">
        <v>-150.81</v>
      </c>
      <c r="U1495" s="3" t="str">
        <f aca="false">IF(T1495&lt;0,"Loss",IF(T1495=0,"Break-even","Profit"))</f>
        <v>Loss</v>
      </c>
      <c r="V1495" s="3" t="str">
        <f aca="false">IF(Q1495&lt;100,"Low",IF(Q1495&lt;=500,"Medium","High"))</f>
        <v>High</v>
      </c>
      <c r="W1495" s="3" t="n">
        <f aca="false">D1495-C1495</f>
        <v>5</v>
      </c>
      <c r="X1495" s="3" t="str">
        <f aca="false">TEXT(C1495,"mmmm")</f>
        <v>November</v>
      </c>
      <c r="Y1495" s="3" t="str">
        <f aca="false">LEFT(G1495,1)&amp;MID(G1495,FIND(" ",G1495)+1,1)</f>
        <v>FN</v>
      </c>
    </row>
    <row r="1496" customFormat="false" ht="15" hidden="false" customHeight="false" outlineLevel="0" collapsed="false">
      <c r="A1496" s="3" t="n">
        <v>1495</v>
      </c>
      <c r="B1496" s="3" t="s">
        <v>3283</v>
      </c>
      <c r="C1496" s="4" t="s">
        <v>3284</v>
      </c>
      <c r="D1496" s="4" t="s">
        <v>3285</v>
      </c>
      <c r="E1496" s="3" t="s">
        <v>42</v>
      </c>
      <c r="F1496" s="3" t="s">
        <v>556</v>
      </c>
      <c r="G1496" s="3" t="s">
        <v>557</v>
      </c>
      <c r="H1496" s="3" t="s">
        <v>45</v>
      </c>
      <c r="I1496" s="3" t="s">
        <v>32</v>
      </c>
      <c r="J1496" s="3" t="s">
        <v>243</v>
      </c>
      <c r="K1496" s="3" t="s">
        <v>244</v>
      </c>
      <c r="L1496" s="3" t="s">
        <v>157</v>
      </c>
      <c r="M1496" s="3" t="s">
        <v>209</v>
      </c>
      <c r="N1496" s="3" t="s">
        <v>49</v>
      </c>
      <c r="O1496" s="3" t="s">
        <v>106</v>
      </c>
      <c r="P1496" s="3" t="s">
        <v>210</v>
      </c>
      <c r="Q1496" s="5" t="n">
        <v>185.19</v>
      </c>
      <c r="R1496" s="3" t="n">
        <v>5</v>
      </c>
      <c r="S1496" s="6" t="n">
        <v>0.2</v>
      </c>
      <c r="T1496" s="5" t="n">
        <v>-29.94</v>
      </c>
      <c r="U1496" s="3" t="str">
        <f aca="false">IF(T1496&lt;0,"Loss",IF(T1496=0,"Break-even","Profit"))</f>
        <v>Loss</v>
      </c>
      <c r="V1496" s="3" t="str">
        <f aca="false">IF(Q1496&lt;100,"Low",IF(Q1496&lt;=500,"Medium","High"))</f>
        <v>Medium</v>
      </c>
      <c r="W1496" s="3" t="n">
        <f aca="false">D1496-C1496</f>
        <v>2</v>
      </c>
      <c r="X1496" s="3" t="str">
        <f aca="false">TEXT(C1496,"mmmm")</f>
        <v>November</v>
      </c>
      <c r="Y1496" s="3" t="str">
        <f aca="false">LEFT(G1496,1)&amp;MID(G1496,FIND(" ",G1496)+1,1)</f>
        <v>MN</v>
      </c>
    </row>
    <row r="1497" customFormat="false" ht="15" hidden="false" customHeight="false" outlineLevel="0" collapsed="false">
      <c r="A1497" s="3" t="n">
        <v>1496</v>
      </c>
      <c r="B1497" s="3" t="s">
        <v>3286</v>
      </c>
      <c r="C1497" s="4" t="s">
        <v>3275</v>
      </c>
      <c r="D1497" s="4" t="s">
        <v>3285</v>
      </c>
      <c r="E1497" s="3" t="s">
        <v>42</v>
      </c>
      <c r="F1497" s="3" t="s">
        <v>3287</v>
      </c>
      <c r="G1497" s="3" t="s">
        <v>3288</v>
      </c>
      <c r="H1497" s="3" t="s">
        <v>45</v>
      </c>
      <c r="I1497" s="3" t="s">
        <v>32</v>
      </c>
      <c r="J1497" s="3" t="s">
        <v>381</v>
      </c>
      <c r="K1497" s="3" t="s">
        <v>58</v>
      </c>
      <c r="L1497" s="3" t="s">
        <v>59</v>
      </c>
      <c r="M1497" s="3" t="s">
        <v>447</v>
      </c>
      <c r="N1497" s="3" t="s">
        <v>89</v>
      </c>
      <c r="O1497" s="3" t="s">
        <v>323</v>
      </c>
      <c r="P1497" s="3" t="s">
        <v>448</v>
      </c>
      <c r="Q1497" s="5" t="n">
        <v>387.92</v>
      </c>
      <c r="R1497" s="3" t="n">
        <v>1</v>
      </c>
      <c r="S1497" s="6" t="n">
        <v>0.1</v>
      </c>
      <c r="T1497" s="5" t="n">
        <v>0.27</v>
      </c>
      <c r="U1497" s="3" t="str">
        <f aca="false">IF(T1497&lt;0,"Loss",IF(T1497=0,"Break-even","Profit"))</f>
        <v>Profit</v>
      </c>
      <c r="V1497" s="3" t="str">
        <f aca="false">IF(Q1497&lt;100,"Low",IF(Q1497&lt;=500,"Medium","High"))</f>
        <v>Medium</v>
      </c>
      <c r="W1497" s="3" t="n">
        <f aca="false">D1497-C1497</f>
        <v>1</v>
      </c>
      <c r="X1497" s="3" t="str">
        <f aca="false">TEXT(C1497,"mmmm")</f>
        <v>November</v>
      </c>
      <c r="Y1497" s="3" t="str">
        <f aca="false">LEFT(G1497,1)&amp;MID(G1497,FIND(" ",G1497)+1,1)</f>
        <v>JR</v>
      </c>
    </row>
    <row r="1498" customFormat="false" ht="15" hidden="false" customHeight="false" outlineLevel="0" collapsed="false">
      <c r="A1498" s="3" t="n">
        <v>1497</v>
      </c>
      <c r="B1498" s="3" t="s">
        <v>3042</v>
      </c>
      <c r="C1498" s="4" t="s">
        <v>3285</v>
      </c>
      <c r="D1498" s="4" t="s">
        <v>3280</v>
      </c>
      <c r="E1498" s="3" t="s">
        <v>84</v>
      </c>
      <c r="F1498" s="3" t="s">
        <v>1385</v>
      </c>
      <c r="G1498" s="3" t="s">
        <v>1386</v>
      </c>
      <c r="H1498" s="3" t="s">
        <v>31</v>
      </c>
      <c r="I1498" s="3" t="s">
        <v>32</v>
      </c>
      <c r="J1498" s="3" t="s">
        <v>386</v>
      </c>
      <c r="K1498" s="3" t="s">
        <v>387</v>
      </c>
      <c r="L1498" s="3" t="s">
        <v>35</v>
      </c>
      <c r="M1498" s="3" t="s">
        <v>659</v>
      </c>
      <c r="N1498" s="3" t="s">
        <v>89</v>
      </c>
      <c r="O1498" s="3" t="s">
        <v>323</v>
      </c>
      <c r="P1498" s="3" t="s">
        <v>660</v>
      </c>
      <c r="Q1498" s="5" t="n">
        <v>4605.13</v>
      </c>
      <c r="R1498" s="3" t="n">
        <v>13</v>
      </c>
      <c r="S1498" s="6" t="n">
        <v>0.1</v>
      </c>
      <c r="T1498" s="5" t="n">
        <v>1303.24</v>
      </c>
      <c r="U1498" s="3" t="str">
        <f aca="false">IF(T1498&lt;0,"Loss",IF(T1498=0,"Break-even","Profit"))</f>
        <v>Profit</v>
      </c>
      <c r="V1498" s="3" t="str">
        <f aca="false">IF(Q1498&lt;100,"Low",IF(Q1498&lt;=500,"Medium","High"))</f>
        <v>High</v>
      </c>
      <c r="W1498" s="3" t="n">
        <f aca="false">D1498-C1498</f>
        <v>2</v>
      </c>
      <c r="X1498" s="3" t="str">
        <f aca="false">TEXT(C1498,"mmmm")</f>
        <v>November</v>
      </c>
      <c r="Y1498" s="3" t="str">
        <f aca="false">LEFT(G1498,1)&amp;MID(G1498,FIND(" ",G1498)+1,1)</f>
        <v>PS</v>
      </c>
    </row>
    <row r="1499" customFormat="false" ht="15" hidden="false" customHeight="false" outlineLevel="0" collapsed="false">
      <c r="A1499" s="3" t="n">
        <v>1498</v>
      </c>
      <c r="B1499" s="3" t="s">
        <v>3289</v>
      </c>
      <c r="C1499" s="4" t="s">
        <v>3285</v>
      </c>
      <c r="D1499" s="4" t="s">
        <v>3290</v>
      </c>
      <c r="E1499" s="3" t="s">
        <v>28</v>
      </c>
      <c r="F1499" s="3" t="s">
        <v>1892</v>
      </c>
      <c r="G1499" s="3" t="s">
        <v>1893</v>
      </c>
      <c r="H1499" s="3" t="s">
        <v>56</v>
      </c>
      <c r="I1499" s="3" t="s">
        <v>32</v>
      </c>
      <c r="J1499" s="3" t="s">
        <v>171</v>
      </c>
      <c r="K1499" s="3" t="s">
        <v>172</v>
      </c>
      <c r="L1499" s="3" t="s">
        <v>157</v>
      </c>
      <c r="M1499" s="3" t="s">
        <v>322</v>
      </c>
      <c r="N1499" s="3" t="s">
        <v>89</v>
      </c>
      <c r="O1499" s="3" t="s">
        <v>323</v>
      </c>
      <c r="P1499" s="3" t="s">
        <v>324</v>
      </c>
      <c r="Q1499" s="5" t="n">
        <v>2995.6</v>
      </c>
      <c r="R1499" s="3" t="n">
        <v>5</v>
      </c>
      <c r="S1499" s="6" t="n">
        <v>0.1</v>
      </c>
      <c r="T1499" s="5" t="n">
        <v>901.45</v>
      </c>
      <c r="U1499" s="3" t="str">
        <f aca="false">IF(T1499&lt;0,"Loss",IF(T1499=0,"Break-even","Profit"))</f>
        <v>Profit</v>
      </c>
      <c r="V1499" s="3" t="str">
        <f aca="false">IF(Q1499&lt;100,"Low",IF(Q1499&lt;=500,"Medium","High"))</f>
        <v>High</v>
      </c>
      <c r="W1499" s="3" t="n">
        <f aca="false">D1499-C1499</f>
        <v>7</v>
      </c>
      <c r="X1499" s="3" t="str">
        <f aca="false">TEXT(C1499,"mmmm")</f>
        <v>November</v>
      </c>
      <c r="Y1499" s="3" t="str">
        <f aca="false">LEFT(G1499,1)&amp;MID(G1499,FIND(" ",G1499)+1,1)</f>
        <v>FW</v>
      </c>
    </row>
    <row r="1500" customFormat="false" ht="15" hidden="false" customHeight="false" outlineLevel="0" collapsed="false">
      <c r="A1500" s="3" t="n">
        <v>1499</v>
      </c>
      <c r="B1500" s="3" t="s">
        <v>3291</v>
      </c>
      <c r="C1500" s="4" t="s">
        <v>3280</v>
      </c>
      <c r="D1500" s="4" t="s">
        <v>3290</v>
      </c>
      <c r="E1500" s="3" t="s">
        <v>28</v>
      </c>
      <c r="F1500" s="3" t="s">
        <v>2026</v>
      </c>
      <c r="G1500" s="3" t="s">
        <v>2027</v>
      </c>
      <c r="H1500" s="3" t="s">
        <v>31</v>
      </c>
      <c r="I1500" s="3" t="s">
        <v>32</v>
      </c>
      <c r="J1500" s="3" t="s">
        <v>679</v>
      </c>
      <c r="K1500" s="3" t="s">
        <v>202</v>
      </c>
      <c r="L1500" s="3" t="s">
        <v>35</v>
      </c>
      <c r="M1500" s="3" t="s">
        <v>219</v>
      </c>
      <c r="N1500" s="3" t="s">
        <v>49</v>
      </c>
      <c r="O1500" s="3" t="s">
        <v>220</v>
      </c>
      <c r="P1500" s="3" t="s">
        <v>221</v>
      </c>
      <c r="Q1500" s="5" t="n">
        <v>158.27</v>
      </c>
      <c r="R1500" s="3" t="n">
        <v>4</v>
      </c>
      <c r="S1500" s="6" t="n">
        <v>0.3</v>
      </c>
      <c r="T1500" s="5" t="n">
        <v>40.38</v>
      </c>
      <c r="U1500" s="3" t="str">
        <f aca="false">IF(T1500&lt;0,"Loss",IF(T1500=0,"Break-even","Profit"))</f>
        <v>Profit</v>
      </c>
      <c r="V1500" s="3" t="str">
        <f aca="false">IF(Q1500&lt;100,"Low",IF(Q1500&lt;=500,"Medium","High"))</f>
        <v>Medium</v>
      </c>
      <c r="W1500" s="3" t="n">
        <f aca="false">D1500-C1500</f>
        <v>5</v>
      </c>
      <c r="X1500" s="3" t="str">
        <f aca="false">TEXT(C1500,"mmmm")</f>
        <v>November</v>
      </c>
      <c r="Y1500" s="3" t="str">
        <f aca="false">LEFT(G1500,1)&amp;MID(G1500,FIND(" ",G1500)+1,1)</f>
        <v>MM</v>
      </c>
    </row>
    <row r="1501" customFormat="false" ht="15" hidden="false" customHeight="false" outlineLevel="0" collapsed="false">
      <c r="A1501" s="3" t="n">
        <v>1500</v>
      </c>
      <c r="B1501" s="3" t="s">
        <v>2824</v>
      </c>
      <c r="C1501" s="4" t="s">
        <v>3280</v>
      </c>
      <c r="D1501" s="4" t="s">
        <v>3292</v>
      </c>
      <c r="E1501" s="3" t="s">
        <v>28</v>
      </c>
      <c r="F1501" s="3" t="s">
        <v>241</v>
      </c>
      <c r="G1501" s="3" t="s">
        <v>242</v>
      </c>
      <c r="H1501" s="3" t="s">
        <v>31</v>
      </c>
      <c r="I1501" s="3" t="s">
        <v>32</v>
      </c>
      <c r="J1501" s="3" t="s">
        <v>67</v>
      </c>
      <c r="K1501" s="3" t="s">
        <v>68</v>
      </c>
      <c r="L1501" s="3" t="s">
        <v>69</v>
      </c>
      <c r="M1501" s="3" t="s">
        <v>219</v>
      </c>
      <c r="N1501" s="3" t="s">
        <v>49</v>
      </c>
      <c r="O1501" s="3" t="s">
        <v>220</v>
      </c>
      <c r="P1501" s="3" t="s">
        <v>221</v>
      </c>
      <c r="Q1501" s="5" t="n">
        <v>93.67</v>
      </c>
      <c r="R1501" s="3" t="n">
        <v>7</v>
      </c>
      <c r="S1501" s="6" t="n">
        <v>0.2</v>
      </c>
      <c r="T1501" s="5" t="n">
        <v>26.62</v>
      </c>
      <c r="U1501" s="3" t="str">
        <f aca="false">IF(T1501&lt;0,"Loss",IF(T1501=0,"Break-even","Profit"))</f>
        <v>Profit</v>
      </c>
      <c r="V1501" s="3" t="str">
        <f aca="false">IF(Q1501&lt;100,"Low",IF(Q1501&lt;=500,"Medium","High"))</f>
        <v>Low</v>
      </c>
      <c r="W1501" s="3" t="n">
        <f aca="false">D1501-C1501</f>
        <v>6</v>
      </c>
      <c r="X1501" s="3" t="str">
        <f aca="false">TEXT(C1501,"mmmm")</f>
        <v>November</v>
      </c>
      <c r="Y1501" s="3" t="str">
        <f aca="false">LEFT(G1501,1)&amp;MID(G1501,FIND(" ",G1501)+1,1)</f>
        <v>AC</v>
      </c>
    </row>
    <row r="1502" customFormat="false" ht="15" hidden="false" customHeight="false" outlineLevel="0" collapsed="false">
      <c r="A1502" s="3" t="n">
        <v>1501</v>
      </c>
      <c r="B1502" s="3" t="s">
        <v>3293</v>
      </c>
      <c r="C1502" s="4" t="s">
        <v>3294</v>
      </c>
      <c r="D1502" s="4" t="s">
        <v>3294</v>
      </c>
      <c r="E1502" s="3" t="s">
        <v>53</v>
      </c>
      <c r="F1502" s="3" t="s">
        <v>1881</v>
      </c>
      <c r="G1502" s="3" t="s">
        <v>1882</v>
      </c>
      <c r="H1502" s="3" t="s">
        <v>56</v>
      </c>
      <c r="I1502" s="3" t="s">
        <v>32</v>
      </c>
      <c r="J1502" s="3" t="s">
        <v>46</v>
      </c>
      <c r="K1502" s="3" t="s">
        <v>47</v>
      </c>
      <c r="L1502" s="3" t="s">
        <v>35</v>
      </c>
      <c r="M1502" s="3" t="s">
        <v>114</v>
      </c>
      <c r="N1502" s="3" t="s">
        <v>49</v>
      </c>
      <c r="O1502" s="3" t="s">
        <v>61</v>
      </c>
      <c r="P1502" s="3" t="s">
        <v>115</v>
      </c>
      <c r="Q1502" s="5" t="n">
        <v>590.7</v>
      </c>
      <c r="R1502" s="3" t="n">
        <v>13</v>
      </c>
      <c r="S1502" s="6" t="n">
        <v>0.2</v>
      </c>
      <c r="T1502" s="5" t="n">
        <v>51.21</v>
      </c>
      <c r="U1502" s="3" t="str">
        <f aca="false">IF(T1502&lt;0,"Loss",IF(T1502=0,"Break-even","Profit"))</f>
        <v>Profit</v>
      </c>
      <c r="V1502" s="3" t="str">
        <f aca="false">IF(Q1502&lt;100,"Low",IF(Q1502&lt;=500,"Medium","High"))</f>
        <v>High</v>
      </c>
      <c r="W1502" s="3" t="n">
        <f aca="false">D1502-C1502</f>
        <v>0</v>
      </c>
      <c r="X1502" s="3" t="str">
        <f aca="false">TEXT(C1502,"mmmm")</f>
        <v>November</v>
      </c>
      <c r="Y1502" s="3" t="str">
        <f aca="false">LEFT(G1502,1)&amp;MID(G1502,FIND(" ",G1502)+1,1)</f>
        <v>SD</v>
      </c>
    </row>
    <row r="1503" customFormat="false" ht="15" hidden="false" customHeight="false" outlineLevel="0" collapsed="false">
      <c r="A1503" s="3" t="n">
        <v>1502</v>
      </c>
      <c r="B1503" s="3" t="s">
        <v>3295</v>
      </c>
      <c r="C1503" s="4" t="s">
        <v>3296</v>
      </c>
      <c r="D1503" s="4" t="s">
        <v>3290</v>
      </c>
      <c r="E1503" s="3" t="s">
        <v>42</v>
      </c>
      <c r="F1503" s="3" t="s">
        <v>963</v>
      </c>
      <c r="G1503" s="3" t="s">
        <v>964</v>
      </c>
      <c r="H1503" s="3" t="s">
        <v>56</v>
      </c>
      <c r="I1503" s="3" t="s">
        <v>32</v>
      </c>
      <c r="J1503" s="3" t="s">
        <v>386</v>
      </c>
      <c r="K1503" s="3" t="s">
        <v>387</v>
      </c>
      <c r="L1503" s="3" t="s">
        <v>35</v>
      </c>
      <c r="M1503" s="3" t="s">
        <v>97</v>
      </c>
      <c r="N1503" s="3" t="s">
        <v>89</v>
      </c>
      <c r="O1503" s="3" t="s">
        <v>90</v>
      </c>
      <c r="P1503" s="3" t="s">
        <v>98</v>
      </c>
      <c r="Q1503" s="5" t="n">
        <v>1615.11</v>
      </c>
      <c r="R1503" s="3" t="n">
        <v>7</v>
      </c>
      <c r="S1503" s="6" t="n">
        <v>0</v>
      </c>
      <c r="T1503" s="5" t="n">
        <v>537.01</v>
      </c>
      <c r="U1503" s="3" t="str">
        <f aca="false">IF(T1503&lt;0,"Loss",IF(T1503=0,"Break-even","Profit"))</f>
        <v>Profit</v>
      </c>
      <c r="V1503" s="3" t="str">
        <f aca="false">IF(Q1503&lt;100,"Low",IF(Q1503&lt;=500,"Medium","High"))</f>
        <v>High</v>
      </c>
      <c r="W1503" s="3" t="n">
        <f aca="false">D1503-C1503</f>
        <v>2</v>
      </c>
      <c r="X1503" s="3" t="str">
        <f aca="false">TEXT(C1503,"mmmm")</f>
        <v>November</v>
      </c>
      <c r="Y1503" s="3" t="str">
        <f aca="false">LEFT(G1503,1)&amp;MID(G1503,FIND(" ",G1503)+1,1)</f>
        <v>FB</v>
      </c>
    </row>
    <row r="1504" customFormat="false" ht="15" hidden="false" customHeight="false" outlineLevel="0" collapsed="false">
      <c r="A1504" s="3" t="n">
        <v>1503</v>
      </c>
      <c r="B1504" s="3" t="s">
        <v>3297</v>
      </c>
      <c r="C1504" s="4" t="s">
        <v>3296</v>
      </c>
      <c r="D1504" s="4" t="s">
        <v>3298</v>
      </c>
      <c r="E1504" s="3" t="s">
        <v>28</v>
      </c>
      <c r="F1504" s="3" t="s">
        <v>1121</v>
      </c>
      <c r="G1504" s="3" t="s">
        <v>1122</v>
      </c>
      <c r="H1504" s="3" t="s">
        <v>56</v>
      </c>
      <c r="I1504" s="3" t="s">
        <v>32</v>
      </c>
      <c r="J1504" s="3" t="s">
        <v>46</v>
      </c>
      <c r="K1504" s="3" t="s">
        <v>47</v>
      </c>
      <c r="L1504" s="3" t="s">
        <v>35</v>
      </c>
      <c r="M1504" s="3" t="s">
        <v>70</v>
      </c>
      <c r="N1504" s="3" t="s">
        <v>37</v>
      </c>
      <c r="O1504" s="3" t="s">
        <v>71</v>
      </c>
      <c r="P1504" s="3" t="s">
        <v>72</v>
      </c>
      <c r="Q1504" s="5" t="n">
        <v>8315.07</v>
      </c>
      <c r="R1504" s="3" t="n">
        <v>12</v>
      </c>
      <c r="S1504" s="6" t="n">
        <v>0.4</v>
      </c>
      <c r="T1504" s="5" t="n">
        <v>1900.05</v>
      </c>
      <c r="U1504" s="3" t="str">
        <f aca="false">IF(T1504&lt;0,"Loss",IF(T1504=0,"Break-even","Profit"))</f>
        <v>Profit</v>
      </c>
      <c r="V1504" s="3" t="str">
        <f aca="false">IF(Q1504&lt;100,"Low",IF(Q1504&lt;=500,"Medium","High"))</f>
        <v>High</v>
      </c>
      <c r="W1504" s="3" t="n">
        <f aca="false">D1504-C1504</f>
        <v>5</v>
      </c>
      <c r="X1504" s="3" t="str">
        <f aca="false">TEXT(C1504,"mmmm")</f>
        <v>November</v>
      </c>
      <c r="Y1504" s="3" t="str">
        <f aca="false">LEFT(G1504,1)&amp;MID(G1504,FIND(" ",G1504)+1,1)</f>
        <v>MC</v>
      </c>
    </row>
    <row r="1505" customFormat="false" ht="15" hidden="false" customHeight="false" outlineLevel="0" collapsed="false">
      <c r="A1505" s="3" t="n">
        <v>1504</v>
      </c>
      <c r="B1505" s="3" t="s">
        <v>2885</v>
      </c>
      <c r="C1505" s="4" t="s">
        <v>3292</v>
      </c>
      <c r="D1505" s="4" t="s">
        <v>3298</v>
      </c>
      <c r="E1505" s="3" t="s">
        <v>42</v>
      </c>
      <c r="F1505" s="3" t="s">
        <v>755</v>
      </c>
      <c r="G1505" s="3" t="s">
        <v>756</v>
      </c>
      <c r="H1505" s="3" t="s">
        <v>56</v>
      </c>
      <c r="I1505" s="3" t="s">
        <v>32</v>
      </c>
      <c r="J1505" s="3" t="s">
        <v>67</v>
      </c>
      <c r="K1505" s="3" t="s">
        <v>68</v>
      </c>
      <c r="L1505" s="3" t="s">
        <v>69</v>
      </c>
      <c r="M1505" s="3" t="s">
        <v>195</v>
      </c>
      <c r="N1505" s="3" t="s">
        <v>37</v>
      </c>
      <c r="O1505" s="3" t="s">
        <v>196</v>
      </c>
      <c r="P1505" s="3" t="s">
        <v>197</v>
      </c>
      <c r="Q1505" s="5" t="n">
        <v>5696.35</v>
      </c>
      <c r="R1505" s="3" t="n">
        <v>9</v>
      </c>
      <c r="S1505" s="6" t="n">
        <v>0</v>
      </c>
      <c r="T1505" s="5" t="n">
        <v>1759.33</v>
      </c>
      <c r="U1505" s="3" t="str">
        <f aca="false">IF(T1505&lt;0,"Loss",IF(T1505=0,"Break-even","Profit"))</f>
        <v>Profit</v>
      </c>
      <c r="V1505" s="3" t="str">
        <f aca="false">IF(Q1505&lt;100,"Low",IF(Q1505&lt;=500,"Medium","High"))</f>
        <v>High</v>
      </c>
      <c r="W1505" s="3" t="n">
        <f aca="false">D1505-C1505</f>
        <v>2</v>
      </c>
      <c r="X1505" s="3" t="str">
        <f aca="false">TEXT(C1505,"mmmm")</f>
        <v>November</v>
      </c>
      <c r="Y1505" s="3" t="str">
        <f aca="false">LEFT(G1505,1)&amp;MID(G1505,FIND(" ",G1505)+1,1)</f>
        <v>MA</v>
      </c>
    </row>
    <row r="1506" customFormat="false" ht="15" hidden="false" customHeight="false" outlineLevel="0" collapsed="false">
      <c r="A1506" s="3" t="n">
        <v>1505</v>
      </c>
      <c r="B1506" s="3" t="s">
        <v>3299</v>
      </c>
      <c r="C1506" s="4" t="s">
        <v>3292</v>
      </c>
      <c r="D1506" s="4" t="s">
        <v>3300</v>
      </c>
      <c r="E1506" s="3" t="s">
        <v>28</v>
      </c>
      <c r="F1506" s="3" t="s">
        <v>582</v>
      </c>
      <c r="G1506" s="3" t="s">
        <v>583</v>
      </c>
      <c r="H1506" s="3" t="s">
        <v>31</v>
      </c>
      <c r="I1506" s="3" t="s">
        <v>32</v>
      </c>
      <c r="J1506" s="3" t="s">
        <v>104</v>
      </c>
      <c r="K1506" s="3" t="s">
        <v>96</v>
      </c>
      <c r="L1506" s="3" t="s">
        <v>59</v>
      </c>
      <c r="M1506" s="3" t="s">
        <v>659</v>
      </c>
      <c r="N1506" s="3" t="s">
        <v>89</v>
      </c>
      <c r="O1506" s="3" t="s">
        <v>323</v>
      </c>
      <c r="P1506" s="3" t="s">
        <v>660</v>
      </c>
      <c r="Q1506" s="5" t="n">
        <v>5448.65</v>
      </c>
      <c r="R1506" s="3" t="n">
        <v>7</v>
      </c>
      <c r="S1506" s="6" t="n">
        <v>0</v>
      </c>
      <c r="T1506" s="5" t="n">
        <v>-1311.31</v>
      </c>
      <c r="U1506" s="3" t="str">
        <f aca="false">IF(T1506&lt;0,"Loss",IF(T1506=0,"Break-even","Profit"))</f>
        <v>Loss</v>
      </c>
      <c r="V1506" s="3" t="str">
        <f aca="false">IF(Q1506&lt;100,"Low",IF(Q1506&lt;=500,"Medium","High"))</f>
        <v>High</v>
      </c>
      <c r="W1506" s="3" t="n">
        <f aca="false">D1506-C1506</f>
        <v>4</v>
      </c>
      <c r="X1506" s="3" t="str">
        <f aca="false">TEXT(C1506,"mmmm")</f>
        <v>November</v>
      </c>
      <c r="Y1506" s="3" t="str">
        <f aca="false">LEFT(G1506,1)&amp;MID(G1506,FIND(" ",G1506)+1,1)</f>
        <v>PB</v>
      </c>
    </row>
    <row r="1507" customFormat="false" ht="15" hidden="false" customHeight="false" outlineLevel="0" collapsed="false">
      <c r="A1507" s="3" t="n">
        <v>1506</v>
      </c>
      <c r="B1507" s="3" t="s">
        <v>2564</v>
      </c>
      <c r="C1507" s="4" t="s">
        <v>3301</v>
      </c>
      <c r="D1507" s="4" t="s">
        <v>3302</v>
      </c>
      <c r="E1507" s="3" t="s">
        <v>42</v>
      </c>
      <c r="F1507" s="3" t="s">
        <v>1031</v>
      </c>
      <c r="G1507" s="3" t="s">
        <v>1032</v>
      </c>
      <c r="H1507" s="3" t="s">
        <v>56</v>
      </c>
      <c r="I1507" s="3" t="s">
        <v>32</v>
      </c>
      <c r="J1507" s="3" t="s">
        <v>201</v>
      </c>
      <c r="K1507" s="3" t="s">
        <v>202</v>
      </c>
      <c r="L1507" s="3" t="s">
        <v>35</v>
      </c>
      <c r="M1507" s="3" t="s">
        <v>334</v>
      </c>
      <c r="N1507" s="3" t="s">
        <v>37</v>
      </c>
      <c r="O1507" s="3" t="s">
        <v>136</v>
      </c>
      <c r="P1507" s="3" t="s">
        <v>335</v>
      </c>
      <c r="Q1507" s="5" t="n">
        <v>4265.07</v>
      </c>
      <c r="R1507" s="3" t="n">
        <v>3</v>
      </c>
      <c r="S1507" s="6" t="n">
        <v>0.4</v>
      </c>
      <c r="T1507" s="5" t="n">
        <v>-1176.7</v>
      </c>
      <c r="U1507" s="3" t="str">
        <f aca="false">IF(T1507&lt;0,"Loss",IF(T1507=0,"Break-even","Profit"))</f>
        <v>Loss</v>
      </c>
      <c r="V1507" s="3" t="str">
        <f aca="false">IF(Q1507&lt;100,"Low",IF(Q1507&lt;=500,"Medium","High"))</f>
        <v>High</v>
      </c>
      <c r="W1507" s="3" t="n">
        <f aca="false">D1507-C1507</f>
        <v>2</v>
      </c>
      <c r="X1507" s="3" t="str">
        <f aca="false">TEXT(C1507,"mmmm")</f>
        <v>November</v>
      </c>
      <c r="Y1507" s="3" t="str">
        <f aca="false">LEFT(G1507,1)&amp;MID(G1507,FIND(" ",G1507)+1,1)</f>
        <v>CS</v>
      </c>
    </row>
    <row r="1508" customFormat="false" ht="15" hidden="false" customHeight="false" outlineLevel="0" collapsed="false">
      <c r="A1508" s="3" t="n">
        <v>1507</v>
      </c>
      <c r="B1508" s="3" t="s">
        <v>3303</v>
      </c>
      <c r="C1508" s="4" t="s">
        <v>3301</v>
      </c>
      <c r="D1508" s="4" t="s">
        <v>3300</v>
      </c>
      <c r="E1508" s="3" t="s">
        <v>28</v>
      </c>
      <c r="F1508" s="3" t="s">
        <v>1689</v>
      </c>
      <c r="G1508" s="3" t="s">
        <v>1690</v>
      </c>
      <c r="H1508" s="3" t="s">
        <v>56</v>
      </c>
      <c r="I1508" s="3" t="s">
        <v>32</v>
      </c>
      <c r="J1508" s="3" t="s">
        <v>215</v>
      </c>
      <c r="K1508" s="3" t="s">
        <v>34</v>
      </c>
      <c r="L1508" s="3" t="s">
        <v>35</v>
      </c>
      <c r="M1508" s="3" t="s">
        <v>334</v>
      </c>
      <c r="N1508" s="3" t="s">
        <v>37</v>
      </c>
      <c r="O1508" s="3" t="s">
        <v>136</v>
      </c>
      <c r="P1508" s="3" t="s">
        <v>335</v>
      </c>
      <c r="Q1508" s="5" t="n">
        <v>17903.03</v>
      </c>
      <c r="R1508" s="3" t="n">
        <v>13</v>
      </c>
      <c r="S1508" s="6" t="n">
        <v>0.2</v>
      </c>
      <c r="T1508" s="5" t="n">
        <v>-1307.4</v>
      </c>
      <c r="U1508" s="3" t="str">
        <f aca="false">IF(T1508&lt;0,"Loss",IF(T1508=0,"Break-even","Profit"))</f>
        <v>Loss</v>
      </c>
      <c r="V1508" s="3" t="str">
        <f aca="false">IF(Q1508&lt;100,"Low",IF(Q1508&lt;=500,"Medium","High"))</f>
        <v>High</v>
      </c>
      <c r="W1508" s="3" t="n">
        <f aca="false">D1508-C1508</f>
        <v>3</v>
      </c>
      <c r="X1508" s="3" t="str">
        <f aca="false">TEXT(C1508,"mmmm")</f>
        <v>November</v>
      </c>
      <c r="Y1508" s="3" t="str">
        <f aca="false">LEFT(G1508,1)&amp;MID(G1508,FIND(" ",G1508)+1,1)</f>
        <v>CK</v>
      </c>
    </row>
    <row r="1509" customFormat="false" ht="15" hidden="false" customHeight="false" outlineLevel="0" collapsed="false">
      <c r="A1509" s="3" t="n">
        <v>1508</v>
      </c>
      <c r="B1509" s="3" t="s">
        <v>3304</v>
      </c>
      <c r="C1509" s="4" t="s">
        <v>3298</v>
      </c>
      <c r="D1509" s="4" t="s">
        <v>3305</v>
      </c>
      <c r="E1509" s="3" t="s">
        <v>84</v>
      </c>
      <c r="F1509" s="3" t="s">
        <v>2045</v>
      </c>
      <c r="G1509" s="3" t="s">
        <v>2046</v>
      </c>
      <c r="H1509" s="3" t="s">
        <v>31</v>
      </c>
      <c r="I1509" s="3" t="s">
        <v>32</v>
      </c>
      <c r="J1509" s="3" t="s">
        <v>171</v>
      </c>
      <c r="K1509" s="3" t="s">
        <v>172</v>
      </c>
      <c r="L1509" s="3" t="s">
        <v>157</v>
      </c>
      <c r="M1509" s="3" t="s">
        <v>121</v>
      </c>
      <c r="N1509" s="3" t="s">
        <v>49</v>
      </c>
      <c r="O1509" s="3" t="s">
        <v>50</v>
      </c>
      <c r="P1509" s="3" t="s">
        <v>122</v>
      </c>
      <c r="Q1509" s="5" t="n">
        <v>1026.63</v>
      </c>
      <c r="R1509" s="3" t="n">
        <v>12</v>
      </c>
      <c r="S1509" s="6" t="n">
        <v>0</v>
      </c>
      <c r="T1509" s="5" t="n">
        <v>190.88</v>
      </c>
      <c r="U1509" s="3" t="str">
        <f aca="false">IF(T1509&lt;0,"Loss",IF(T1509=0,"Break-even","Profit"))</f>
        <v>Profit</v>
      </c>
      <c r="V1509" s="3" t="str">
        <f aca="false">IF(Q1509&lt;100,"Low",IF(Q1509&lt;=500,"Medium","High"))</f>
        <v>High</v>
      </c>
      <c r="W1509" s="3" t="n">
        <f aca="false">D1509-C1509</f>
        <v>4</v>
      </c>
      <c r="X1509" s="3" t="str">
        <f aca="false">TEXT(C1509,"mmmm")</f>
        <v>November</v>
      </c>
      <c r="Y1509" s="3" t="str">
        <f aca="false">LEFT(G1509,1)&amp;MID(G1509,FIND(" ",G1509)+1,1)</f>
        <v>WC</v>
      </c>
    </row>
    <row r="1510" customFormat="false" ht="15" hidden="false" customHeight="false" outlineLevel="0" collapsed="false">
      <c r="A1510" s="3" t="n">
        <v>1509</v>
      </c>
      <c r="B1510" s="3" t="s">
        <v>3306</v>
      </c>
      <c r="C1510" s="4" t="s">
        <v>3300</v>
      </c>
      <c r="D1510" s="4" t="s">
        <v>3307</v>
      </c>
      <c r="E1510" s="3" t="s">
        <v>42</v>
      </c>
      <c r="F1510" s="3" t="s">
        <v>1498</v>
      </c>
      <c r="G1510" s="3" t="s">
        <v>1499</v>
      </c>
      <c r="H1510" s="3" t="s">
        <v>45</v>
      </c>
      <c r="I1510" s="3" t="s">
        <v>32</v>
      </c>
      <c r="J1510" s="3" t="s">
        <v>381</v>
      </c>
      <c r="K1510" s="3" t="s">
        <v>58</v>
      </c>
      <c r="L1510" s="3" t="s">
        <v>59</v>
      </c>
      <c r="M1510" s="3" t="s">
        <v>209</v>
      </c>
      <c r="N1510" s="3" t="s">
        <v>49</v>
      </c>
      <c r="O1510" s="3" t="s">
        <v>106</v>
      </c>
      <c r="P1510" s="3" t="s">
        <v>210</v>
      </c>
      <c r="Q1510" s="5" t="n">
        <v>697.77</v>
      </c>
      <c r="R1510" s="3" t="n">
        <v>12</v>
      </c>
      <c r="S1510" s="6" t="n">
        <v>0.1</v>
      </c>
      <c r="T1510" s="5" t="n">
        <v>154.27</v>
      </c>
      <c r="U1510" s="3" t="str">
        <f aca="false">IF(T1510&lt;0,"Loss",IF(T1510=0,"Break-even","Profit"))</f>
        <v>Profit</v>
      </c>
      <c r="V1510" s="3" t="str">
        <f aca="false">IF(Q1510&lt;100,"Low",IF(Q1510&lt;=500,"Medium","High"))</f>
        <v>High</v>
      </c>
      <c r="W1510" s="3" t="n">
        <f aca="false">D1510-C1510</f>
        <v>1</v>
      </c>
      <c r="X1510" s="3" t="str">
        <f aca="false">TEXT(C1510,"mmmm")</f>
        <v>November</v>
      </c>
      <c r="Y1510" s="3" t="str">
        <f aca="false">LEFT(G1510,1)&amp;MID(G1510,FIND(" ",G1510)+1,1)</f>
        <v>SJ</v>
      </c>
    </row>
    <row r="1511" customFormat="false" ht="15" hidden="false" customHeight="false" outlineLevel="0" collapsed="false">
      <c r="A1511" s="3" t="n">
        <v>1510</v>
      </c>
      <c r="B1511" s="3" t="s">
        <v>3308</v>
      </c>
      <c r="C1511" s="4" t="s">
        <v>3307</v>
      </c>
      <c r="D1511" s="4" t="s">
        <v>3309</v>
      </c>
      <c r="E1511" s="3" t="s">
        <v>28</v>
      </c>
      <c r="F1511" s="3" t="s">
        <v>1086</v>
      </c>
      <c r="G1511" s="3" t="s">
        <v>1087</v>
      </c>
      <c r="H1511" s="3" t="s">
        <v>45</v>
      </c>
      <c r="I1511" s="3" t="s">
        <v>32</v>
      </c>
      <c r="J1511" s="3" t="s">
        <v>77</v>
      </c>
      <c r="K1511" s="3" t="s">
        <v>78</v>
      </c>
      <c r="L1511" s="3" t="s">
        <v>59</v>
      </c>
      <c r="M1511" s="3" t="s">
        <v>195</v>
      </c>
      <c r="N1511" s="3" t="s">
        <v>37</v>
      </c>
      <c r="O1511" s="3" t="s">
        <v>196</v>
      </c>
      <c r="P1511" s="3" t="s">
        <v>197</v>
      </c>
      <c r="Q1511" s="5" t="n">
        <v>13010.29</v>
      </c>
      <c r="R1511" s="3" t="n">
        <v>12</v>
      </c>
      <c r="S1511" s="6" t="n">
        <v>0.3</v>
      </c>
      <c r="T1511" s="5" t="n">
        <v>-309.14</v>
      </c>
      <c r="U1511" s="3" t="str">
        <f aca="false">IF(T1511&lt;0,"Loss",IF(T1511=0,"Break-even","Profit"))</f>
        <v>Loss</v>
      </c>
      <c r="V1511" s="3" t="str">
        <f aca="false">IF(Q1511&lt;100,"Low",IF(Q1511&lt;=500,"Medium","High"))</f>
        <v>High</v>
      </c>
      <c r="W1511" s="3" t="n">
        <f aca="false">D1511-C1511</f>
        <v>3</v>
      </c>
      <c r="X1511" s="3" t="str">
        <f aca="false">TEXT(C1511,"mmmm")</f>
        <v>November</v>
      </c>
      <c r="Y1511" s="3" t="str">
        <f aca="false">LEFT(G1511,1)&amp;MID(G1511,FIND(" ",G1511)+1,1)</f>
        <v>AB</v>
      </c>
    </row>
    <row r="1512" customFormat="false" ht="15" hidden="false" customHeight="false" outlineLevel="0" collapsed="false">
      <c r="A1512" s="3" t="n">
        <v>1511</v>
      </c>
      <c r="B1512" s="3" t="s">
        <v>3310</v>
      </c>
      <c r="C1512" s="4" t="s">
        <v>3305</v>
      </c>
      <c r="D1512" s="4" t="s">
        <v>3309</v>
      </c>
      <c r="E1512" s="3" t="s">
        <v>84</v>
      </c>
      <c r="F1512" s="3" t="s">
        <v>1253</v>
      </c>
      <c r="G1512" s="3" t="s">
        <v>1254</v>
      </c>
      <c r="H1512" s="3" t="s">
        <v>45</v>
      </c>
      <c r="I1512" s="3" t="s">
        <v>32</v>
      </c>
      <c r="J1512" s="3" t="s">
        <v>112</v>
      </c>
      <c r="K1512" s="3" t="s">
        <v>113</v>
      </c>
      <c r="L1512" s="3" t="s">
        <v>69</v>
      </c>
      <c r="M1512" s="3" t="s">
        <v>300</v>
      </c>
      <c r="N1512" s="3" t="s">
        <v>49</v>
      </c>
      <c r="O1512" s="3" t="s">
        <v>143</v>
      </c>
      <c r="P1512" s="3" t="s">
        <v>301</v>
      </c>
      <c r="Q1512" s="5" t="n">
        <v>93.52</v>
      </c>
      <c r="R1512" s="3" t="n">
        <v>4</v>
      </c>
      <c r="S1512" s="6" t="n">
        <v>0.2</v>
      </c>
      <c r="T1512" s="5" t="n">
        <v>27.05</v>
      </c>
      <c r="U1512" s="3" t="str">
        <f aca="false">IF(T1512&lt;0,"Loss",IF(T1512=0,"Break-even","Profit"))</f>
        <v>Profit</v>
      </c>
      <c r="V1512" s="3" t="str">
        <f aca="false">IF(Q1512&lt;100,"Low",IF(Q1512&lt;=500,"Medium","High"))</f>
        <v>Low</v>
      </c>
      <c r="W1512" s="3" t="n">
        <f aca="false">D1512-C1512</f>
        <v>2</v>
      </c>
      <c r="X1512" s="3" t="str">
        <f aca="false">TEXT(C1512,"mmmm")</f>
        <v>November</v>
      </c>
      <c r="Y1512" s="3" t="str">
        <f aca="false">LEFT(G1512,1)&amp;MID(G1512,FIND(" ",G1512)+1,1)</f>
        <v>AN</v>
      </c>
    </row>
    <row r="1513" customFormat="false" ht="15" hidden="false" customHeight="false" outlineLevel="0" collapsed="false">
      <c r="A1513" s="3" t="n">
        <v>1512</v>
      </c>
      <c r="B1513" s="3" t="s">
        <v>3311</v>
      </c>
      <c r="C1513" s="4" t="s">
        <v>3312</v>
      </c>
      <c r="D1513" s="4" t="s">
        <v>3313</v>
      </c>
      <c r="E1513" s="3" t="s">
        <v>42</v>
      </c>
      <c r="F1513" s="3" t="s">
        <v>1459</v>
      </c>
      <c r="G1513" s="3" t="s">
        <v>1460</v>
      </c>
      <c r="H1513" s="3" t="s">
        <v>31</v>
      </c>
      <c r="I1513" s="3" t="s">
        <v>32</v>
      </c>
      <c r="J1513" s="3" t="s">
        <v>188</v>
      </c>
      <c r="K1513" s="3" t="s">
        <v>189</v>
      </c>
      <c r="L1513" s="3" t="s">
        <v>59</v>
      </c>
      <c r="M1513" s="3" t="s">
        <v>316</v>
      </c>
      <c r="N1513" s="3" t="s">
        <v>49</v>
      </c>
      <c r="O1513" s="3" t="s">
        <v>143</v>
      </c>
      <c r="P1513" s="3" t="s">
        <v>317</v>
      </c>
      <c r="Q1513" s="5" t="n">
        <v>984.33</v>
      </c>
      <c r="R1513" s="3" t="n">
        <v>12</v>
      </c>
      <c r="S1513" s="6" t="n">
        <v>0.2</v>
      </c>
      <c r="T1513" s="5" t="n">
        <v>-120.12</v>
      </c>
      <c r="U1513" s="3" t="str">
        <f aca="false">IF(T1513&lt;0,"Loss",IF(T1513=0,"Break-even","Profit"))</f>
        <v>Loss</v>
      </c>
      <c r="V1513" s="3" t="str">
        <f aca="false">IF(Q1513&lt;100,"Low",IF(Q1513&lt;=500,"Medium","High"))</f>
        <v>High</v>
      </c>
      <c r="W1513" s="3" t="n">
        <f aca="false">D1513-C1513</f>
        <v>2</v>
      </c>
      <c r="X1513" s="3" t="str">
        <f aca="false">TEXT(C1513,"mmmm")</f>
        <v>November</v>
      </c>
      <c r="Y1513" s="3" t="str">
        <f aca="false">LEFT(G1513,1)&amp;MID(G1513,FIND(" ",G1513)+1,1)</f>
        <v>AS</v>
      </c>
    </row>
    <row r="1514" customFormat="false" ht="15" hidden="false" customHeight="false" outlineLevel="0" collapsed="false">
      <c r="A1514" s="3" t="n">
        <v>1513</v>
      </c>
      <c r="B1514" s="3" t="s">
        <v>3235</v>
      </c>
      <c r="C1514" s="4" t="s">
        <v>3309</v>
      </c>
      <c r="D1514" s="4" t="s">
        <v>3309</v>
      </c>
      <c r="E1514" s="3" t="s">
        <v>53</v>
      </c>
      <c r="F1514" s="3" t="s">
        <v>808</v>
      </c>
      <c r="G1514" s="3" t="s">
        <v>809</v>
      </c>
      <c r="H1514" s="3" t="s">
        <v>31</v>
      </c>
      <c r="I1514" s="3" t="s">
        <v>32</v>
      </c>
      <c r="J1514" s="3" t="s">
        <v>243</v>
      </c>
      <c r="K1514" s="3" t="s">
        <v>244</v>
      </c>
      <c r="L1514" s="3" t="s">
        <v>157</v>
      </c>
      <c r="M1514" s="3" t="s">
        <v>97</v>
      </c>
      <c r="N1514" s="3" t="s">
        <v>89</v>
      </c>
      <c r="O1514" s="3" t="s">
        <v>90</v>
      </c>
      <c r="P1514" s="3" t="s">
        <v>98</v>
      </c>
      <c r="Q1514" s="5" t="n">
        <v>1141.93</v>
      </c>
      <c r="R1514" s="3" t="n">
        <v>9</v>
      </c>
      <c r="S1514" s="6" t="n">
        <v>0.2</v>
      </c>
      <c r="T1514" s="5" t="n">
        <v>-88.29</v>
      </c>
      <c r="U1514" s="3" t="str">
        <f aca="false">IF(T1514&lt;0,"Loss",IF(T1514=0,"Break-even","Profit"))</f>
        <v>Loss</v>
      </c>
      <c r="V1514" s="3" t="str">
        <f aca="false">IF(Q1514&lt;100,"Low",IF(Q1514&lt;=500,"Medium","High"))</f>
        <v>High</v>
      </c>
      <c r="W1514" s="3" t="n">
        <f aca="false">D1514-C1514</f>
        <v>0</v>
      </c>
      <c r="X1514" s="3" t="str">
        <f aca="false">TEXT(C1514,"mmmm")</f>
        <v>December</v>
      </c>
      <c r="Y1514" s="3" t="str">
        <f aca="false">LEFT(G1514,1)&amp;MID(G1514,FIND(" ",G1514)+1,1)</f>
        <v>ET</v>
      </c>
    </row>
    <row r="1515" customFormat="false" ht="15" hidden="false" customHeight="false" outlineLevel="0" collapsed="false">
      <c r="A1515" s="3" t="n">
        <v>1514</v>
      </c>
      <c r="B1515" s="3" t="s">
        <v>3314</v>
      </c>
      <c r="C1515" s="4" t="s">
        <v>3309</v>
      </c>
      <c r="D1515" s="4" t="s">
        <v>3315</v>
      </c>
      <c r="E1515" s="3" t="s">
        <v>28</v>
      </c>
      <c r="F1515" s="3" t="s">
        <v>1468</v>
      </c>
      <c r="G1515" s="3" t="s">
        <v>1469</v>
      </c>
      <c r="H1515" s="3" t="s">
        <v>45</v>
      </c>
      <c r="I1515" s="3" t="s">
        <v>32</v>
      </c>
      <c r="J1515" s="3" t="s">
        <v>120</v>
      </c>
      <c r="K1515" s="3" t="s">
        <v>113</v>
      </c>
      <c r="L1515" s="3" t="s">
        <v>69</v>
      </c>
      <c r="M1515" s="3" t="s">
        <v>36</v>
      </c>
      <c r="N1515" s="3" t="s">
        <v>37</v>
      </c>
      <c r="O1515" s="3" t="s">
        <v>38</v>
      </c>
      <c r="P1515" s="3" t="s">
        <v>39</v>
      </c>
      <c r="Q1515" s="5" t="n">
        <v>6153.95</v>
      </c>
      <c r="R1515" s="3" t="n">
        <v>5</v>
      </c>
      <c r="S1515" s="6" t="n">
        <v>0.4</v>
      </c>
      <c r="T1515" s="5" t="n">
        <v>-1279.26</v>
      </c>
      <c r="U1515" s="3" t="str">
        <f aca="false">IF(T1515&lt;0,"Loss",IF(T1515=0,"Break-even","Profit"))</f>
        <v>Loss</v>
      </c>
      <c r="V1515" s="3" t="str">
        <f aca="false">IF(Q1515&lt;100,"Low",IF(Q1515&lt;=500,"Medium","High"))</f>
        <v>High</v>
      </c>
      <c r="W1515" s="3" t="n">
        <f aca="false">D1515-C1515</f>
        <v>3</v>
      </c>
      <c r="X1515" s="3" t="str">
        <f aca="false">TEXT(C1515,"mmmm")</f>
        <v>December</v>
      </c>
      <c r="Y1515" s="3" t="str">
        <f aca="false">LEFT(G1515,1)&amp;MID(G1515,FIND(" ",G1515)+1,1)</f>
        <v>EK</v>
      </c>
    </row>
    <row r="1516" customFormat="false" ht="15" hidden="false" customHeight="false" outlineLevel="0" collapsed="false">
      <c r="A1516" s="3" t="n">
        <v>1515</v>
      </c>
      <c r="B1516" s="3" t="s">
        <v>3316</v>
      </c>
      <c r="C1516" s="4" t="s">
        <v>3313</v>
      </c>
      <c r="D1516" s="4" t="s">
        <v>3313</v>
      </c>
      <c r="E1516" s="3" t="s">
        <v>53</v>
      </c>
      <c r="F1516" s="3" t="s">
        <v>527</v>
      </c>
      <c r="G1516" s="3" t="s">
        <v>528</v>
      </c>
      <c r="H1516" s="3" t="s">
        <v>45</v>
      </c>
      <c r="I1516" s="3" t="s">
        <v>32</v>
      </c>
      <c r="J1516" s="3" t="s">
        <v>179</v>
      </c>
      <c r="K1516" s="3" t="s">
        <v>47</v>
      </c>
      <c r="L1516" s="3" t="s">
        <v>35</v>
      </c>
      <c r="M1516" s="3" t="s">
        <v>209</v>
      </c>
      <c r="N1516" s="3" t="s">
        <v>49</v>
      </c>
      <c r="O1516" s="3" t="s">
        <v>106</v>
      </c>
      <c r="P1516" s="3" t="s">
        <v>210</v>
      </c>
      <c r="Q1516" s="5" t="n">
        <v>1102.05</v>
      </c>
      <c r="R1516" s="3" t="n">
        <v>11</v>
      </c>
      <c r="S1516" s="6" t="n">
        <v>0.3</v>
      </c>
      <c r="T1516" s="5" t="n">
        <v>-37.22</v>
      </c>
      <c r="U1516" s="3" t="str">
        <f aca="false">IF(T1516&lt;0,"Loss",IF(T1516=0,"Break-even","Profit"))</f>
        <v>Loss</v>
      </c>
      <c r="V1516" s="3" t="str">
        <f aca="false">IF(Q1516&lt;100,"Low",IF(Q1516&lt;=500,"Medium","High"))</f>
        <v>High</v>
      </c>
      <c r="W1516" s="3" t="n">
        <f aca="false">D1516-C1516</f>
        <v>0</v>
      </c>
      <c r="X1516" s="3" t="str">
        <f aca="false">TEXT(C1516,"mmmm")</f>
        <v>December</v>
      </c>
      <c r="Y1516" s="3" t="str">
        <f aca="false">LEFT(G1516,1)&amp;MID(G1516,FIND(" ",G1516)+1,1)</f>
        <v>CC</v>
      </c>
    </row>
    <row r="1517" customFormat="false" ht="15" hidden="false" customHeight="false" outlineLevel="0" collapsed="false">
      <c r="A1517" s="3" t="n">
        <v>1516</v>
      </c>
      <c r="B1517" s="3" t="s">
        <v>3317</v>
      </c>
      <c r="C1517" s="4" t="s">
        <v>3313</v>
      </c>
      <c r="D1517" s="4" t="s">
        <v>3315</v>
      </c>
      <c r="E1517" s="3" t="s">
        <v>42</v>
      </c>
      <c r="F1517" s="3" t="s">
        <v>1582</v>
      </c>
      <c r="G1517" s="3" t="s">
        <v>1583</v>
      </c>
      <c r="H1517" s="3" t="s">
        <v>56</v>
      </c>
      <c r="I1517" s="3" t="s">
        <v>32</v>
      </c>
      <c r="J1517" s="3" t="s">
        <v>179</v>
      </c>
      <c r="K1517" s="3" t="s">
        <v>47</v>
      </c>
      <c r="L1517" s="3" t="s">
        <v>35</v>
      </c>
      <c r="M1517" s="3" t="s">
        <v>347</v>
      </c>
      <c r="N1517" s="3" t="s">
        <v>49</v>
      </c>
      <c r="O1517" s="3" t="s">
        <v>220</v>
      </c>
      <c r="P1517" s="3" t="s">
        <v>348</v>
      </c>
      <c r="Q1517" s="5" t="n">
        <v>1045.2</v>
      </c>
      <c r="R1517" s="3" t="n">
        <v>14</v>
      </c>
      <c r="S1517" s="6" t="n">
        <v>0.2</v>
      </c>
      <c r="T1517" s="5" t="n">
        <v>-184.98</v>
      </c>
      <c r="U1517" s="3" t="str">
        <f aca="false">IF(T1517&lt;0,"Loss",IF(T1517=0,"Break-even","Profit"))</f>
        <v>Loss</v>
      </c>
      <c r="V1517" s="3" t="str">
        <f aca="false">IF(Q1517&lt;100,"Low",IF(Q1517&lt;=500,"Medium","High"))</f>
        <v>High</v>
      </c>
      <c r="W1517" s="3" t="n">
        <f aca="false">D1517-C1517</f>
        <v>2</v>
      </c>
      <c r="X1517" s="3" t="str">
        <f aca="false">TEXT(C1517,"mmmm")</f>
        <v>December</v>
      </c>
      <c r="Y1517" s="3" t="str">
        <f aca="false">LEFT(G1517,1)&amp;MID(G1517,FIND(" ",G1517)+1,1)</f>
        <v>DK</v>
      </c>
    </row>
    <row r="1518" customFormat="false" ht="15" hidden="false" customHeight="false" outlineLevel="0" collapsed="false">
      <c r="A1518" s="3" t="n">
        <v>1517</v>
      </c>
      <c r="B1518" s="3" t="s">
        <v>3318</v>
      </c>
      <c r="C1518" s="4" t="s">
        <v>3315</v>
      </c>
      <c r="D1518" s="4" t="s">
        <v>3319</v>
      </c>
      <c r="E1518" s="3" t="s">
        <v>28</v>
      </c>
      <c r="F1518" s="3" t="s">
        <v>1840</v>
      </c>
      <c r="G1518" s="3" t="s">
        <v>1841</v>
      </c>
      <c r="H1518" s="3" t="s">
        <v>45</v>
      </c>
      <c r="I1518" s="3" t="s">
        <v>32</v>
      </c>
      <c r="J1518" s="3" t="s">
        <v>133</v>
      </c>
      <c r="K1518" s="3" t="s">
        <v>134</v>
      </c>
      <c r="L1518" s="3" t="s">
        <v>69</v>
      </c>
      <c r="M1518" s="3" t="s">
        <v>219</v>
      </c>
      <c r="N1518" s="3" t="s">
        <v>49</v>
      </c>
      <c r="O1518" s="3" t="s">
        <v>220</v>
      </c>
      <c r="P1518" s="3" t="s">
        <v>221</v>
      </c>
      <c r="Q1518" s="5" t="n">
        <v>253.61</v>
      </c>
      <c r="R1518" s="3" t="n">
        <v>10</v>
      </c>
      <c r="S1518" s="6" t="n">
        <v>0.4</v>
      </c>
      <c r="T1518" s="5" t="n">
        <v>-40.97</v>
      </c>
      <c r="U1518" s="3" t="str">
        <f aca="false">IF(T1518&lt;0,"Loss",IF(T1518=0,"Break-even","Profit"))</f>
        <v>Loss</v>
      </c>
      <c r="V1518" s="3" t="str">
        <f aca="false">IF(Q1518&lt;100,"Low",IF(Q1518&lt;=500,"Medium","High"))</f>
        <v>Medium</v>
      </c>
      <c r="W1518" s="3" t="n">
        <f aca="false">D1518-C1518</f>
        <v>3</v>
      </c>
      <c r="X1518" s="3" t="str">
        <f aca="false">TEXT(C1518,"mmmm")</f>
        <v>December</v>
      </c>
      <c r="Y1518" s="3" t="str">
        <f aca="false">LEFT(G1518,1)&amp;MID(G1518,FIND(" ",G1518)+1,1)</f>
        <v>LK</v>
      </c>
    </row>
    <row r="1519" customFormat="false" ht="15" hidden="false" customHeight="false" outlineLevel="0" collapsed="false">
      <c r="A1519" s="3" t="n">
        <v>1518</v>
      </c>
      <c r="B1519" s="3" t="s">
        <v>3320</v>
      </c>
      <c r="C1519" s="4" t="s">
        <v>3315</v>
      </c>
      <c r="D1519" s="4" t="s">
        <v>3315</v>
      </c>
      <c r="E1519" s="3" t="s">
        <v>53</v>
      </c>
      <c r="F1519" s="3" t="s">
        <v>2720</v>
      </c>
      <c r="G1519" s="3" t="s">
        <v>2721</v>
      </c>
      <c r="H1519" s="3" t="s">
        <v>31</v>
      </c>
      <c r="I1519" s="3" t="s">
        <v>32</v>
      </c>
      <c r="J1519" s="3" t="s">
        <v>148</v>
      </c>
      <c r="K1519" s="3" t="s">
        <v>78</v>
      </c>
      <c r="L1519" s="3" t="s">
        <v>59</v>
      </c>
      <c r="M1519" s="3" t="s">
        <v>70</v>
      </c>
      <c r="N1519" s="3" t="s">
        <v>37</v>
      </c>
      <c r="O1519" s="3" t="s">
        <v>71</v>
      </c>
      <c r="P1519" s="3" t="s">
        <v>72</v>
      </c>
      <c r="Q1519" s="5" t="n">
        <v>8882.3</v>
      </c>
      <c r="R1519" s="3" t="n">
        <v>8</v>
      </c>
      <c r="S1519" s="6" t="n">
        <v>0</v>
      </c>
      <c r="T1519" s="5" t="n">
        <v>-2067.62</v>
      </c>
      <c r="U1519" s="3" t="str">
        <f aca="false">IF(T1519&lt;0,"Loss",IF(T1519=0,"Break-even","Profit"))</f>
        <v>Loss</v>
      </c>
      <c r="V1519" s="3" t="str">
        <f aca="false">IF(Q1519&lt;100,"Low",IF(Q1519&lt;=500,"Medium","High"))</f>
        <v>High</v>
      </c>
      <c r="W1519" s="3" t="n">
        <f aca="false">D1519-C1519</f>
        <v>0</v>
      </c>
      <c r="X1519" s="3" t="str">
        <f aca="false">TEXT(C1519,"mmmm")</f>
        <v>December</v>
      </c>
      <c r="Y1519" s="3" t="str">
        <f aca="false">LEFT(G1519,1)&amp;MID(G1519,FIND(" ",G1519)+1,1)</f>
        <v>RR</v>
      </c>
    </row>
    <row r="1520" customFormat="false" ht="15" hidden="false" customHeight="false" outlineLevel="0" collapsed="false">
      <c r="A1520" s="3" t="n">
        <v>1519</v>
      </c>
      <c r="B1520" s="3" t="s">
        <v>3321</v>
      </c>
      <c r="C1520" s="4" t="s">
        <v>3322</v>
      </c>
      <c r="D1520" s="4" t="s">
        <v>3323</v>
      </c>
      <c r="E1520" s="3" t="s">
        <v>42</v>
      </c>
      <c r="F1520" s="3" t="s">
        <v>490</v>
      </c>
      <c r="G1520" s="3" t="s">
        <v>491</v>
      </c>
      <c r="H1520" s="3" t="s">
        <v>31</v>
      </c>
      <c r="I1520" s="3" t="s">
        <v>32</v>
      </c>
      <c r="J1520" s="3" t="s">
        <v>179</v>
      </c>
      <c r="K1520" s="3" t="s">
        <v>47</v>
      </c>
      <c r="L1520" s="3" t="s">
        <v>35</v>
      </c>
      <c r="M1520" s="3" t="s">
        <v>225</v>
      </c>
      <c r="N1520" s="3" t="s">
        <v>37</v>
      </c>
      <c r="O1520" s="3" t="s">
        <v>196</v>
      </c>
      <c r="P1520" s="3" t="s">
        <v>226</v>
      </c>
      <c r="Q1520" s="5" t="n">
        <v>3945.27</v>
      </c>
      <c r="R1520" s="3" t="n">
        <v>3</v>
      </c>
      <c r="S1520" s="6" t="n">
        <v>0.2</v>
      </c>
      <c r="T1520" s="5" t="n">
        <v>-985.76</v>
      </c>
      <c r="U1520" s="3" t="str">
        <f aca="false">IF(T1520&lt;0,"Loss",IF(T1520=0,"Break-even","Profit"))</f>
        <v>Loss</v>
      </c>
      <c r="V1520" s="3" t="str">
        <f aca="false">IF(Q1520&lt;100,"Low",IF(Q1520&lt;=500,"Medium","High"))</f>
        <v>High</v>
      </c>
      <c r="W1520" s="3" t="n">
        <f aca="false">D1520-C1520</f>
        <v>1</v>
      </c>
      <c r="X1520" s="3" t="str">
        <f aca="false">TEXT(C1520,"mmmm")</f>
        <v>December</v>
      </c>
      <c r="Y1520" s="3" t="str">
        <f aca="false">LEFT(G1520,1)&amp;MID(G1520,FIND(" ",G1520)+1,1)</f>
        <v>WM</v>
      </c>
    </row>
    <row r="1521" customFormat="false" ht="15" hidden="false" customHeight="false" outlineLevel="0" collapsed="false">
      <c r="A1521" s="3" t="n">
        <v>1520</v>
      </c>
      <c r="B1521" s="3" t="s">
        <v>3324</v>
      </c>
      <c r="C1521" s="4" t="s">
        <v>3322</v>
      </c>
      <c r="D1521" s="4" t="s">
        <v>3325</v>
      </c>
      <c r="E1521" s="3" t="s">
        <v>28</v>
      </c>
      <c r="F1521" s="3" t="s">
        <v>2244</v>
      </c>
      <c r="G1521" s="3" t="s">
        <v>2245</v>
      </c>
      <c r="H1521" s="3" t="s">
        <v>56</v>
      </c>
      <c r="I1521" s="3" t="s">
        <v>32</v>
      </c>
      <c r="J1521" s="3" t="s">
        <v>415</v>
      </c>
      <c r="K1521" s="3" t="s">
        <v>202</v>
      </c>
      <c r="L1521" s="3" t="s">
        <v>35</v>
      </c>
      <c r="M1521" s="3" t="s">
        <v>269</v>
      </c>
      <c r="N1521" s="3" t="s">
        <v>89</v>
      </c>
      <c r="O1521" s="3" t="s">
        <v>174</v>
      </c>
      <c r="P1521" s="3" t="s">
        <v>270</v>
      </c>
      <c r="Q1521" s="5" t="n">
        <v>145.7</v>
      </c>
      <c r="R1521" s="3" t="n">
        <v>4</v>
      </c>
      <c r="S1521" s="6" t="n">
        <v>0.4</v>
      </c>
      <c r="T1521" s="5" t="n">
        <v>-7.11</v>
      </c>
      <c r="U1521" s="3" t="str">
        <f aca="false">IF(T1521&lt;0,"Loss",IF(T1521=0,"Break-even","Profit"))</f>
        <v>Loss</v>
      </c>
      <c r="V1521" s="3" t="str">
        <f aca="false">IF(Q1521&lt;100,"Low",IF(Q1521&lt;=500,"Medium","High"))</f>
        <v>Medium</v>
      </c>
      <c r="W1521" s="3" t="n">
        <f aca="false">D1521-C1521</f>
        <v>5</v>
      </c>
      <c r="X1521" s="3" t="str">
        <f aca="false">TEXT(C1521,"mmmm")</f>
        <v>December</v>
      </c>
      <c r="Y1521" s="3" t="str">
        <f aca="false">LEFT(G1521,1)&amp;MID(G1521,FIND(" ",G1521)+1,1)</f>
        <v>WS</v>
      </c>
    </row>
    <row r="1522" customFormat="false" ht="15" hidden="false" customHeight="false" outlineLevel="0" collapsed="false">
      <c r="A1522" s="3" t="n">
        <v>1521</v>
      </c>
      <c r="B1522" s="3" t="s">
        <v>3326</v>
      </c>
      <c r="C1522" s="4" t="s">
        <v>3322</v>
      </c>
      <c r="D1522" s="4" t="s">
        <v>3319</v>
      </c>
      <c r="E1522" s="3" t="s">
        <v>84</v>
      </c>
      <c r="F1522" s="3" t="s">
        <v>2187</v>
      </c>
      <c r="G1522" s="3" t="s">
        <v>2188</v>
      </c>
      <c r="H1522" s="3" t="s">
        <v>56</v>
      </c>
      <c r="I1522" s="3" t="s">
        <v>32</v>
      </c>
      <c r="J1522" s="3" t="s">
        <v>365</v>
      </c>
      <c r="K1522" s="3" t="s">
        <v>366</v>
      </c>
      <c r="L1522" s="3" t="s">
        <v>157</v>
      </c>
      <c r="M1522" s="3" t="s">
        <v>135</v>
      </c>
      <c r="N1522" s="3" t="s">
        <v>37</v>
      </c>
      <c r="O1522" s="3" t="s">
        <v>136</v>
      </c>
      <c r="P1522" s="3" t="s">
        <v>137</v>
      </c>
      <c r="Q1522" s="5" t="n">
        <v>5804.25</v>
      </c>
      <c r="R1522" s="3" t="n">
        <v>9</v>
      </c>
      <c r="S1522" s="6" t="n">
        <v>0.4</v>
      </c>
      <c r="T1522" s="5" t="n">
        <v>4.27</v>
      </c>
      <c r="U1522" s="3" t="str">
        <f aca="false">IF(T1522&lt;0,"Loss",IF(T1522=0,"Break-even","Profit"))</f>
        <v>Profit</v>
      </c>
      <c r="V1522" s="3" t="str">
        <f aca="false">IF(Q1522&lt;100,"Low",IF(Q1522&lt;=500,"Medium","High"))</f>
        <v>High</v>
      </c>
      <c r="W1522" s="3" t="n">
        <f aca="false">D1522-C1522</f>
        <v>2</v>
      </c>
      <c r="X1522" s="3" t="str">
        <f aca="false">TEXT(C1522,"mmmm")</f>
        <v>December</v>
      </c>
      <c r="Y1522" s="3" t="str">
        <f aca="false">LEFT(G1522,1)&amp;MID(G1522,FIND(" ",G1522)+1,1)</f>
        <v>AW</v>
      </c>
    </row>
    <row r="1523" customFormat="false" ht="15" hidden="false" customHeight="false" outlineLevel="0" collapsed="false">
      <c r="A1523" s="3" t="n">
        <v>1522</v>
      </c>
      <c r="B1523" s="3" t="s">
        <v>3327</v>
      </c>
      <c r="C1523" s="4" t="s">
        <v>3323</v>
      </c>
      <c r="D1523" s="4" t="s">
        <v>3325</v>
      </c>
      <c r="E1523" s="3" t="s">
        <v>28</v>
      </c>
      <c r="F1523" s="3" t="s">
        <v>359</v>
      </c>
      <c r="G1523" s="3" t="s">
        <v>360</v>
      </c>
      <c r="H1523" s="3" t="s">
        <v>56</v>
      </c>
      <c r="I1523" s="3" t="s">
        <v>32</v>
      </c>
      <c r="J1523" s="3" t="s">
        <v>215</v>
      </c>
      <c r="K1523" s="3" t="s">
        <v>34</v>
      </c>
      <c r="L1523" s="3" t="s">
        <v>35</v>
      </c>
      <c r="M1523" s="3" t="s">
        <v>300</v>
      </c>
      <c r="N1523" s="3" t="s">
        <v>49</v>
      </c>
      <c r="O1523" s="3" t="s">
        <v>143</v>
      </c>
      <c r="P1523" s="3" t="s">
        <v>301</v>
      </c>
      <c r="Q1523" s="5" t="n">
        <v>417.45</v>
      </c>
      <c r="R1523" s="3" t="n">
        <v>6</v>
      </c>
      <c r="S1523" s="6" t="n">
        <v>0.3</v>
      </c>
      <c r="T1523" s="5" t="n">
        <v>-80.9</v>
      </c>
      <c r="U1523" s="3" t="str">
        <f aca="false">IF(T1523&lt;0,"Loss",IF(T1523=0,"Break-even","Profit"))</f>
        <v>Loss</v>
      </c>
      <c r="V1523" s="3" t="str">
        <f aca="false">IF(Q1523&lt;100,"Low",IF(Q1523&lt;=500,"Medium","High"))</f>
        <v>Medium</v>
      </c>
      <c r="W1523" s="3" t="n">
        <f aca="false">D1523-C1523</f>
        <v>4</v>
      </c>
      <c r="X1523" s="3" t="str">
        <f aca="false">TEXT(C1523,"mmmm")</f>
        <v>December</v>
      </c>
      <c r="Y1523" s="3" t="str">
        <f aca="false">LEFT(G1523,1)&amp;MID(G1523,FIND(" ",G1523)+1,1)</f>
        <v>MM</v>
      </c>
    </row>
    <row r="1524" customFormat="false" ht="15" hidden="false" customHeight="false" outlineLevel="0" collapsed="false">
      <c r="A1524" s="3" t="n">
        <v>1523</v>
      </c>
      <c r="B1524" s="3" t="s">
        <v>3328</v>
      </c>
      <c r="C1524" s="4" t="s">
        <v>3323</v>
      </c>
      <c r="D1524" s="4" t="s">
        <v>3329</v>
      </c>
      <c r="E1524" s="3" t="s">
        <v>42</v>
      </c>
      <c r="F1524" s="3" t="s">
        <v>1102</v>
      </c>
      <c r="G1524" s="3" t="s">
        <v>1103</v>
      </c>
      <c r="H1524" s="3" t="s">
        <v>56</v>
      </c>
      <c r="I1524" s="3" t="s">
        <v>32</v>
      </c>
      <c r="J1524" s="3" t="s">
        <v>104</v>
      </c>
      <c r="K1524" s="3" t="s">
        <v>96</v>
      </c>
      <c r="L1524" s="3" t="s">
        <v>59</v>
      </c>
      <c r="M1524" s="3" t="s">
        <v>334</v>
      </c>
      <c r="N1524" s="3" t="s">
        <v>37</v>
      </c>
      <c r="O1524" s="3" t="s">
        <v>136</v>
      </c>
      <c r="P1524" s="3" t="s">
        <v>335</v>
      </c>
      <c r="Q1524" s="5" t="n">
        <v>571.04</v>
      </c>
      <c r="R1524" s="3" t="n">
        <v>1</v>
      </c>
      <c r="S1524" s="6" t="n">
        <v>0.3</v>
      </c>
      <c r="T1524" s="5" t="n">
        <v>-34.86</v>
      </c>
      <c r="U1524" s="3" t="str">
        <f aca="false">IF(T1524&lt;0,"Loss",IF(T1524=0,"Break-even","Profit"))</f>
        <v>Loss</v>
      </c>
      <c r="V1524" s="3" t="str">
        <f aca="false">IF(Q1524&lt;100,"Low",IF(Q1524&lt;=500,"Medium","High"))</f>
        <v>High</v>
      </c>
      <c r="W1524" s="3" t="n">
        <f aca="false">D1524-C1524</f>
        <v>2</v>
      </c>
      <c r="X1524" s="3" t="str">
        <f aca="false">TEXT(C1524,"mmmm")</f>
        <v>December</v>
      </c>
      <c r="Y1524" s="3" t="str">
        <f aca="false">LEFT(G1524,1)&amp;MID(G1524,FIND(" ",G1524)+1,1)</f>
        <v>DS</v>
      </c>
    </row>
    <row r="1525" customFormat="false" ht="15" hidden="false" customHeight="false" outlineLevel="0" collapsed="false">
      <c r="A1525" s="3" t="n">
        <v>1524</v>
      </c>
      <c r="B1525" s="3" t="s">
        <v>3330</v>
      </c>
      <c r="C1525" s="4" t="s">
        <v>3319</v>
      </c>
      <c r="D1525" s="4" t="s">
        <v>3331</v>
      </c>
      <c r="E1525" s="3" t="s">
        <v>42</v>
      </c>
      <c r="F1525" s="3" t="s">
        <v>672</v>
      </c>
      <c r="G1525" s="3" t="s">
        <v>673</v>
      </c>
      <c r="H1525" s="3" t="s">
        <v>31</v>
      </c>
      <c r="I1525" s="3" t="s">
        <v>32</v>
      </c>
      <c r="J1525" s="3" t="s">
        <v>548</v>
      </c>
      <c r="K1525" s="3" t="s">
        <v>244</v>
      </c>
      <c r="L1525" s="3" t="s">
        <v>157</v>
      </c>
      <c r="M1525" s="3" t="s">
        <v>105</v>
      </c>
      <c r="N1525" s="3" t="s">
        <v>49</v>
      </c>
      <c r="O1525" s="3" t="s">
        <v>106</v>
      </c>
      <c r="P1525" s="3" t="s">
        <v>107</v>
      </c>
      <c r="Q1525" s="5" t="n">
        <v>285.61</v>
      </c>
      <c r="R1525" s="3" t="n">
        <v>4</v>
      </c>
      <c r="S1525" s="6" t="n">
        <v>0.1</v>
      </c>
      <c r="T1525" s="5" t="n">
        <v>93.29</v>
      </c>
      <c r="U1525" s="3" t="str">
        <f aca="false">IF(T1525&lt;0,"Loss",IF(T1525=0,"Break-even","Profit"))</f>
        <v>Profit</v>
      </c>
      <c r="V1525" s="3" t="str">
        <f aca="false">IF(Q1525&lt;100,"Low",IF(Q1525&lt;=500,"Medium","High"))</f>
        <v>Medium</v>
      </c>
      <c r="W1525" s="3" t="n">
        <f aca="false">D1525-C1525</f>
        <v>2</v>
      </c>
      <c r="X1525" s="3" t="str">
        <f aca="false">TEXT(C1525,"mmmm")</f>
        <v>December</v>
      </c>
      <c r="Y1525" s="3" t="str">
        <f aca="false">LEFT(G1525,1)&amp;MID(G1525,FIND(" ",G1525)+1,1)</f>
        <v>WD</v>
      </c>
    </row>
    <row r="1526" customFormat="false" ht="15" hidden="false" customHeight="false" outlineLevel="0" collapsed="false">
      <c r="A1526" s="3" t="n">
        <v>1525</v>
      </c>
      <c r="B1526" s="3" t="s">
        <v>3332</v>
      </c>
      <c r="C1526" s="4" t="s">
        <v>3331</v>
      </c>
      <c r="D1526" s="4" t="s">
        <v>3325</v>
      </c>
      <c r="E1526" s="3" t="s">
        <v>42</v>
      </c>
      <c r="F1526" s="3" t="s">
        <v>397</v>
      </c>
      <c r="G1526" s="3" t="s">
        <v>398</v>
      </c>
      <c r="H1526" s="3" t="s">
        <v>45</v>
      </c>
      <c r="I1526" s="3" t="s">
        <v>32</v>
      </c>
      <c r="J1526" s="3" t="s">
        <v>306</v>
      </c>
      <c r="K1526" s="3" t="s">
        <v>307</v>
      </c>
      <c r="L1526" s="3" t="s">
        <v>69</v>
      </c>
      <c r="M1526" s="3" t="s">
        <v>659</v>
      </c>
      <c r="N1526" s="3" t="s">
        <v>89</v>
      </c>
      <c r="O1526" s="3" t="s">
        <v>323</v>
      </c>
      <c r="P1526" s="3" t="s">
        <v>660</v>
      </c>
      <c r="Q1526" s="5" t="n">
        <v>5780.24</v>
      </c>
      <c r="R1526" s="3" t="n">
        <v>14</v>
      </c>
      <c r="S1526" s="6" t="n">
        <v>0.2</v>
      </c>
      <c r="T1526" s="5" t="n">
        <v>-837.19</v>
      </c>
      <c r="U1526" s="3" t="str">
        <f aca="false">IF(T1526&lt;0,"Loss",IF(T1526=0,"Break-even","Profit"))</f>
        <v>Loss</v>
      </c>
      <c r="V1526" s="3" t="str">
        <f aca="false">IF(Q1526&lt;100,"Low",IF(Q1526&lt;=500,"Medium","High"))</f>
        <v>High</v>
      </c>
      <c r="W1526" s="3" t="n">
        <f aca="false">D1526-C1526</f>
        <v>1</v>
      </c>
      <c r="X1526" s="3" t="str">
        <f aca="false">TEXT(C1526,"mmmm")</f>
        <v>December</v>
      </c>
      <c r="Y1526" s="3" t="str">
        <f aca="false">LEFT(G1526,1)&amp;MID(G1526,FIND(" ",G1526)+1,1)</f>
        <v>DN</v>
      </c>
    </row>
    <row r="1527" customFormat="false" ht="15" hidden="false" customHeight="false" outlineLevel="0" collapsed="false">
      <c r="A1527" s="3" t="n">
        <v>1526</v>
      </c>
      <c r="B1527" s="3" t="s">
        <v>2593</v>
      </c>
      <c r="C1527" s="4" t="s">
        <v>3333</v>
      </c>
      <c r="D1527" s="4" t="s">
        <v>3334</v>
      </c>
      <c r="E1527" s="3" t="s">
        <v>28</v>
      </c>
      <c r="F1527" s="3" t="s">
        <v>1624</v>
      </c>
      <c r="G1527" s="3" t="s">
        <v>1625</v>
      </c>
      <c r="H1527" s="3" t="s">
        <v>56</v>
      </c>
      <c r="I1527" s="3" t="s">
        <v>32</v>
      </c>
      <c r="J1527" s="3" t="s">
        <v>476</v>
      </c>
      <c r="K1527" s="3" t="s">
        <v>366</v>
      </c>
      <c r="L1527" s="3" t="s">
        <v>157</v>
      </c>
      <c r="M1527" s="3" t="s">
        <v>79</v>
      </c>
      <c r="N1527" s="3" t="s">
        <v>49</v>
      </c>
      <c r="O1527" s="3" t="s">
        <v>80</v>
      </c>
      <c r="P1527" s="3" t="s">
        <v>81</v>
      </c>
      <c r="Q1527" s="5" t="n">
        <v>724.05</v>
      </c>
      <c r="R1527" s="3" t="n">
        <v>7</v>
      </c>
      <c r="S1527" s="6" t="n">
        <v>0</v>
      </c>
      <c r="T1527" s="5" t="n">
        <v>-175.57</v>
      </c>
      <c r="U1527" s="3" t="str">
        <f aca="false">IF(T1527&lt;0,"Loss",IF(T1527=0,"Break-even","Profit"))</f>
        <v>Loss</v>
      </c>
      <c r="V1527" s="3" t="str">
        <f aca="false">IF(Q1527&lt;100,"Low",IF(Q1527&lt;=500,"Medium","High"))</f>
        <v>High</v>
      </c>
      <c r="W1527" s="3" t="n">
        <f aca="false">D1527-C1527</f>
        <v>6</v>
      </c>
      <c r="X1527" s="3" t="str">
        <f aca="false">TEXT(C1527,"mmmm")</f>
        <v>December</v>
      </c>
      <c r="Y1527" s="3" t="str">
        <f aca="false">LEFT(G1527,1)&amp;MID(G1527,FIND(" ",G1527)+1,1)</f>
        <v>JD</v>
      </c>
    </row>
    <row r="1528" customFormat="false" ht="15" hidden="false" customHeight="false" outlineLevel="0" collapsed="false">
      <c r="A1528" s="3" t="n">
        <v>1527</v>
      </c>
      <c r="B1528" s="3" t="s">
        <v>3335</v>
      </c>
      <c r="C1528" s="4" t="s">
        <v>3333</v>
      </c>
      <c r="D1528" s="4" t="s">
        <v>3336</v>
      </c>
      <c r="E1528" s="3" t="s">
        <v>28</v>
      </c>
      <c r="F1528" s="3" t="s">
        <v>1152</v>
      </c>
      <c r="G1528" s="3" t="s">
        <v>1153</v>
      </c>
      <c r="H1528" s="3" t="s">
        <v>31</v>
      </c>
      <c r="I1528" s="3" t="s">
        <v>32</v>
      </c>
      <c r="J1528" s="3" t="s">
        <v>179</v>
      </c>
      <c r="K1528" s="3" t="s">
        <v>47</v>
      </c>
      <c r="L1528" s="3" t="s">
        <v>35</v>
      </c>
      <c r="M1528" s="3" t="s">
        <v>225</v>
      </c>
      <c r="N1528" s="3" t="s">
        <v>37</v>
      </c>
      <c r="O1528" s="3" t="s">
        <v>196</v>
      </c>
      <c r="P1528" s="3" t="s">
        <v>226</v>
      </c>
      <c r="Q1528" s="5" t="n">
        <v>1615.74</v>
      </c>
      <c r="R1528" s="3" t="n">
        <v>2</v>
      </c>
      <c r="S1528" s="6" t="n">
        <v>0</v>
      </c>
      <c r="T1528" s="5" t="n">
        <v>167.53</v>
      </c>
      <c r="U1528" s="3" t="str">
        <f aca="false">IF(T1528&lt;0,"Loss",IF(T1528=0,"Break-even","Profit"))</f>
        <v>Profit</v>
      </c>
      <c r="V1528" s="3" t="str">
        <f aca="false">IF(Q1528&lt;100,"Low",IF(Q1528&lt;=500,"Medium","High"))</f>
        <v>High</v>
      </c>
      <c r="W1528" s="3" t="n">
        <f aca="false">D1528-C1528</f>
        <v>7</v>
      </c>
      <c r="X1528" s="3" t="str">
        <f aca="false">TEXT(C1528,"mmmm")</f>
        <v>December</v>
      </c>
      <c r="Y1528" s="3" t="str">
        <f aca="false">LEFT(G1528,1)&amp;MID(G1528,FIND(" ",G1528)+1,1)</f>
        <v>MJ</v>
      </c>
    </row>
    <row r="1529" customFormat="false" ht="15" hidden="false" customHeight="false" outlineLevel="0" collapsed="false">
      <c r="A1529" s="3" t="n">
        <v>1528</v>
      </c>
      <c r="B1529" s="3" t="s">
        <v>3337</v>
      </c>
      <c r="C1529" s="4" t="s">
        <v>3338</v>
      </c>
      <c r="D1529" s="4" t="s">
        <v>3334</v>
      </c>
      <c r="E1529" s="3" t="s">
        <v>28</v>
      </c>
      <c r="F1529" s="3" t="s">
        <v>250</v>
      </c>
      <c r="G1529" s="3" t="s">
        <v>251</v>
      </c>
      <c r="H1529" s="3" t="s">
        <v>56</v>
      </c>
      <c r="I1529" s="3" t="s">
        <v>32</v>
      </c>
      <c r="J1529" s="3" t="s">
        <v>148</v>
      </c>
      <c r="K1529" s="3" t="s">
        <v>78</v>
      </c>
      <c r="L1529" s="3" t="s">
        <v>59</v>
      </c>
      <c r="M1529" s="3" t="s">
        <v>70</v>
      </c>
      <c r="N1529" s="3" t="s">
        <v>37</v>
      </c>
      <c r="O1529" s="3" t="s">
        <v>71</v>
      </c>
      <c r="P1529" s="3" t="s">
        <v>72</v>
      </c>
      <c r="Q1529" s="5" t="n">
        <v>14080.13</v>
      </c>
      <c r="R1529" s="3" t="n">
        <v>10</v>
      </c>
      <c r="S1529" s="6" t="n">
        <v>0</v>
      </c>
      <c r="T1529" s="5" t="n">
        <v>4856.5</v>
      </c>
      <c r="U1529" s="3" t="str">
        <f aca="false">IF(T1529&lt;0,"Loss",IF(T1529=0,"Break-even","Profit"))</f>
        <v>Profit</v>
      </c>
      <c r="V1529" s="3" t="str">
        <f aca="false">IF(Q1529&lt;100,"Low",IF(Q1529&lt;=500,"Medium","High"))</f>
        <v>High</v>
      </c>
      <c r="W1529" s="3" t="n">
        <f aca="false">D1529-C1529</f>
        <v>5</v>
      </c>
      <c r="X1529" s="3" t="str">
        <f aca="false">TEXT(C1529,"mmmm")</f>
        <v>December</v>
      </c>
      <c r="Y1529" s="3" t="str">
        <f aca="false">LEFT(G1529,1)&amp;MID(G1529,FIND(" ",G1529)+1,1)</f>
        <v>JK</v>
      </c>
    </row>
    <row r="1530" customFormat="false" ht="15" hidden="false" customHeight="false" outlineLevel="0" collapsed="false">
      <c r="A1530" s="3" t="n">
        <v>1529</v>
      </c>
      <c r="B1530" s="3" t="s">
        <v>3339</v>
      </c>
      <c r="C1530" s="4" t="s">
        <v>3340</v>
      </c>
      <c r="D1530" s="4" t="s">
        <v>3341</v>
      </c>
      <c r="E1530" s="3" t="s">
        <v>28</v>
      </c>
      <c r="F1530" s="3" t="s">
        <v>1325</v>
      </c>
      <c r="G1530" s="3" t="s">
        <v>1326</v>
      </c>
      <c r="H1530" s="3" t="s">
        <v>56</v>
      </c>
      <c r="I1530" s="3" t="s">
        <v>32</v>
      </c>
      <c r="J1530" s="3" t="s">
        <v>663</v>
      </c>
      <c r="K1530" s="3" t="s">
        <v>307</v>
      </c>
      <c r="L1530" s="3" t="s">
        <v>69</v>
      </c>
      <c r="M1530" s="3" t="s">
        <v>88</v>
      </c>
      <c r="N1530" s="3" t="s">
        <v>89</v>
      </c>
      <c r="O1530" s="3" t="s">
        <v>90</v>
      </c>
      <c r="P1530" s="3" t="s">
        <v>91</v>
      </c>
      <c r="Q1530" s="5" t="n">
        <v>773.91</v>
      </c>
      <c r="R1530" s="3" t="n">
        <v>7</v>
      </c>
      <c r="S1530" s="6" t="n">
        <v>0.3</v>
      </c>
      <c r="T1530" s="5" t="n">
        <v>-6.79</v>
      </c>
      <c r="U1530" s="3" t="str">
        <f aca="false">IF(T1530&lt;0,"Loss",IF(T1530=0,"Break-even","Profit"))</f>
        <v>Loss</v>
      </c>
      <c r="V1530" s="3" t="str">
        <f aca="false">IF(Q1530&lt;100,"Low",IF(Q1530&lt;=500,"Medium","High"))</f>
        <v>High</v>
      </c>
      <c r="W1530" s="3" t="n">
        <f aca="false">D1530-C1530</f>
        <v>3</v>
      </c>
      <c r="X1530" s="3" t="str">
        <f aca="false">TEXT(C1530,"mmmm")</f>
        <v>December</v>
      </c>
      <c r="Y1530" s="3" t="str">
        <f aca="false">LEFT(G1530,1)&amp;MID(G1530,FIND(" ",G1530)+1,1)</f>
        <v>MT</v>
      </c>
    </row>
    <row r="1531" customFormat="false" ht="15" hidden="false" customHeight="false" outlineLevel="0" collapsed="false">
      <c r="A1531" s="3" t="n">
        <v>1530</v>
      </c>
      <c r="B1531" s="3" t="s">
        <v>3342</v>
      </c>
      <c r="C1531" s="4" t="s">
        <v>3340</v>
      </c>
      <c r="D1531" s="4" t="s">
        <v>3341</v>
      </c>
      <c r="E1531" s="3" t="s">
        <v>28</v>
      </c>
      <c r="F1531" s="3" t="s">
        <v>1314</v>
      </c>
      <c r="G1531" s="3" t="s">
        <v>1315</v>
      </c>
      <c r="H1531" s="3" t="s">
        <v>31</v>
      </c>
      <c r="I1531" s="3" t="s">
        <v>32</v>
      </c>
      <c r="J1531" s="3" t="s">
        <v>46</v>
      </c>
      <c r="K1531" s="3" t="s">
        <v>47</v>
      </c>
      <c r="L1531" s="3" t="s">
        <v>35</v>
      </c>
      <c r="M1531" s="3" t="s">
        <v>48</v>
      </c>
      <c r="N1531" s="3" t="s">
        <v>49</v>
      </c>
      <c r="O1531" s="3" t="s">
        <v>50</v>
      </c>
      <c r="P1531" s="3" t="s">
        <v>51</v>
      </c>
      <c r="Q1531" s="5" t="n">
        <v>133.94</v>
      </c>
      <c r="R1531" s="3" t="n">
        <v>2</v>
      </c>
      <c r="S1531" s="6" t="n">
        <v>0.1</v>
      </c>
      <c r="T1531" s="5" t="n">
        <v>43.43</v>
      </c>
      <c r="U1531" s="3" t="str">
        <f aca="false">IF(T1531&lt;0,"Loss",IF(T1531=0,"Break-even","Profit"))</f>
        <v>Profit</v>
      </c>
      <c r="V1531" s="3" t="str">
        <f aca="false">IF(Q1531&lt;100,"Low",IF(Q1531&lt;=500,"Medium","High"))</f>
        <v>Medium</v>
      </c>
      <c r="W1531" s="3" t="n">
        <f aca="false">D1531-C1531</f>
        <v>3</v>
      </c>
      <c r="X1531" s="3" t="str">
        <f aca="false">TEXT(C1531,"mmmm")</f>
        <v>December</v>
      </c>
      <c r="Y1531" s="3" t="str">
        <f aca="false">LEFT(G1531,1)&amp;MID(G1531,FIND(" ",G1531)+1,1)</f>
        <v>MR</v>
      </c>
    </row>
    <row r="1532" customFormat="false" ht="15" hidden="false" customHeight="false" outlineLevel="0" collapsed="false">
      <c r="A1532" s="3" t="n">
        <v>1531</v>
      </c>
      <c r="B1532" s="3" t="s">
        <v>3343</v>
      </c>
      <c r="C1532" s="4" t="s">
        <v>3340</v>
      </c>
      <c r="D1532" s="4" t="s">
        <v>3341</v>
      </c>
      <c r="E1532" s="3" t="s">
        <v>28</v>
      </c>
      <c r="F1532" s="3" t="s">
        <v>1318</v>
      </c>
      <c r="G1532" s="3" t="s">
        <v>1319</v>
      </c>
      <c r="H1532" s="3" t="s">
        <v>56</v>
      </c>
      <c r="I1532" s="3" t="s">
        <v>32</v>
      </c>
      <c r="J1532" s="3" t="s">
        <v>120</v>
      </c>
      <c r="K1532" s="3" t="s">
        <v>113</v>
      </c>
      <c r="L1532" s="3" t="s">
        <v>69</v>
      </c>
      <c r="M1532" s="3" t="s">
        <v>142</v>
      </c>
      <c r="N1532" s="3" t="s">
        <v>49</v>
      </c>
      <c r="O1532" s="3" t="s">
        <v>143</v>
      </c>
      <c r="P1532" s="3" t="s">
        <v>144</v>
      </c>
      <c r="Q1532" s="5" t="n">
        <v>199.94</v>
      </c>
      <c r="R1532" s="3" t="n">
        <v>4</v>
      </c>
      <c r="S1532" s="6" t="n">
        <v>0</v>
      </c>
      <c r="T1532" s="5" t="n">
        <v>-39.92</v>
      </c>
      <c r="U1532" s="3" t="str">
        <f aca="false">IF(T1532&lt;0,"Loss",IF(T1532=0,"Break-even","Profit"))</f>
        <v>Loss</v>
      </c>
      <c r="V1532" s="3" t="str">
        <f aca="false">IF(Q1532&lt;100,"Low",IF(Q1532&lt;=500,"Medium","High"))</f>
        <v>Medium</v>
      </c>
      <c r="W1532" s="3" t="n">
        <f aca="false">D1532-C1532</f>
        <v>3</v>
      </c>
      <c r="X1532" s="3" t="str">
        <f aca="false">TEXT(C1532,"mmmm")</f>
        <v>December</v>
      </c>
      <c r="Y1532" s="3" t="str">
        <f aca="false">LEFT(G1532,1)&amp;MID(G1532,FIND(" ",G1532)+1,1)</f>
        <v>WK</v>
      </c>
    </row>
    <row r="1533" customFormat="false" ht="15" hidden="false" customHeight="false" outlineLevel="0" collapsed="false">
      <c r="A1533" s="3" t="n">
        <v>1532</v>
      </c>
      <c r="B1533" s="3" t="s">
        <v>3344</v>
      </c>
      <c r="C1533" s="4" t="s">
        <v>3345</v>
      </c>
      <c r="D1533" s="4" t="s">
        <v>3341</v>
      </c>
      <c r="E1533" s="3" t="s">
        <v>42</v>
      </c>
      <c r="F1533" s="3" t="s">
        <v>1239</v>
      </c>
      <c r="G1533" s="3" t="s">
        <v>1240</v>
      </c>
      <c r="H1533" s="3" t="s">
        <v>56</v>
      </c>
      <c r="I1533" s="3" t="s">
        <v>32</v>
      </c>
      <c r="J1533" s="3" t="s">
        <v>679</v>
      </c>
      <c r="K1533" s="3" t="s">
        <v>202</v>
      </c>
      <c r="L1533" s="3" t="s">
        <v>35</v>
      </c>
      <c r="M1533" s="3" t="s">
        <v>195</v>
      </c>
      <c r="N1533" s="3" t="s">
        <v>37</v>
      </c>
      <c r="O1533" s="3" t="s">
        <v>196</v>
      </c>
      <c r="P1533" s="3" t="s">
        <v>197</v>
      </c>
      <c r="Q1533" s="5" t="n">
        <v>929.71</v>
      </c>
      <c r="R1533" s="3" t="n">
        <v>4</v>
      </c>
      <c r="S1533" s="6" t="n">
        <v>0.2</v>
      </c>
      <c r="T1533" s="5" t="n">
        <v>169.92</v>
      </c>
      <c r="U1533" s="3" t="str">
        <f aca="false">IF(T1533&lt;0,"Loss",IF(T1533=0,"Break-even","Profit"))</f>
        <v>Profit</v>
      </c>
      <c r="V1533" s="3" t="str">
        <f aca="false">IF(Q1533&lt;100,"Low",IF(Q1533&lt;=500,"Medium","High"))</f>
        <v>High</v>
      </c>
      <c r="W1533" s="3" t="n">
        <f aca="false">D1533-C1533</f>
        <v>2</v>
      </c>
      <c r="X1533" s="3" t="str">
        <f aca="false">TEXT(C1533,"mmmm")</f>
        <v>December</v>
      </c>
      <c r="Y1533" s="3" t="str">
        <f aca="false">LEFT(G1533,1)&amp;MID(G1533,FIND(" ",G1533)+1,1)</f>
        <v>JK</v>
      </c>
    </row>
    <row r="1534" customFormat="false" ht="15" hidden="false" customHeight="false" outlineLevel="0" collapsed="false">
      <c r="A1534" s="3" t="n">
        <v>1533</v>
      </c>
      <c r="B1534" s="3" t="s">
        <v>2771</v>
      </c>
      <c r="C1534" s="4" t="s">
        <v>3346</v>
      </c>
      <c r="D1534" s="4" t="s">
        <v>3336</v>
      </c>
      <c r="E1534" s="3" t="s">
        <v>28</v>
      </c>
      <c r="F1534" s="3" t="s">
        <v>118</v>
      </c>
      <c r="G1534" s="3" t="s">
        <v>119</v>
      </c>
      <c r="H1534" s="3" t="s">
        <v>31</v>
      </c>
      <c r="I1534" s="3" t="s">
        <v>32</v>
      </c>
      <c r="J1534" s="3" t="s">
        <v>679</v>
      </c>
      <c r="K1534" s="3" t="s">
        <v>202</v>
      </c>
      <c r="L1534" s="3" t="s">
        <v>35</v>
      </c>
      <c r="M1534" s="3" t="s">
        <v>322</v>
      </c>
      <c r="N1534" s="3" t="s">
        <v>89</v>
      </c>
      <c r="O1534" s="3" t="s">
        <v>323</v>
      </c>
      <c r="P1534" s="3" t="s">
        <v>324</v>
      </c>
      <c r="Q1534" s="5" t="n">
        <v>6448.9</v>
      </c>
      <c r="R1534" s="3" t="n">
        <v>11</v>
      </c>
      <c r="S1534" s="6" t="n">
        <v>0.5</v>
      </c>
      <c r="T1534" s="5" t="n">
        <v>1121.33</v>
      </c>
      <c r="U1534" s="3" t="str">
        <f aca="false">IF(T1534&lt;0,"Loss",IF(T1534=0,"Break-even","Profit"))</f>
        <v>Profit</v>
      </c>
      <c r="V1534" s="3" t="str">
        <f aca="false">IF(Q1534&lt;100,"Low",IF(Q1534&lt;=500,"Medium","High"))</f>
        <v>High</v>
      </c>
      <c r="W1534" s="3" t="n">
        <f aca="false">D1534-C1534</f>
        <v>3</v>
      </c>
      <c r="X1534" s="3" t="str">
        <f aca="false">TEXT(C1534,"mmmm")</f>
        <v>December</v>
      </c>
      <c r="Y1534" s="3" t="str">
        <f aca="false">LEFT(G1534,1)&amp;MID(G1534,FIND(" ",G1534)+1,1)</f>
        <v>LN</v>
      </c>
    </row>
    <row r="1535" customFormat="false" ht="15" hidden="false" customHeight="false" outlineLevel="0" collapsed="false">
      <c r="A1535" s="3" t="n">
        <v>1534</v>
      </c>
      <c r="B1535" s="3" t="s">
        <v>3347</v>
      </c>
      <c r="C1535" s="4" t="s">
        <v>3334</v>
      </c>
      <c r="D1535" s="4" t="s">
        <v>3348</v>
      </c>
      <c r="E1535" s="3" t="s">
        <v>28</v>
      </c>
      <c r="F1535" s="3" t="s">
        <v>1060</v>
      </c>
      <c r="G1535" s="3" t="s">
        <v>1061</v>
      </c>
      <c r="H1535" s="3" t="s">
        <v>45</v>
      </c>
      <c r="I1535" s="3" t="s">
        <v>32</v>
      </c>
      <c r="J1535" s="3" t="s">
        <v>243</v>
      </c>
      <c r="K1535" s="3" t="s">
        <v>244</v>
      </c>
      <c r="L1535" s="3" t="s">
        <v>157</v>
      </c>
      <c r="M1535" s="3" t="s">
        <v>195</v>
      </c>
      <c r="N1535" s="3" t="s">
        <v>37</v>
      </c>
      <c r="O1535" s="3" t="s">
        <v>196</v>
      </c>
      <c r="P1535" s="3" t="s">
        <v>197</v>
      </c>
      <c r="Q1535" s="5" t="n">
        <v>404.72</v>
      </c>
      <c r="R1535" s="3" t="n">
        <v>2</v>
      </c>
      <c r="S1535" s="6" t="n">
        <v>0.1</v>
      </c>
      <c r="T1535" s="5" t="n">
        <v>-96.77</v>
      </c>
      <c r="U1535" s="3" t="str">
        <f aca="false">IF(T1535&lt;0,"Loss",IF(T1535=0,"Break-even","Profit"))</f>
        <v>Loss</v>
      </c>
      <c r="V1535" s="3" t="str">
        <f aca="false">IF(Q1535&lt;100,"Low",IF(Q1535&lt;=500,"Medium","High"))</f>
        <v>Medium</v>
      </c>
      <c r="W1535" s="3" t="n">
        <f aca="false">D1535-C1535</f>
        <v>6</v>
      </c>
      <c r="X1535" s="3" t="str">
        <f aca="false">TEXT(C1535,"mmmm")</f>
        <v>December</v>
      </c>
      <c r="Y1535" s="3" t="str">
        <f aca="false">LEFT(G1535,1)&amp;MID(G1535,FIND(" ",G1535)+1,1)</f>
        <v>RM</v>
      </c>
    </row>
    <row r="1536" customFormat="false" ht="15" hidden="false" customHeight="false" outlineLevel="0" collapsed="false">
      <c r="A1536" s="3" t="n">
        <v>1535</v>
      </c>
      <c r="B1536" s="3" t="s">
        <v>3349</v>
      </c>
      <c r="C1536" s="4" t="s">
        <v>3334</v>
      </c>
      <c r="D1536" s="4" t="s">
        <v>3350</v>
      </c>
      <c r="E1536" s="3" t="s">
        <v>28</v>
      </c>
      <c r="F1536" s="3" t="s">
        <v>430</v>
      </c>
      <c r="G1536" s="3" t="s">
        <v>431</v>
      </c>
      <c r="H1536" s="3" t="s">
        <v>31</v>
      </c>
      <c r="I1536" s="3" t="s">
        <v>32</v>
      </c>
      <c r="J1536" s="3" t="s">
        <v>873</v>
      </c>
      <c r="K1536" s="3" t="s">
        <v>387</v>
      </c>
      <c r="L1536" s="3" t="s">
        <v>35</v>
      </c>
      <c r="M1536" s="3" t="s">
        <v>290</v>
      </c>
      <c r="N1536" s="3" t="s">
        <v>37</v>
      </c>
      <c r="O1536" s="3" t="s">
        <v>38</v>
      </c>
      <c r="P1536" s="3" t="s">
        <v>291</v>
      </c>
      <c r="Q1536" s="5" t="n">
        <v>1350.8</v>
      </c>
      <c r="R1536" s="3" t="n">
        <v>1</v>
      </c>
      <c r="S1536" s="6" t="n">
        <v>0.2</v>
      </c>
      <c r="T1536" s="5" t="n">
        <v>310.52</v>
      </c>
      <c r="U1536" s="3" t="str">
        <f aca="false">IF(T1536&lt;0,"Loss",IF(T1536=0,"Break-even","Profit"))</f>
        <v>Profit</v>
      </c>
      <c r="V1536" s="3" t="str">
        <f aca="false">IF(Q1536&lt;100,"Low",IF(Q1536&lt;=500,"Medium","High"))</f>
        <v>High</v>
      </c>
      <c r="W1536" s="3" t="n">
        <f aca="false">D1536-C1536</f>
        <v>3</v>
      </c>
      <c r="X1536" s="3" t="str">
        <f aca="false">TEXT(C1536,"mmmm")</f>
        <v>December</v>
      </c>
      <c r="Y1536" s="3" t="str">
        <f aca="false">LEFT(G1536,1)&amp;MID(G1536,FIND(" ",G1536)+1,1)</f>
        <v>SM</v>
      </c>
    </row>
    <row r="1537" customFormat="false" ht="15" hidden="false" customHeight="false" outlineLevel="0" collapsed="false">
      <c r="A1537" s="3" t="n">
        <v>1536</v>
      </c>
      <c r="B1537" s="3" t="s">
        <v>3351</v>
      </c>
      <c r="C1537" s="4" t="s">
        <v>3336</v>
      </c>
      <c r="D1537" s="4" t="s">
        <v>3352</v>
      </c>
      <c r="E1537" s="3" t="s">
        <v>42</v>
      </c>
      <c r="F1537" s="3" t="s">
        <v>29</v>
      </c>
      <c r="G1537" s="3" t="s">
        <v>30</v>
      </c>
      <c r="H1537" s="3" t="s">
        <v>56</v>
      </c>
      <c r="I1537" s="3" t="s">
        <v>32</v>
      </c>
      <c r="J1537" s="3" t="s">
        <v>133</v>
      </c>
      <c r="K1537" s="3" t="s">
        <v>134</v>
      </c>
      <c r="L1537" s="3" t="s">
        <v>69</v>
      </c>
      <c r="M1537" s="3" t="s">
        <v>165</v>
      </c>
      <c r="N1537" s="3" t="s">
        <v>89</v>
      </c>
      <c r="O1537" s="3" t="s">
        <v>166</v>
      </c>
      <c r="P1537" s="3" t="s">
        <v>167</v>
      </c>
      <c r="Q1537" s="5" t="n">
        <v>379.76</v>
      </c>
      <c r="R1537" s="3" t="n">
        <v>1</v>
      </c>
      <c r="S1537" s="6" t="n">
        <v>0</v>
      </c>
      <c r="T1537" s="5" t="n">
        <v>21.61</v>
      </c>
      <c r="U1537" s="3" t="str">
        <f aca="false">IF(T1537&lt;0,"Loss",IF(T1537=0,"Break-even","Profit"))</f>
        <v>Profit</v>
      </c>
      <c r="V1537" s="3" t="str">
        <f aca="false">IF(Q1537&lt;100,"Low",IF(Q1537&lt;=500,"Medium","High"))</f>
        <v>Medium</v>
      </c>
      <c r="W1537" s="3" t="n">
        <f aca="false">D1537-C1537</f>
        <v>1</v>
      </c>
      <c r="X1537" s="3" t="str">
        <f aca="false">TEXT(C1537,"mmmm")</f>
        <v>December</v>
      </c>
      <c r="Y1537" s="3" t="str">
        <f aca="false">LEFT(G1537,1)&amp;MID(G1537,FIND(" ",G1537)+1,1)</f>
        <v>MK</v>
      </c>
    </row>
    <row r="1538" customFormat="false" ht="15" hidden="false" customHeight="false" outlineLevel="0" collapsed="false">
      <c r="A1538" s="3" t="n">
        <v>1537</v>
      </c>
      <c r="B1538" s="3" t="s">
        <v>3353</v>
      </c>
      <c r="C1538" s="4" t="s">
        <v>3336</v>
      </c>
      <c r="D1538" s="4" t="s">
        <v>3354</v>
      </c>
      <c r="E1538" s="3" t="s">
        <v>28</v>
      </c>
      <c r="F1538" s="3" t="s">
        <v>1378</v>
      </c>
      <c r="G1538" s="3" t="s">
        <v>1379</v>
      </c>
      <c r="H1538" s="3" t="s">
        <v>45</v>
      </c>
      <c r="I1538" s="3" t="s">
        <v>32</v>
      </c>
      <c r="J1538" s="3" t="s">
        <v>329</v>
      </c>
      <c r="K1538" s="3" t="s">
        <v>156</v>
      </c>
      <c r="L1538" s="3" t="s">
        <v>157</v>
      </c>
      <c r="M1538" s="3" t="s">
        <v>88</v>
      </c>
      <c r="N1538" s="3" t="s">
        <v>89</v>
      </c>
      <c r="O1538" s="3" t="s">
        <v>90</v>
      </c>
      <c r="P1538" s="3" t="s">
        <v>91</v>
      </c>
      <c r="Q1538" s="5" t="n">
        <v>1063.89</v>
      </c>
      <c r="R1538" s="3" t="n">
        <v>14</v>
      </c>
      <c r="S1538" s="6" t="n">
        <v>0.2</v>
      </c>
      <c r="T1538" s="5" t="n">
        <v>204.24</v>
      </c>
      <c r="U1538" s="3" t="str">
        <f aca="false">IF(T1538&lt;0,"Loss",IF(T1538=0,"Break-even","Profit"))</f>
        <v>Profit</v>
      </c>
      <c r="V1538" s="3" t="str">
        <f aca="false">IF(Q1538&lt;100,"Low",IF(Q1538&lt;=500,"Medium","High"))</f>
        <v>High</v>
      </c>
      <c r="W1538" s="3" t="n">
        <f aca="false">D1538-C1538</f>
        <v>4</v>
      </c>
      <c r="X1538" s="3" t="str">
        <f aca="false">TEXT(C1538,"mmmm")</f>
        <v>December</v>
      </c>
      <c r="Y1538" s="3" t="str">
        <f aca="false">LEFT(G1538,1)&amp;MID(G1538,FIND(" ",G1538)+1,1)</f>
        <v>JB</v>
      </c>
    </row>
    <row r="1539" customFormat="false" ht="15" hidden="false" customHeight="false" outlineLevel="0" collapsed="false">
      <c r="A1539" s="3" t="n">
        <v>1538</v>
      </c>
      <c r="B1539" s="3" t="s">
        <v>3355</v>
      </c>
      <c r="C1539" s="4" t="s">
        <v>3350</v>
      </c>
      <c r="D1539" s="4" t="s">
        <v>3348</v>
      </c>
      <c r="E1539" s="3" t="s">
        <v>28</v>
      </c>
      <c r="F1539" s="3" t="s">
        <v>2337</v>
      </c>
      <c r="G1539" s="3" t="s">
        <v>2338</v>
      </c>
      <c r="H1539" s="3" t="s">
        <v>45</v>
      </c>
      <c r="I1539" s="3" t="s">
        <v>32</v>
      </c>
      <c r="J1539" s="3" t="s">
        <v>112</v>
      </c>
      <c r="K1539" s="3" t="s">
        <v>113</v>
      </c>
      <c r="L1539" s="3" t="s">
        <v>69</v>
      </c>
      <c r="M1539" s="3" t="s">
        <v>149</v>
      </c>
      <c r="N1539" s="3" t="s">
        <v>49</v>
      </c>
      <c r="O1539" s="3" t="s">
        <v>150</v>
      </c>
      <c r="P1539" s="3" t="s">
        <v>151</v>
      </c>
      <c r="Q1539" s="5" t="n">
        <v>314.97</v>
      </c>
      <c r="R1539" s="3" t="n">
        <v>14</v>
      </c>
      <c r="S1539" s="6" t="n">
        <v>0</v>
      </c>
      <c r="T1539" s="5" t="n">
        <v>60.75</v>
      </c>
      <c r="U1539" s="3" t="str">
        <f aca="false">IF(T1539&lt;0,"Loss",IF(T1539=0,"Break-even","Profit"))</f>
        <v>Profit</v>
      </c>
      <c r="V1539" s="3" t="str">
        <f aca="false">IF(Q1539&lt;100,"Low",IF(Q1539&lt;=500,"Medium","High"))</f>
        <v>Medium</v>
      </c>
      <c r="W1539" s="3" t="n">
        <f aca="false">D1539-C1539</f>
        <v>3</v>
      </c>
      <c r="X1539" s="3" t="str">
        <f aca="false">TEXT(C1539,"mmmm")</f>
        <v>December</v>
      </c>
      <c r="Y1539" s="3" t="str">
        <f aca="false">LEFT(G1539,1)&amp;MID(G1539,FIND(" ",G1539)+1,1)</f>
        <v>WN</v>
      </c>
    </row>
    <row r="1540" customFormat="false" ht="15" hidden="false" customHeight="false" outlineLevel="0" collapsed="false">
      <c r="A1540" s="3" t="n">
        <v>1539</v>
      </c>
      <c r="B1540" s="3" t="s">
        <v>2873</v>
      </c>
      <c r="C1540" s="4" t="s">
        <v>3356</v>
      </c>
      <c r="D1540" s="4" t="s">
        <v>3348</v>
      </c>
      <c r="E1540" s="3" t="s">
        <v>42</v>
      </c>
      <c r="F1540" s="3" t="s">
        <v>1788</v>
      </c>
      <c r="G1540" s="3" t="s">
        <v>1789</v>
      </c>
      <c r="H1540" s="3" t="s">
        <v>56</v>
      </c>
      <c r="I1540" s="3" t="s">
        <v>32</v>
      </c>
      <c r="J1540" s="3" t="s">
        <v>208</v>
      </c>
      <c r="K1540" s="3" t="s">
        <v>134</v>
      </c>
      <c r="L1540" s="3" t="s">
        <v>69</v>
      </c>
      <c r="M1540" s="3" t="s">
        <v>334</v>
      </c>
      <c r="N1540" s="3" t="s">
        <v>37</v>
      </c>
      <c r="O1540" s="3" t="s">
        <v>136</v>
      </c>
      <c r="P1540" s="3" t="s">
        <v>335</v>
      </c>
      <c r="Q1540" s="5" t="n">
        <v>856.58</v>
      </c>
      <c r="R1540" s="3" t="n">
        <v>3</v>
      </c>
      <c r="S1540" s="6" t="n">
        <v>0.4</v>
      </c>
      <c r="T1540" s="5" t="n">
        <v>83.16</v>
      </c>
      <c r="U1540" s="3" t="str">
        <f aca="false">IF(T1540&lt;0,"Loss",IF(T1540=0,"Break-even","Profit"))</f>
        <v>Profit</v>
      </c>
      <c r="V1540" s="3" t="str">
        <f aca="false">IF(Q1540&lt;100,"Low",IF(Q1540&lt;=500,"Medium","High"))</f>
        <v>High</v>
      </c>
      <c r="W1540" s="3" t="n">
        <f aca="false">D1540-C1540</f>
        <v>2</v>
      </c>
      <c r="X1540" s="3" t="str">
        <f aca="false">TEXT(C1540,"mmmm")</f>
        <v>December</v>
      </c>
      <c r="Y1540" s="3" t="str">
        <f aca="false">LEFT(G1540,1)&amp;MID(G1540,FIND(" ",G1540)+1,1)</f>
        <v>EJ</v>
      </c>
    </row>
    <row r="1541" customFormat="false" ht="15" hidden="false" customHeight="false" outlineLevel="0" collapsed="false">
      <c r="A1541" s="3" t="n">
        <v>1540</v>
      </c>
      <c r="B1541" s="3" t="s">
        <v>3357</v>
      </c>
      <c r="C1541" s="4" t="s">
        <v>3354</v>
      </c>
      <c r="D1541" s="4" t="s">
        <v>3358</v>
      </c>
      <c r="E1541" s="3" t="s">
        <v>28</v>
      </c>
      <c r="F1541" s="3" t="s">
        <v>2678</v>
      </c>
      <c r="G1541" s="3" t="s">
        <v>2679</v>
      </c>
      <c r="H1541" s="3" t="s">
        <v>45</v>
      </c>
      <c r="I1541" s="3" t="s">
        <v>32</v>
      </c>
      <c r="J1541" s="3" t="s">
        <v>104</v>
      </c>
      <c r="K1541" s="3" t="s">
        <v>96</v>
      </c>
      <c r="L1541" s="3" t="s">
        <v>59</v>
      </c>
      <c r="M1541" s="3" t="s">
        <v>683</v>
      </c>
      <c r="N1541" s="3" t="s">
        <v>37</v>
      </c>
      <c r="O1541" s="3" t="s">
        <v>136</v>
      </c>
      <c r="P1541" s="3" t="s">
        <v>684</v>
      </c>
      <c r="Q1541" s="5" t="n">
        <v>1413.1</v>
      </c>
      <c r="R1541" s="3" t="n">
        <v>2</v>
      </c>
      <c r="S1541" s="6" t="n">
        <v>0</v>
      </c>
      <c r="T1541" s="5" t="n">
        <v>-327.1</v>
      </c>
      <c r="U1541" s="3" t="str">
        <f aca="false">IF(T1541&lt;0,"Loss",IF(T1541=0,"Break-even","Profit"))</f>
        <v>Loss</v>
      </c>
      <c r="V1541" s="3" t="str">
        <f aca="false">IF(Q1541&lt;100,"Low",IF(Q1541&lt;=500,"Medium","High"))</f>
        <v>High</v>
      </c>
      <c r="W1541" s="3" t="n">
        <f aca="false">D1541-C1541</f>
        <v>7</v>
      </c>
      <c r="X1541" s="3" t="str">
        <f aca="false">TEXT(C1541,"mmmm")</f>
        <v>December</v>
      </c>
      <c r="Y1541" s="3" t="str">
        <f aca="false">LEFT(G1541,1)&amp;MID(G1541,FIND(" ",G1541)+1,1)</f>
        <v>EM</v>
      </c>
    </row>
    <row r="1542" customFormat="false" ht="15" hidden="false" customHeight="false" outlineLevel="0" collapsed="false">
      <c r="A1542" s="3" t="n">
        <v>1541</v>
      </c>
      <c r="B1542" s="3" t="s">
        <v>3359</v>
      </c>
      <c r="C1542" s="4" t="s">
        <v>3354</v>
      </c>
      <c r="D1542" s="4" t="s">
        <v>3354</v>
      </c>
      <c r="E1542" s="3" t="s">
        <v>53</v>
      </c>
      <c r="F1542" s="3" t="s">
        <v>844</v>
      </c>
      <c r="G1542" s="3" t="s">
        <v>845</v>
      </c>
      <c r="H1542" s="3" t="s">
        <v>56</v>
      </c>
      <c r="I1542" s="3" t="s">
        <v>32</v>
      </c>
      <c r="J1542" s="3" t="s">
        <v>476</v>
      </c>
      <c r="K1542" s="3" t="s">
        <v>366</v>
      </c>
      <c r="L1542" s="3" t="s">
        <v>157</v>
      </c>
      <c r="M1542" s="3" t="s">
        <v>121</v>
      </c>
      <c r="N1542" s="3" t="s">
        <v>49</v>
      </c>
      <c r="O1542" s="3" t="s">
        <v>50</v>
      </c>
      <c r="P1542" s="3" t="s">
        <v>122</v>
      </c>
      <c r="Q1542" s="5" t="n">
        <v>179.81</v>
      </c>
      <c r="R1542" s="3" t="n">
        <v>6</v>
      </c>
      <c r="S1542" s="6" t="n">
        <v>0.3</v>
      </c>
      <c r="T1542" s="5" t="n">
        <v>-22.22</v>
      </c>
      <c r="U1542" s="3" t="str">
        <f aca="false">IF(T1542&lt;0,"Loss",IF(T1542=0,"Break-even","Profit"))</f>
        <v>Loss</v>
      </c>
      <c r="V1542" s="3" t="str">
        <f aca="false">IF(Q1542&lt;100,"Low",IF(Q1542&lt;=500,"Medium","High"))</f>
        <v>Medium</v>
      </c>
      <c r="W1542" s="3" t="n">
        <f aca="false">D1542-C1542</f>
        <v>0</v>
      </c>
      <c r="X1542" s="3" t="str">
        <f aca="false">TEXT(C1542,"mmmm")</f>
        <v>December</v>
      </c>
      <c r="Y1542" s="3" t="str">
        <f aca="false">LEFT(G1542,1)&amp;MID(G1542,FIND(" ",G1542)+1,1)</f>
        <v>AJ</v>
      </c>
    </row>
    <row r="1543" customFormat="false" ht="15" hidden="false" customHeight="false" outlineLevel="0" collapsed="false">
      <c r="A1543" s="3" t="n">
        <v>1542</v>
      </c>
      <c r="B1543" s="3" t="s">
        <v>3173</v>
      </c>
      <c r="C1543" s="4" t="s">
        <v>3348</v>
      </c>
      <c r="D1543" s="4" t="s">
        <v>3360</v>
      </c>
      <c r="E1543" s="3" t="s">
        <v>42</v>
      </c>
      <c r="F1543" s="3" t="s">
        <v>3287</v>
      </c>
      <c r="G1543" s="3" t="s">
        <v>3288</v>
      </c>
      <c r="H1543" s="3" t="s">
        <v>56</v>
      </c>
      <c r="I1543" s="3" t="s">
        <v>32</v>
      </c>
      <c r="J1543" s="3" t="s">
        <v>616</v>
      </c>
      <c r="K1543" s="3" t="s">
        <v>156</v>
      </c>
      <c r="L1543" s="3" t="s">
        <v>157</v>
      </c>
      <c r="M1543" s="3" t="s">
        <v>121</v>
      </c>
      <c r="N1543" s="3" t="s">
        <v>49</v>
      </c>
      <c r="O1543" s="3" t="s">
        <v>50</v>
      </c>
      <c r="P1543" s="3" t="s">
        <v>122</v>
      </c>
      <c r="Q1543" s="5" t="n">
        <v>133.02</v>
      </c>
      <c r="R1543" s="3" t="n">
        <v>14</v>
      </c>
      <c r="S1543" s="6" t="n">
        <v>0.2</v>
      </c>
      <c r="T1543" s="5" t="n">
        <v>35.89</v>
      </c>
      <c r="U1543" s="3" t="str">
        <f aca="false">IF(T1543&lt;0,"Loss",IF(T1543=0,"Break-even","Profit"))</f>
        <v>Profit</v>
      </c>
      <c r="V1543" s="3" t="str">
        <f aca="false">IF(Q1543&lt;100,"Low",IF(Q1543&lt;=500,"Medium","High"))</f>
        <v>Medium</v>
      </c>
      <c r="W1543" s="3" t="n">
        <f aca="false">D1543-C1543</f>
        <v>2</v>
      </c>
      <c r="X1543" s="3" t="str">
        <f aca="false">TEXT(C1543,"mmmm")</f>
        <v>December</v>
      </c>
      <c r="Y1543" s="3" t="str">
        <f aca="false">LEFT(G1543,1)&amp;MID(G1543,FIND(" ",G1543)+1,1)</f>
        <v>JR</v>
      </c>
    </row>
    <row r="1544" customFormat="false" ht="15" hidden="false" customHeight="false" outlineLevel="0" collapsed="false">
      <c r="A1544" s="3" t="n">
        <v>1543</v>
      </c>
      <c r="B1544" s="3" t="s">
        <v>2793</v>
      </c>
      <c r="C1544" s="4" t="s">
        <v>3360</v>
      </c>
      <c r="D1544" s="4" t="s">
        <v>3358</v>
      </c>
      <c r="E1544" s="3" t="s">
        <v>28</v>
      </c>
      <c r="F1544" s="3" t="s">
        <v>217</v>
      </c>
      <c r="G1544" s="3" t="s">
        <v>218</v>
      </c>
      <c r="H1544" s="3" t="s">
        <v>56</v>
      </c>
      <c r="I1544" s="3" t="s">
        <v>32</v>
      </c>
      <c r="J1544" s="3" t="s">
        <v>104</v>
      </c>
      <c r="K1544" s="3" t="s">
        <v>96</v>
      </c>
      <c r="L1544" s="3" t="s">
        <v>59</v>
      </c>
      <c r="M1544" s="3" t="s">
        <v>420</v>
      </c>
      <c r="N1544" s="3" t="s">
        <v>49</v>
      </c>
      <c r="O1544" s="3" t="s">
        <v>80</v>
      </c>
      <c r="P1544" s="3" t="s">
        <v>421</v>
      </c>
      <c r="Q1544" s="5" t="n">
        <v>784.64</v>
      </c>
      <c r="R1544" s="3" t="n">
        <v>9</v>
      </c>
      <c r="S1544" s="6" t="n">
        <v>0.4</v>
      </c>
      <c r="T1544" s="5" t="n">
        <v>-30.94</v>
      </c>
      <c r="U1544" s="3" t="str">
        <f aca="false">IF(T1544&lt;0,"Loss",IF(T1544=0,"Break-even","Profit"))</f>
        <v>Loss</v>
      </c>
      <c r="V1544" s="3" t="str">
        <f aca="false">IF(Q1544&lt;100,"Low",IF(Q1544&lt;=500,"Medium","High"))</f>
        <v>High</v>
      </c>
      <c r="W1544" s="3" t="n">
        <f aca="false">D1544-C1544</f>
        <v>4</v>
      </c>
      <c r="X1544" s="3" t="str">
        <f aca="false">TEXT(C1544,"mmmm")</f>
        <v>December</v>
      </c>
      <c r="Y1544" s="3" t="str">
        <f aca="false">LEFT(G1544,1)&amp;MID(G1544,FIND(" ",G1544)+1,1)</f>
        <v>SM</v>
      </c>
    </row>
    <row r="1545" customFormat="false" ht="15" hidden="false" customHeight="false" outlineLevel="0" collapsed="false">
      <c r="A1545" s="3" t="n">
        <v>1544</v>
      </c>
      <c r="B1545" s="3" t="s">
        <v>2991</v>
      </c>
      <c r="C1545" s="4" t="s">
        <v>3360</v>
      </c>
      <c r="D1545" s="4" t="s">
        <v>3361</v>
      </c>
      <c r="E1545" s="3" t="s">
        <v>28</v>
      </c>
      <c r="F1545" s="3" t="s">
        <v>1121</v>
      </c>
      <c r="G1545" s="3" t="s">
        <v>1122</v>
      </c>
      <c r="H1545" s="3" t="s">
        <v>56</v>
      </c>
      <c r="I1545" s="3" t="s">
        <v>32</v>
      </c>
      <c r="J1545" s="3" t="s">
        <v>329</v>
      </c>
      <c r="K1545" s="3" t="s">
        <v>156</v>
      </c>
      <c r="L1545" s="3" t="s">
        <v>157</v>
      </c>
      <c r="M1545" s="3" t="s">
        <v>158</v>
      </c>
      <c r="N1545" s="3" t="s">
        <v>49</v>
      </c>
      <c r="O1545" s="3" t="s">
        <v>159</v>
      </c>
      <c r="P1545" s="3" t="s">
        <v>160</v>
      </c>
      <c r="Q1545" s="5" t="n">
        <v>117.51</v>
      </c>
      <c r="R1545" s="3" t="n">
        <v>3</v>
      </c>
      <c r="S1545" s="6" t="n">
        <v>0.1</v>
      </c>
      <c r="T1545" s="5" t="n">
        <v>32.26</v>
      </c>
      <c r="U1545" s="3" t="str">
        <f aca="false">IF(T1545&lt;0,"Loss",IF(T1545=0,"Break-even","Profit"))</f>
        <v>Profit</v>
      </c>
      <c r="V1545" s="3" t="str">
        <f aca="false">IF(Q1545&lt;100,"Low",IF(Q1545&lt;=500,"Medium","High"))</f>
        <v>Medium</v>
      </c>
      <c r="W1545" s="3" t="n">
        <f aca="false">D1545-C1545</f>
        <v>7</v>
      </c>
      <c r="X1545" s="3" t="str">
        <f aca="false">TEXT(C1545,"mmmm")</f>
        <v>December</v>
      </c>
      <c r="Y1545" s="3" t="str">
        <f aca="false">LEFT(G1545,1)&amp;MID(G1545,FIND(" ",G1545)+1,1)</f>
        <v>MC</v>
      </c>
    </row>
    <row r="1546" customFormat="false" ht="15" hidden="false" customHeight="false" outlineLevel="0" collapsed="false">
      <c r="A1546" s="3" t="n">
        <v>1545</v>
      </c>
      <c r="B1546" s="3" t="s">
        <v>3362</v>
      </c>
      <c r="C1546" s="4" t="s">
        <v>3360</v>
      </c>
      <c r="D1546" s="4" t="s">
        <v>3363</v>
      </c>
      <c r="E1546" s="3" t="s">
        <v>84</v>
      </c>
      <c r="F1546" s="3" t="s">
        <v>2389</v>
      </c>
      <c r="G1546" s="3" t="s">
        <v>2390</v>
      </c>
      <c r="H1546" s="3" t="s">
        <v>45</v>
      </c>
      <c r="I1546" s="3" t="s">
        <v>32</v>
      </c>
      <c r="J1546" s="3" t="s">
        <v>548</v>
      </c>
      <c r="K1546" s="3" t="s">
        <v>244</v>
      </c>
      <c r="L1546" s="3" t="s">
        <v>157</v>
      </c>
      <c r="M1546" s="3" t="s">
        <v>259</v>
      </c>
      <c r="N1546" s="3" t="s">
        <v>89</v>
      </c>
      <c r="O1546" s="3" t="s">
        <v>174</v>
      </c>
      <c r="P1546" s="3" t="s">
        <v>260</v>
      </c>
      <c r="Q1546" s="5" t="n">
        <v>5786.78</v>
      </c>
      <c r="R1546" s="3" t="n">
        <v>8</v>
      </c>
      <c r="S1546" s="6" t="n">
        <v>0</v>
      </c>
      <c r="T1546" s="5" t="n">
        <v>-526.62</v>
      </c>
      <c r="U1546" s="3" t="str">
        <f aca="false">IF(T1546&lt;0,"Loss",IF(T1546=0,"Break-even","Profit"))</f>
        <v>Loss</v>
      </c>
      <c r="V1546" s="3" t="str">
        <f aca="false">IF(Q1546&lt;100,"Low",IF(Q1546&lt;=500,"Medium","High"))</f>
        <v>High</v>
      </c>
      <c r="W1546" s="3" t="n">
        <f aca="false">D1546-C1546</f>
        <v>2</v>
      </c>
      <c r="X1546" s="3" t="str">
        <f aca="false">TEXT(C1546,"mmmm")</f>
        <v>December</v>
      </c>
      <c r="Y1546" s="3" t="str">
        <f aca="false">LEFT(G1546,1)&amp;MID(G1546,FIND(" ",G1546)+1,1)</f>
        <v>AS</v>
      </c>
    </row>
    <row r="1547" customFormat="false" ht="15" hidden="false" customHeight="false" outlineLevel="0" collapsed="false">
      <c r="A1547" s="3" t="n">
        <v>1546</v>
      </c>
      <c r="B1547" s="3" t="s">
        <v>3364</v>
      </c>
      <c r="C1547" s="4" t="s">
        <v>3360</v>
      </c>
      <c r="D1547" s="4" t="s">
        <v>3361</v>
      </c>
      <c r="E1547" s="3" t="s">
        <v>28</v>
      </c>
      <c r="F1547" s="3" t="s">
        <v>1544</v>
      </c>
      <c r="G1547" s="3" t="s">
        <v>1545</v>
      </c>
      <c r="H1547" s="3" t="s">
        <v>56</v>
      </c>
      <c r="I1547" s="3" t="s">
        <v>32</v>
      </c>
      <c r="J1547" s="3" t="s">
        <v>243</v>
      </c>
      <c r="K1547" s="3" t="s">
        <v>244</v>
      </c>
      <c r="L1547" s="3" t="s">
        <v>157</v>
      </c>
      <c r="M1547" s="3" t="s">
        <v>105</v>
      </c>
      <c r="N1547" s="3" t="s">
        <v>49</v>
      </c>
      <c r="O1547" s="3" t="s">
        <v>106</v>
      </c>
      <c r="P1547" s="3" t="s">
        <v>107</v>
      </c>
      <c r="Q1547" s="5" t="n">
        <v>225.4</v>
      </c>
      <c r="R1547" s="3" t="n">
        <v>3</v>
      </c>
      <c r="S1547" s="6" t="n">
        <v>0</v>
      </c>
      <c r="T1547" s="5" t="n">
        <v>51.16</v>
      </c>
      <c r="U1547" s="3" t="str">
        <f aca="false">IF(T1547&lt;0,"Loss",IF(T1547=0,"Break-even","Profit"))</f>
        <v>Profit</v>
      </c>
      <c r="V1547" s="3" t="str">
        <f aca="false">IF(Q1547&lt;100,"Low",IF(Q1547&lt;=500,"Medium","High"))</f>
        <v>Medium</v>
      </c>
      <c r="W1547" s="3" t="n">
        <f aca="false">D1547-C1547</f>
        <v>7</v>
      </c>
      <c r="X1547" s="3" t="str">
        <f aca="false">TEXT(C1547,"mmmm")</f>
        <v>December</v>
      </c>
      <c r="Y1547" s="3" t="str">
        <f aca="false">LEFT(G1547,1)&amp;MID(G1547,FIND(" ",G1547)+1,1)</f>
        <v>PK</v>
      </c>
    </row>
    <row r="1548" customFormat="false" ht="15" hidden="false" customHeight="false" outlineLevel="0" collapsed="false">
      <c r="A1548" s="3" t="n">
        <v>1547</v>
      </c>
      <c r="B1548" s="3" t="s">
        <v>2709</v>
      </c>
      <c r="C1548" s="4" t="s">
        <v>3365</v>
      </c>
      <c r="D1548" s="4" t="s">
        <v>3358</v>
      </c>
      <c r="E1548" s="3" t="s">
        <v>84</v>
      </c>
      <c r="F1548" s="3" t="s">
        <v>2315</v>
      </c>
      <c r="G1548" s="3" t="s">
        <v>2316</v>
      </c>
      <c r="H1548" s="3" t="s">
        <v>45</v>
      </c>
      <c r="I1548" s="3" t="s">
        <v>32</v>
      </c>
      <c r="J1548" s="3" t="s">
        <v>663</v>
      </c>
      <c r="K1548" s="3" t="s">
        <v>307</v>
      </c>
      <c r="L1548" s="3" t="s">
        <v>69</v>
      </c>
      <c r="M1548" s="3" t="s">
        <v>48</v>
      </c>
      <c r="N1548" s="3" t="s">
        <v>49</v>
      </c>
      <c r="O1548" s="3" t="s">
        <v>50</v>
      </c>
      <c r="P1548" s="3" t="s">
        <v>51</v>
      </c>
      <c r="Q1548" s="5" t="n">
        <v>785.21</v>
      </c>
      <c r="R1548" s="3" t="n">
        <v>9</v>
      </c>
      <c r="S1548" s="6" t="n">
        <v>0</v>
      </c>
      <c r="T1548" s="5" t="n">
        <v>248.92</v>
      </c>
      <c r="U1548" s="3" t="str">
        <f aca="false">IF(T1548&lt;0,"Loss",IF(T1548=0,"Break-even","Profit"))</f>
        <v>Profit</v>
      </c>
      <c r="V1548" s="3" t="str">
        <f aca="false">IF(Q1548&lt;100,"Low",IF(Q1548&lt;=500,"Medium","High"))</f>
        <v>High</v>
      </c>
      <c r="W1548" s="3" t="n">
        <f aca="false">D1548-C1548</f>
        <v>3</v>
      </c>
      <c r="X1548" s="3" t="str">
        <f aca="false">TEXT(C1548,"mmmm")</f>
        <v>December</v>
      </c>
      <c r="Y1548" s="3" t="str">
        <f aca="false">LEFT(G1548,1)&amp;MID(G1548,FIND(" ",G1548)+1,1)</f>
        <v>SG</v>
      </c>
    </row>
    <row r="1549" customFormat="false" ht="15" hidden="false" customHeight="false" outlineLevel="0" collapsed="false">
      <c r="A1549" s="3" t="n">
        <v>1548</v>
      </c>
      <c r="B1549" s="3" t="s">
        <v>3366</v>
      </c>
      <c r="C1549" s="4" t="s">
        <v>3365</v>
      </c>
      <c r="D1549" s="4" t="s">
        <v>3358</v>
      </c>
      <c r="E1549" s="3" t="s">
        <v>28</v>
      </c>
      <c r="F1549" s="3" t="s">
        <v>163</v>
      </c>
      <c r="G1549" s="3" t="s">
        <v>164</v>
      </c>
      <c r="H1549" s="3" t="s">
        <v>56</v>
      </c>
      <c r="I1549" s="3" t="s">
        <v>32</v>
      </c>
      <c r="J1549" s="3" t="s">
        <v>171</v>
      </c>
      <c r="K1549" s="3" t="s">
        <v>172</v>
      </c>
      <c r="L1549" s="3" t="s">
        <v>157</v>
      </c>
      <c r="M1549" s="3" t="s">
        <v>149</v>
      </c>
      <c r="N1549" s="3" t="s">
        <v>49</v>
      </c>
      <c r="O1549" s="3" t="s">
        <v>150</v>
      </c>
      <c r="P1549" s="3" t="s">
        <v>151</v>
      </c>
      <c r="Q1549" s="5" t="n">
        <v>659.45</v>
      </c>
      <c r="R1549" s="3" t="n">
        <v>6</v>
      </c>
      <c r="S1549" s="6" t="n">
        <v>0.1</v>
      </c>
      <c r="T1549" s="5" t="n">
        <v>-110.28</v>
      </c>
      <c r="U1549" s="3" t="str">
        <f aca="false">IF(T1549&lt;0,"Loss",IF(T1549=0,"Break-even","Profit"))</f>
        <v>Loss</v>
      </c>
      <c r="V1549" s="3" t="str">
        <f aca="false">IF(Q1549&lt;100,"Low",IF(Q1549&lt;=500,"Medium","High"))</f>
        <v>High</v>
      </c>
      <c r="W1549" s="3" t="n">
        <f aca="false">D1549-C1549</f>
        <v>3</v>
      </c>
      <c r="X1549" s="3" t="str">
        <f aca="false">TEXT(C1549,"mmmm")</f>
        <v>December</v>
      </c>
      <c r="Y1549" s="3" t="str">
        <f aca="false">LEFT(G1549,1)&amp;MID(G1549,FIND(" ",G1549)+1,1)</f>
        <v>PA</v>
      </c>
    </row>
    <row r="1550" customFormat="false" ht="15" hidden="false" customHeight="false" outlineLevel="0" collapsed="false">
      <c r="A1550" s="3" t="n">
        <v>1549</v>
      </c>
      <c r="B1550" s="3" t="s">
        <v>3367</v>
      </c>
      <c r="C1550" s="4" t="s">
        <v>3368</v>
      </c>
      <c r="D1550" s="4" t="s">
        <v>3369</v>
      </c>
      <c r="E1550" s="3" t="s">
        <v>84</v>
      </c>
      <c r="F1550" s="3" t="s">
        <v>716</v>
      </c>
      <c r="G1550" s="3" t="s">
        <v>717</v>
      </c>
      <c r="H1550" s="3" t="s">
        <v>56</v>
      </c>
      <c r="I1550" s="3" t="s">
        <v>32</v>
      </c>
      <c r="J1550" s="3" t="s">
        <v>814</v>
      </c>
      <c r="K1550" s="3" t="s">
        <v>156</v>
      </c>
      <c r="L1550" s="3" t="s">
        <v>157</v>
      </c>
      <c r="M1550" s="3" t="s">
        <v>88</v>
      </c>
      <c r="N1550" s="3" t="s">
        <v>89</v>
      </c>
      <c r="O1550" s="3" t="s">
        <v>90</v>
      </c>
      <c r="P1550" s="3" t="s">
        <v>91</v>
      </c>
      <c r="Q1550" s="5" t="n">
        <v>1543.34</v>
      </c>
      <c r="R1550" s="3" t="n">
        <v>14</v>
      </c>
      <c r="S1550" s="6" t="n">
        <v>0</v>
      </c>
      <c r="T1550" s="5" t="n">
        <v>-256.72</v>
      </c>
      <c r="U1550" s="3" t="str">
        <f aca="false">IF(T1550&lt;0,"Loss",IF(T1550=0,"Break-even","Profit"))</f>
        <v>Loss</v>
      </c>
      <c r="V1550" s="3" t="str">
        <f aca="false">IF(Q1550&lt;100,"Low",IF(Q1550&lt;=500,"Medium","High"))</f>
        <v>High</v>
      </c>
      <c r="W1550" s="3" t="n">
        <f aca="false">D1550-C1550</f>
        <v>3</v>
      </c>
      <c r="X1550" s="3" t="str">
        <f aca="false">TEXT(C1550,"mmmm")</f>
        <v>December</v>
      </c>
      <c r="Y1550" s="3" t="str">
        <f aca="false">LEFT(G1550,1)&amp;MID(G1550,FIND(" ",G1550)+1,1)</f>
        <v>WS</v>
      </c>
    </row>
    <row r="1551" customFormat="false" ht="15" hidden="false" customHeight="false" outlineLevel="0" collapsed="false">
      <c r="A1551" s="3" t="n">
        <v>1550</v>
      </c>
      <c r="B1551" s="3" t="s">
        <v>3370</v>
      </c>
      <c r="C1551" s="4" t="s">
        <v>3368</v>
      </c>
      <c r="D1551" s="4" t="s">
        <v>3358</v>
      </c>
      <c r="E1551" s="3" t="s">
        <v>42</v>
      </c>
      <c r="F1551" s="3" t="s">
        <v>118</v>
      </c>
      <c r="G1551" s="3" t="s">
        <v>119</v>
      </c>
      <c r="H1551" s="3" t="s">
        <v>56</v>
      </c>
      <c r="I1551" s="3" t="s">
        <v>32</v>
      </c>
      <c r="J1551" s="3" t="s">
        <v>315</v>
      </c>
      <c r="K1551" s="3" t="s">
        <v>58</v>
      </c>
      <c r="L1551" s="3" t="s">
        <v>59</v>
      </c>
      <c r="M1551" s="3" t="s">
        <v>48</v>
      </c>
      <c r="N1551" s="3" t="s">
        <v>49</v>
      </c>
      <c r="O1551" s="3" t="s">
        <v>50</v>
      </c>
      <c r="P1551" s="3" t="s">
        <v>51</v>
      </c>
      <c r="Q1551" s="5" t="n">
        <v>943.82</v>
      </c>
      <c r="R1551" s="3" t="n">
        <v>12</v>
      </c>
      <c r="S1551" s="6" t="n">
        <v>0.2</v>
      </c>
      <c r="T1551" s="5" t="n">
        <v>63.95</v>
      </c>
      <c r="U1551" s="3" t="str">
        <f aca="false">IF(T1551&lt;0,"Loss",IF(T1551=0,"Break-even","Profit"))</f>
        <v>Profit</v>
      </c>
      <c r="V1551" s="3" t="str">
        <f aca="false">IF(Q1551&lt;100,"Low",IF(Q1551&lt;=500,"Medium","High"))</f>
        <v>High</v>
      </c>
      <c r="W1551" s="3" t="n">
        <f aca="false">D1551-C1551</f>
        <v>1</v>
      </c>
      <c r="X1551" s="3" t="str">
        <f aca="false">TEXT(C1551,"mmmm")</f>
        <v>December</v>
      </c>
      <c r="Y1551" s="3" t="str">
        <f aca="false">LEFT(G1551,1)&amp;MID(G1551,FIND(" ",G1551)+1,1)</f>
        <v>LN</v>
      </c>
    </row>
    <row r="1552" customFormat="false" ht="15" hidden="false" customHeight="false" outlineLevel="0" collapsed="false">
      <c r="A1552" s="3" t="n">
        <v>1551</v>
      </c>
      <c r="B1552" s="3" t="s">
        <v>3371</v>
      </c>
      <c r="C1552" s="4" t="s">
        <v>3358</v>
      </c>
      <c r="D1552" s="4" t="s">
        <v>3372</v>
      </c>
      <c r="E1552" s="3" t="s">
        <v>28</v>
      </c>
      <c r="F1552" s="3" t="s">
        <v>957</v>
      </c>
      <c r="G1552" s="3" t="s">
        <v>958</v>
      </c>
      <c r="H1552" s="3" t="s">
        <v>56</v>
      </c>
      <c r="I1552" s="3" t="s">
        <v>32</v>
      </c>
      <c r="J1552" s="3" t="s">
        <v>285</v>
      </c>
      <c r="K1552" s="3" t="s">
        <v>202</v>
      </c>
      <c r="L1552" s="3" t="s">
        <v>35</v>
      </c>
      <c r="M1552" s="3" t="s">
        <v>447</v>
      </c>
      <c r="N1552" s="3" t="s">
        <v>89</v>
      </c>
      <c r="O1552" s="3" t="s">
        <v>323</v>
      </c>
      <c r="P1552" s="3" t="s">
        <v>448</v>
      </c>
      <c r="Q1552" s="5" t="n">
        <v>2810.31</v>
      </c>
      <c r="R1552" s="3" t="n">
        <v>11</v>
      </c>
      <c r="S1552" s="6" t="n">
        <v>0</v>
      </c>
      <c r="T1552" s="5" t="n">
        <v>568.12</v>
      </c>
      <c r="U1552" s="3" t="str">
        <f aca="false">IF(T1552&lt;0,"Loss",IF(T1552=0,"Break-even","Profit"))</f>
        <v>Profit</v>
      </c>
      <c r="V1552" s="3" t="str">
        <f aca="false">IF(Q1552&lt;100,"Low",IF(Q1552&lt;=500,"Medium","High"))</f>
        <v>High</v>
      </c>
      <c r="W1552" s="3" t="n">
        <f aca="false">D1552-C1552</f>
        <v>7</v>
      </c>
      <c r="X1552" s="3" t="str">
        <f aca="false">TEXT(C1552,"mmmm")</f>
        <v>December</v>
      </c>
      <c r="Y1552" s="3" t="str">
        <f aca="false">LEFT(G1552,1)&amp;MID(G1552,FIND(" ",G1552)+1,1)</f>
        <v>JM</v>
      </c>
    </row>
    <row r="1553" customFormat="false" ht="15" hidden="false" customHeight="false" outlineLevel="0" collapsed="false">
      <c r="A1553" s="3" t="n">
        <v>1552</v>
      </c>
      <c r="B1553" s="3" t="s">
        <v>3373</v>
      </c>
      <c r="C1553" s="4" t="s">
        <v>3358</v>
      </c>
      <c r="D1553" s="4" t="s">
        <v>3374</v>
      </c>
      <c r="E1553" s="3" t="s">
        <v>28</v>
      </c>
      <c r="F1553" s="3" t="s">
        <v>637</v>
      </c>
      <c r="G1553" s="3" t="s">
        <v>638</v>
      </c>
      <c r="H1553" s="3" t="s">
        <v>56</v>
      </c>
      <c r="I1553" s="3" t="s">
        <v>32</v>
      </c>
      <c r="J1553" s="3" t="s">
        <v>171</v>
      </c>
      <c r="K1553" s="3" t="s">
        <v>172</v>
      </c>
      <c r="L1553" s="3" t="s">
        <v>157</v>
      </c>
      <c r="M1553" s="3" t="s">
        <v>149</v>
      </c>
      <c r="N1553" s="3" t="s">
        <v>49</v>
      </c>
      <c r="O1553" s="3" t="s">
        <v>150</v>
      </c>
      <c r="P1553" s="3" t="s">
        <v>151</v>
      </c>
      <c r="Q1553" s="5" t="n">
        <v>1609.66</v>
      </c>
      <c r="R1553" s="3" t="n">
        <v>14</v>
      </c>
      <c r="S1553" s="6" t="n">
        <v>0</v>
      </c>
      <c r="T1553" s="5" t="n">
        <v>-55.63</v>
      </c>
      <c r="U1553" s="3" t="str">
        <f aca="false">IF(T1553&lt;0,"Loss",IF(T1553=0,"Break-even","Profit"))</f>
        <v>Loss</v>
      </c>
      <c r="V1553" s="3" t="str">
        <f aca="false">IF(Q1553&lt;100,"Low",IF(Q1553&lt;=500,"Medium","High"))</f>
        <v>High</v>
      </c>
      <c r="W1553" s="3" t="n">
        <f aca="false">D1553-C1553</f>
        <v>5</v>
      </c>
      <c r="X1553" s="3" t="str">
        <f aca="false">TEXT(C1553,"mmmm")</f>
        <v>December</v>
      </c>
      <c r="Y1553" s="3" t="str">
        <f aca="false">LEFT(G1553,1)&amp;MID(G1553,FIND(" ",G1553)+1,1)</f>
        <v>JM</v>
      </c>
    </row>
    <row r="1554" customFormat="false" ht="15" hidden="false" customHeight="false" outlineLevel="0" collapsed="false">
      <c r="A1554" s="3" t="n">
        <v>1553</v>
      </c>
      <c r="B1554" s="3" t="s">
        <v>3375</v>
      </c>
      <c r="C1554" s="4" t="s">
        <v>3376</v>
      </c>
      <c r="D1554" s="4" t="s">
        <v>3361</v>
      </c>
      <c r="E1554" s="3" t="s">
        <v>42</v>
      </c>
      <c r="F1554" s="3" t="s">
        <v>362</v>
      </c>
      <c r="G1554" s="3" t="s">
        <v>363</v>
      </c>
      <c r="H1554" s="3" t="s">
        <v>56</v>
      </c>
      <c r="I1554" s="3" t="s">
        <v>32</v>
      </c>
      <c r="J1554" s="3" t="s">
        <v>171</v>
      </c>
      <c r="K1554" s="3" t="s">
        <v>172</v>
      </c>
      <c r="L1554" s="3" t="s">
        <v>157</v>
      </c>
      <c r="M1554" s="3" t="s">
        <v>105</v>
      </c>
      <c r="N1554" s="3" t="s">
        <v>49</v>
      </c>
      <c r="O1554" s="3" t="s">
        <v>106</v>
      </c>
      <c r="P1554" s="3" t="s">
        <v>107</v>
      </c>
      <c r="Q1554" s="5" t="n">
        <v>633.88</v>
      </c>
      <c r="R1554" s="3" t="n">
        <v>11</v>
      </c>
      <c r="S1554" s="6" t="n">
        <v>0.1</v>
      </c>
      <c r="T1554" s="5" t="n">
        <v>-99.09</v>
      </c>
      <c r="U1554" s="3" t="str">
        <f aca="false">IF(T1554&lt;0,"Loss",IF(T1554=0,"Break-even","Profit"))</f>
        <v>Loss</v>
      </c>
      <c r="V1554" s="3" t="str">
        <f aca="false">IF(Q1554&lt;100,"Low",IF(Q1554&lt;=500,"Medium","High"))</f>
        <v>High</v>
      </c>
      <c r="W1554" s="3" t="n">
        <f aca="false">D1554-C1554</f>
        <v>2</v>
      </c>
      <c r="X1554" s="3" t="str">
        <f aca="false">TEXT(C1554,"mmmm")</f>
        <v>December</v>
      </c>
      <c r="Y1554" s="3" t="str">
        <f aca="false">LEFT(G1554,1)&amp;MID(G1554,FIND(" ",G1554)+1,1)</f>
        <v>WB</v>
      </c>
    </row>
    <row r="1555" customFormat="false" ht="15" hidden="false" customHeight="false" outlineLevel="0" collapsed="false">
      <c r="A1555" s="3" t="n">
        <v>1554</v>
      </c>
      <c r="B1555" s="3" t="s">
        <v>3377</v>
      </c>
      <c r="C1555" s="4" t="s">
        <v>3376</v>
      </c>
      <c r="D1555" s="4" t="s">
        <v>3378</v>
      </c>
      <c r="E1555" s="3" t="s">
        <v>28</v>
      </c>
      <c r="F1555" s="3" t="s">
        <v>332</v>
      </c>
      <c r="G1555" s="3" t="s">
        <v>333</v>
      </c>
      <c r="H1555" s="3" t="s">
        <v>56</v>
      </c>
      <c r="I1555" s="3" t="s">
        <v>32</v>
      </c>
      <c r="J1555" s="3" t="s">
        <v>171</v>
      </c>
      <c r="K1555" s="3" t="s">
        <v>172</v>
      </c>
      <c r="L1555" s="3" t="s">
        <v>157</v>
      </c>
      <c r="M1555" s="3" t="s">
        <v>253</v>
      </c>
      <c r="N1555" s="3" t="s">
        <v>89</v>
      </c>
      <c r="O1555" s="3" t="s">
        <v>90</v>
      </c>
      <c r="P1555" s="3" t="s">
        <v>254</v>
      </c>
      <c r="Q1555" s="5" t="n">
        <v>699.46</v>
      </c>
      <c r="R1555" s="3" t="n">
        <v>1</v>
      </c>
      <c r="S1555" s="6" t="n">
        <v>0.2</v>
      </c>
      <c r="T1555" s="5" t="n">
        <v>88.07</v>
      </c>
      <c r="U1555" s="3" t="str">
        <f aca="false">IF(T1555&lt;0,"Loss",IF(T1555=0,"Break-even","Profit"))</f>
        <v>Profit</v>
      </c>
      <c r="V1555" s="3" t="str">
        <f aca="false">IF(Q1555&lt;100,"Low",IF(Q1555&lt;=500,"Medium","High"))</f>
        <v>High</v>
      </c>
      <c r="W1555" s="3" t="n">
        <f aca="false">D1555-C1555</f>
        <v>7</v>
      </c>
      <c r="X1555" s="3" t="str">
        <f aca="false">TEXT(C1555,"mmmm")</f>
        <v>December</v>
      </c>
      <c r="Y1555" s="3" t="str">
        <f aca="false">LEFT(G1555,1)&amp;MID(G1555,FIND(" ",G1555)+1,1)</f>
        <v>AM</v>
      </c>
    </row>
    <row r="1556" customFormat="false" ht="15" hidden="false" customHeight="false" outlineLevel="0" collapsed="false">
      <c r="A1556" s="3" t="n">
        <v>1555</v>
      </c>
      <c r="B1556" s="3" t="s">
        <v>3379</v>
      </c>
      <c r="C1556" s="4" t="s">
        <v>3376</v>
      </c>
      <c r="D1556" s="4" t="s">
        <v>3380</v>
      </c>
      <c r="E1556" s="3" t="s">
        <v>28</v>
      </c>
      <c r="F1556" s="3" t="s">
        <v>720</v>
      </c>
      <c r="G1556" s="3" t="s">
        <v>721</v>
      </c>
      <c r="H1556" s="3" t="s">
        <v>56</v>
      </c>
      <c r="I1556" s="3" t="s">
        <v>32</v>
      </c>
      <c r="J1556" s="3" t="s">
        <v>814</v>
      </c>
      <c r="K1556" s="3" t="s">
        <v>156</v>
      </c>
      <c r="L1556" s="3" t="s">
        <v>157</v>
      </c>
      <c r="M1556" s="3" t="s">
        <v>135</v>
      </c>
      <c r="N1556" s="3" t="s">
        <v>37</v>
      </c>
      <c r="O1556" s="3" t="s">
        <v>136</v>
      </c>
      <c r="P1556" s="3" t="s">
        <v>137</v>
      </c>
      <c r="Q1556" s="5" t="n">
        <v>19707.45</v>
      </c>
      <c r="R1556" s="3" t="n">
        <v>14</v>
      </c>
      <c r="S1556" s="6" t="n">
        <v>0.3</v>
      </c>
      <c r="T1556" s="5" t="n">
        <v>-5693.14</v>
      </c>
      <c r="U1556" s="3" t="str">
        <f aca="false">IF(T1556&lt;0,"Loss",IF(T1556=0,"Break-even","Profit"))</f>
        <v>Loss</v>
      </c>
      <c r="V1556" s="3" t="str">
        <f aca="false">IF(Q1556&lt;100,"Low",IF(Q1556&lt;=500,"Medium","High"))</f>
        <v>High</v>
      </c>
      <c r="W1556" s="3" t="n">
        <f aca="false">D1556-C1556</f>
        <v>5</v>
      </c>
      <c r="X1556" s="3" t="str">
        <f aca="false">TEXT(C1556,"mmmm")</f>
        <v>December</v>
      </c>
      <c r="Y1556" s="3" t="str">
        <f aca="false">LEFT(G1556,1)&amp;MID(G1556,FIND(" ",G1556)+1,1)</f>
        <v>LJ</v>
      </c>
    </row>
    <row r="1557" customFormat="false" ht="15" hidden="false" customHeight="false" outlineLevel="0" collapsed="false">
      <c r="A1557" s="3" t="n">
        <v>1556</v>
      </c>
      <c r="B1557" s="3" t="s">
        <v>3381</v>
      </c>
      <c r="C1557" s="4" t="s">
        <v>3369</v>
      </c>
      <c r="D1557" s="4" t="s">
        <v>3380</v>
      </c>
      <c r="E1557" s="3" t="s">
        <v>84</v>
      </c>
      <c r="F1557" s="3" t="s">
        <v>1335</v>
      </c>
      <c r="G1557" s="3" t="s">
        <v>1336</v>
      </c>
      <c r="H1557" s="3" t="s">
        <v>56</v>
      </c>
      <c r="I1557" s="3" t="s">
        <v>32</v>
      </c>
      <c r="J1557" s="3" t="s">
        <v>201</v>
      </c>
      <c r="K1557" s="3" t="s">
        <v>202</v>
      </c>
      <c r="L1557" s="3" t="s">
        <v>35</v>
      </c>
      <c r="M1557" s="3" t="s">
        <v>97</v>
      </c>
      <c r="N1557" s="3" t="s">
        <v>89</v>
      </c>
      <c r="O1557" s="3" t="s">
        <v>90</v>
      </c>
      <c r="P1557" s="3" t="s">
        <v>98</v>
      </c>
      <c r="Q1557" s="5" t="n">
        <v>2223.86</v>
      </c>
      <c r="R1557" s="3" t="n">
        <v>6</v>
      </c>
      <c r="S1557" s="6" t="n">
        <v>0.3</v>
      </c>
      <c r="T1557" s="5" t="n">
        <v>-42.31</v>
      </c>
      <c r="U1557" s="3" t="str">
        <f aca="false">IF(T1557&lt;0,"Loss",IF(T1557=0,"Break-even","Profit"))</f>
        <v>Loss</v>
      </c>
      <c r="V1557" s="3" t="str">
        <f aca="false">IF(Q1557&lt;100,"Low",IF(Q1557&lt;=500,"Medium","High"))</f>
        <v>High</v>
      </c>
      <c r="W1557" s="3" t="n">
        <f aca="false">D1557-C1557</f>
        <v>4</v>
      </c>
      <c r="X1557" s="3" t="str">
        <f aca="false">TEXT(C1557,"mmmm")</f>
        <v>December</v>
      </c>
      <c r="Y1557" s="3" t="str">
        <f aca="false">LEFT(G1557,1)&amp;MID(G1557,FIND(" ",G1557)+1,1)</f>
        <v>AK</v>
      </c>
    </row>
    <row r="1558" customFormat="false" ht="15" hidden="false" customHeight="false" outlineLevel="0" collapsed="false">
      <c r="A1558" s="3" t="n">
        <v>1557</v>
      </c>
      <c r="B1558" s="3" t="s">
        <v>3382</v>
      </c>
      <c r="C1558" s="4" t="s">
        <v>3361</v>
      </c>
      <c r="D1558" s="4" t="s">
        <v>3372</v>
      </c>
      <c r="E1558" s="3" t="s">
        <v>84</v>
      </c>
      <c r="F1558" s="3" t="s">
        <v>992</v>
      </c>
      <c r="G1558" s="3" t="s">
        <v>993</v>
      </c>
      <c r="H1558" s="3" t="s">
        <v>45</v>
      </c>
      <c r="I1558" s="3" t="s">
        <v>32</v>
      </c>
      <c r="J1558" s="3" t="s">
        <v>365</v>
      </c>
      <c r="K1558" s="3" t="s">
        <v>366</v>
      </c>
      <c r="L1558" s="3" t="s">
        <v>157</v>
      </c>
      <c r="M1558" s="3" t="s">
        <v>316</v>
      </c>
      <c r="N1558" s="3" t="s">
        <v>49</v>
      </c>
      <c r="O1558" s="3" t="s">
        <v>143</v>
      </c>
      <c r="P1558" s="3" t="s">
        <v>317</v>
      </c>
      <c r="Q1558" s="5" t="n">
        <v>333.86</v>
      </c>
      <c r="R1558" s="3" t="n">
        <v>3</v>
      </c>
      <c r="S1558" s="6" t="n">
        <v>0.2</v>
      </c>
      <c r="T1558" s="5" t="n">
        <v>50.76</v>
      </c>
      <c r="U1558" s="3" t="str">
        <f aca="false">IF(T1558&lt;0,"Loss",IF(T1558=0,"Break-even","Profit"))</f>
        <v>Profit</v>
      </c>
      <c r="V1558" s="3" t="str">
        <f aca="false">IF(Q1558&lt;100,"Low",IF(Q1558&lt;=500,"Medium","High"))</f>
        <v>Medium</v>
      </c>
      <c r="W1558" s="3" t="n">
        <f aca="false">D1558-C1558</f>
        <v>4</v>
      </c>
      <c r="X1558" s="3" t="str">
        <f aca="false">TEXT(C1558,"mmmm")</f>
        <v>January</v>
      </c>
      <c r="Y1558" s="3" t="str">
        <f aca="false">LEFT(G1558,1)&amp;MID(G1558,FIND(" ",G1558)+1,1)</f>
        <v>LB</v>
      </c>
    </row>
    <row r="1559" customFormat="false" ht="15" hidden="false" customHeight="false" outlineLevel="0" collapsed="false">
      <c r="A1559" s="3" t="n">
        <v>1558</v>
      </c>
      <c r="B1559" s="3" t="s">
        <v>3383</v>
      </c>
      <c r="C1559" s="4" t="s">
        <v>3361</v>
      </c>
      <c r="D1559" s="4" t="s">
        <v>3384</v>
      </c>
      <c r="E1559" s="3" t="s">
        <v>28</v>
      </c>
      <c r="F1559" s="3" t="s">
        <v>1918</v>
      </c>
      <c r="G1559" s="3" t="s">
        <v>1919</v>
      </c>
      <c r="H1559" s="3" t="s">
        <v>45</v>
      </c>
      <c r="I1559" s="3" t="s">
        <v>32</v>
      </c>
      <c r="J1559" s="3" t="s">
        <v>476</v>
      </c>
      <c r="K1559" s="3" t="s">
        <v>366</v>
      </c>
      <c r="L1559" s="3" t="s">
        <v>157</v>
      </c>
      <c r="M1559" s="3" t="s">
        <v>659</v>
      </c>
      <c r="N1559" s="3" t="s">
        <v>89</v>
      </c>
      <c r="O1559" s="3" t="s">
        <v>323</v>
      </c>
      <c r="P1559" s="3" t="s">
        <v>660</v>
      </c>
      <c r="Q1559" s="5" t="n">
        <v>11266.75</v>
      </c>
      <c r="R1559" s="3" t="n">
        <v>13</v>
      </c>
      <c r="S1559" s="6" t="n">
        <v>0.1</v>
      </c>
      <c r="T1559" s="5" t="n">
        <v>2422.1</v>
      </c>
      <c r="U1559" s="3" t="str">
        <f aca="false">IF(T1559&lt;0,"Loss",IF(T1559=0,"Break-even","Profit"))</f>
        <v>Profit</v>
      </c>
      <c r="V1559" s="3" t="str">
        <f aca="false">IF(Q1559&lt;100,"Low",IF(Q1559&lt;=500,"Medium","High"))</f>
        <v>High</v>
      </c>
      <c r="W1559" s="3" t="n">
        <f aca="false">D1559-C1559</f>
        <v>7</v>
      </c>
      <c r="X1559" s="3" t="str">
        <f aca="false">TEXT(C1559,"mmmm")</f>
        <v>January</v>
      </c>
      <c r="Y1559" s="3" t="str">
        <f aca="false">LEFT(G1559,1)&amp;MID(G1559,FIND(" ",G1559)+1,1)</f>
        <v>MJ</v>
      </c>
    </row>
    <row r="1560" customFormat="false" ht="15" hidden="false" customHeight="false" outlineLevel="0" collapsed="false">
      <c r="A1560" s="3" t="n">
        <v>1559</v>
      </c>
      <c r="B1560" s="3" t="s">
        <v>3385</v>
      </c>
      <c r="C1560" s="4" t="s">
        <v>3361</v>
      </c>
      <c r="D1560" s="4" t="s">
        <v>3374</v>
      </c>
      <c r="E1560" s="3" t="s">
        <v>42</v>
      </c>
      <c r="F1560" s="3" t="s">
        <v>2140</v>
      </c>
      <c r="G1560" s="3" t="s">
        <v>2141</v>
      </c>
      <c r="H1560" s="3" t="s">
        <v>56</v>
      </c>
      <c r="I1560" s="3" t="s">
        <v>32</v>
      </c>
      <c r="J1560" s="3" t="s">
        <v>814</v>
      </c>
      <c r="K1560" s="3" t="s">
        <v>156</v>
      </c>
      <c r="L1560" s="3" t="s">
        <v>157</v>
      </c>
      <c r="M1560" s="3" t="s">
        <v>219</v>
      </c>
      <c r="N1560" s="3" t="s">
        <v>49</v>
      </c>
      <c r="O1560" s="3" t="s">
        <v>220</v>
      </c>
      <c r="P1560" s="3" t="s">
        <v>221</v>
      </c>
      <c r="Q1560" s="5" t="n">
        <v>65.83</v>
      </c>
      <c r="R1560" s="3" t="n">
        <v>2</v>
      </c>
      <c r="S1560" s="6" t="n">
        <v>0</v>
      </c>
      <c r="T1560" s="5" t="n">
        <v>16.9</v>
      </c>
      <c r="U1560" s="3" t="str">
        <f aca="false">IF(T1560&lt;0,"Loss",IF(T1560=0,"Break-even","Profit"))</f>
        <v>Profit</v>
      </c>
      <c r="V1560" s="3" t="str">
        <f aca="false">IF(Q1560&lt;100,"Low",IF(Q1560&lt;=500,"Medium","High"))</f>
        <v>Low</v>
      </c>
      <c r="W1560" s="3" t="n">
        <f aca="false">D1560-C1560</f>
        <v>2</v>
      </c>
      <c r="X1560" s="3" t="str">
        <f aca="false">TEXT(C1560,"mmmm")</f>
        <v>January</v>
      </c>
      <c r="Y1560" s="3" t="str">
        <f aca="false">LEFT(G1560,1)&amp;MID(G1560,FIND(" ",G1560)+1,1)</f>
        <v>OB</v>
      </c>
    </row>
    <row r="1561" customFormat="false" ht="15" hidden="false" customHeight="false" outlineLevel="0" collapsed="false">
      <c r="A1561" s="3" t="n">
        <v>1560</v>
      </c>
      <c r="B1561" s="3" t="s">
        <v>3386</v>
      </c>
      <c r="C1561" s="4" t="s">
        <v>3374</v>
      </c>
      <c r="D1561" s="4" t="s">
        <v>3378</v>
      </c>
      <c r="E1561" s="3" t="s">
        <v>28</v>
      </c>
      <c r="F1561" s="3" t="s">
        <v>522</v>
      </c>
      <c r="G1561" s="3" t="s">
        <v>523</v>
      </c>
      <c r="H1561" s="3" t="s">
        <v>45</v>
      </c>
      <c r="I1561" s="3" t="s">
        <v>32</v>
      </c>
      <c r="J1561" s="3" t="s">
        <v>87</v>
      </c>
      <c r="K1561" s="3" t="s">
        <v>68</v>
      </c>
      <c r="L1561" s="3" t="s">
        <v>69</v>
      </c>
      <c r="M1561" s="3" t="s">
        <v>149</v>
      </c>
      <c r="N1561" s="3" t="s">
        <v>49</v>
      </c>
      <c r="O1561" s="3" t="s">
        <v>150</v>
      </c>
      <c r="P1561" s="3" t="s">
        <v>151</v>
      </c>
      <c r="Q1561" s="5" t="n">
        <v>326.25</v>
      </c>
      <c r="R1561" s="3" t="n">
        <v>3</v>
      </c>
      <c r="S1561" s="6" t="n">
        <v>0</v>
      </c>
      <c r="T1561" s="5" t="n">
        <v>38.08</v>
      </c>
      <c r="U1561" s="3" t="str">
        <f aca="false">IF(T1561&lt;0,"Loss",IF(T1561=0,"Break-even","Profit"))</f>
        <v>Profit</v>
      </c>
      <c r="V1561" s="3" t="str">
        <f aca="false">IF(Q1561&lt;100,"Low",IF(Q1561&lt;=500,"Medium","High"))</f>
        <v>Medium</v>
      </c>
      <c r="W1561" s="3" t="n">
        <f aca="false">D1561-C1561</f>
        <v>3</v>
      </c>
      <c r="X1561" s="3" t="str">
        <f aca="false">TEXT(C1561,"mmmm")</f>
        <v>January</v>
      </c>
      <c r="Y1561" s="3" t="str">
        <f aca="false">LEFT(G1561,1)&amp;MID(G1561,FIND(" ",G1561)+1,1)</f>
        <v>JS</v>
      </c>
    </row>
    <row r="1562" customFormat="false" ht="15" hidden="false" customHeight="false" outlineLevel="0" collapsed="false">
      <c r="A1562" s="3" t="n">
        <v>1561</v>
      </c>
      <c r="B1562" s="3" t="s">
        <v>3387</v>
      </c>
      <c r="C1562" s="4" t="s">
        <v>3374</v>
      </c>
      <c r="D1562" s="4" t="s">
        <v>3388</v>
      </c>
      <c r="E1562" s="3" t="s">
        <v>28</v>
      </c>
      <c r="F1562" s="3" t="s">
        <v>2055</v>
      </c>
      <c r="G1562" s="3" t="s">
        <v>2056</v>
      </c>
      <c r="H1562" s="3" t="s">
        <v>45</v>
      </c>
      <c r="I1562" s="3" t="s">
        <v>32</v>
      </c>
      <c r="J1562" s="3" t="s">
        <v>46</v>
      </c>
      <c r="K1562" s="3" t="s">
        <v>47</v>
      </c>
      <c r="L1562" s="3" t="s">
        <v>35</v>
      </c>
      <c r="M1562" s="3" t="s">
        <v>300</v>
      </c>
      <c r="N1562" s="3" t="s">
        <v>49</v>
      </c>
      <c r="O1562" s="3" t="s">
        <v>143</v>
      </c>
      <c r="P1562" s="3" t="s">
        <v>301</v>
      </c>
      <c r="Q1562" s="5" t="n">
        <v>1100.79</v>
      </c>
      <c r="R1562" s="3" t="n">
        <v>13</v>
      </c>
      <c r="S1562" s="6" t="n">
        <v>0</v>
      </c>
      <c r="T1562" s="5" t="n">
        <v>-140.3</v>
      </c>
      <c r="U1562" s="3" t="str">
        <f aca="false">IF(T1562&lt;0,"Loss",IF(T1562=0,"Break-even","Profit"))</f>
        <v>Loss</v>
      </c>
      <c r="V1562" s="3" t="str">
        <f aca="false">IF(Q1562&lt;100,"Low",IF(Q1562&lt;=500,"Medium","High"))</f>
        <v>High</v>
      </c>
      <c r="W1562" s="3" t="n">
        <f aca="false">D1562-C1562</f>
        <v>7</v>
      </c>
      <c r="X1562" s="3" t="str">
        <f aca="false">TEXT(C1562,"mmmm")</f>
        <v>January</v>
      </c>
      <c r="Y1562" s="3" t="str">
        <f aca="false">LEFT(G1562,1)&amp;MID(G1562,FIND(" ",G1562)+1,1)</f>
        <v>ED</v>
      </c>
    </row>
    <row r="1563" customFormat="false" ht="15" hidden="false" customHeight="false" outlineLevel="0" collapsed="false">
      <c r="A1563" s="3" t="n">
        <v>1562</v>
      </c>
      <c r="B1563" s="3" t="s">
        <v>3389</v>
      </c>
      <c r="C1563" s="4" t="s">
        <v>3372</v>
      </c>
      <c r="D1563" s="4" t="s">
        <v>3390</v>
      </c>
      <c r="E1563" s="3" t="s">
        <v>28</v>
      </c>
      <c r="F1563" s="3" t="s">
        <v>768</v>
      </c>
      <c r="G1563" s="3" t="s">
        <v>769</v>
      </c>
      <c r="H1563" s="3" t="s">
        <v>45</v>
      </c>
      <c r="I1563" s="3" t="s">
        <v>32</v>
      </c>
      <c r="J1563" s="3" t="s">
        <v>243</v>
      </c>
      <c r="K1563" s="3" t="s">
        <v>244</v>
      </c>
      <c r="L1563" s="3" t="s">
        <v>157</v>
      </c>
      <c r="M1563" s="3" t="s">
        <v>659</v>
      </c>
      <c r="N1563" s="3" t="s">
        <v>89</v>
      </c>
      <c r="O1563" s="3" t="s">
        <v>323</v>
      </c>
      <c r="P1563" s="3" t="s">
        <v>660</v>
      </c>
      <c r="Q1563" s="5" t="n">
        <v>4185.06</v>
      </c>
      <c r="R1563" s="3" t="n">
        <v>6</v>
      </c>
      <c r="S1563" s="6" t="n">
        <v>0.5</v>
      </c>
      <c r="T1563" s="5" t="n">
        <v>-1168.71</v>
      </c>
      <c r="U1563" s="3" t="str">
        <f aca="false">IF(T1563&lt;0,"Loss",IF(T1563=0,"Break-even","Profit"))</f>
        <v>Loss</v>
      </c>
      <c r="V1563" s="3" t="str">
        <f aca="false">IF(Q1563&lt;100,"Low",IF(Q1563&lt;=500,"Medium","High"))</f>
        <v>High</v>
      </c>
      <c r="W1563" s="3" t="n">
        <f aca="false">D1563-C1563</f>
        <v>4</v>
      </c>
      <c r="X1563" s="3" t="str">
        <f aca="false">TEXT(C1563,"mmmm")</f>
        <v>January</v>
      </c>
      <c r="Y1563" s="3" t="str">
        <f aca="false">LEFT(G1563,1)&amp;MID(G1563,FIND(" ",G1563)+1,1)</f>
        <v>OC</v>
      </c>
    </row>
    <row r="1564" customFormat="false" ht="15" hidden="false" customHeight="false" outlineLevel="0" collapsed="false">
      <c r="A1564" s="3" t="n">
        <v>1563</v>
      </c>
      <c r="B1564" s="3" t="s">
        <v>3391</v>
      </c>
      <c r="C1564" s="4" t="s">
        <v>3378</v>
      </c>
      <c r="D1564" s="4" t="s">
        <v>3392</v>
      </c>
      <c r="E1564" s="3" t="s">
        <v>28</v>
      </c>
      <c r="F1564" s="3" t="s">
        <v>2678</v>
      </c>
      <c r="G1564" s="3" t="s">
        <v>2679</v>
      </c>
      <c r="H1564" s="3" t="s">
        <v>56</v>
      </c>
      <c r="I1564" s="3" t="s">
        <v>32</v>
      </c>
      <c r="J1564" s="3" t="s">
        <v>663</v>
      </c>
      <c r="K1564" s="3" t="s">
        <v>307</v>
      </c>
      <c r="L1564" s="3" t="s">
        <v>69</v>
      </c>
      <c r="M1564" s="3" t="s">
        <v>190</v>
      </c>
      <c r="N1564" s="3" t="s">
        <v>49</v>
      </c>
      <c r="O1564" s="3" t="s">
        <v>150</v>
      </c>
      <c r="P1564" s="3" t="s">
        <v>191</v>
      </c>
      <c r="Q1564" s="5" t="n">
        <v>389.09</v>
      </c>
      <c r="R1564" s="3" t="n">
        <v>13</v>
      </c>
      <c r="S1564" s="6" t="n">
        <v>0.4</v>
      </c>
      <c r="T1564" s="5" t="n">
        <v>-112.85</v>
      </c>
      <c r="U1564" s="3" t="str">
        <f aca="false">IF(T1564&lt;0,"Loss",IF(T1564=0,"Break-even","Profit"))</f>
        <v>Loss</v>
      </c>
      <c r="V1564" s="3" t="str">
        <f aca="false">IF(Q1564&lt;100,"Low",IF(Q1564&lt;=500,"Medium","High"))</f>
        <v>Medium</v>
      </c>
      <c r="W1564" s="3" t="n">
        <f aca="false">D1564-C1564</f>
        <v>6</v>
      </c>
      <c r="X1564" s="3" t="str">
        <f aca="false">TEXT(C1564,"mmmm")</f>
        <v>January</v>
      </c>
      <c r="Y1564" s="3" t="str">
        <f aca="false">LEFT(G1564,1)&amp;MID(G1564,FIND(" ",G1564)+1,1)</f>
        <v>EM</v>
      </c>
    </row>
    <row r="1565" customFormat="false" ht="15" hidden="false" customHeight="false" outlineLevel="0" collapsed="false">
      <c r="A1565" s="3" t="n">
        <v>1564</v>
      </c>
      <c r="B1565" s="3" t="s">
        <v>3393</v>
      </c>
      <c r="C1565" s="4" t="s">
        <v>3378</v>
      </c>
      <c r="D1565" s="4" t="s">
        <v>3388</v>
      </c>
      <c r="E1565" s="3" t="s">
        <v>28</v>
      </c>
      <c r="F1565" s="3" t="s">
        <v>522</v>
      </c>
      <c r="G1565" s="3" t="s">
        <v>523</v>
      </c>
      <c r="H1565" s="3" t="s">
        <v>45</v>
      </c>
      <c r="I1565" s="3" t="s">
        <v>32</v>
      </c>
      <c r="J1565" s="3" t="s">
        <v>57</v>
      </c>
      <c r="K1565" s="3" t="s">
        <v>58</v>
      </c>
      <c r="L1565" s="3" t="s">
        <v>59</v>
      </c>
      <c r="M1565" s="3" t="s">
        <v>105</v>
      </c>
      <c r="N1565" s="3" t="s">
        <v>49</v>
      </c>
      <c r="O1565" s="3" t="s">
        <v>106</v>
      </c>
      <c r="P1565" s="3" t="s">
        <v>107</v>
      </c>
      <c r="Q1565" s="5" t="n">
        <v>51.76</v>
      </c>
      <c r="R1565" s="3" t="n">
        <v>8</v>
      </c>
      <c r="S1565" s="6" t="n">
        <v>0</v>
      </c>
      <c r="T1565" s="5" t="n">
        <v>-5.12</v>
      </c>
      <c r="U1565" s="3" t="str">
        <f aca="false">IF(T1565&lt;0,"Loss",IF(T1565=0,"Break-even","Profit"))</f>
        <v>Loss</v>
      </c>
      <c r="V1565" s="3" t="str">
        <f aca="false">IF(Q1565&lt;100,"Low",IF(Q1565&lt;=500,"Medium","High"))</f>
        <v>Low</v>
      </c>
      <c r="W1565" s="3" t="n">
        <f aca="false">D1565-C1565</f>
        <v>4</v>
      </c>
      <c r="X1565" s="3" t="str">
        <f aca="false">TEXT(C1565,"mmmm")</f>
        <v>January</v>
      </c>
      <c r="Y1565" s="3" t="str">
        <f aca="false">LEFT(G1565,1)&amp;MID(G1565,FIND(" ",G1565)+1,1)</f>
        <v>JS</v>
      </c>
    </row>
    <row r="1566" customFormat="false" ht="15" hidden="false" customHeight="false" outlineLevel="0" collapsed="false">
      <c r="A1566" s="3" t="n">
        <v>1565</v>
      </c>
      <c r="B1566" s="3" t="s">
        <v>3394</v>
      </c>
      <c r="C1566" s="4" t="s">
        <v>3390</v>
      </c>
      <c r="D1566" s="4" t="s">
        <v>3395</v>
      </c>
      <c r="E1566" s="3" t="s">
        <v>28</v>
      </c>
      <c r="F1566" s="3" t="s">
        <v>550</v>
      </c>
      <c r="G1566" s="3" t="s">
        <v>551</v>
      </c>
      <c r="H1566" s="3" t="s">
        <v>45</v>
      </c>
      <c r="I1566" s="3" t="s">
        <v>32</v>
      </c>
      <c r="J1566" s="3" t="s">
        <v>188</v>
      </c>
      <c r="K1566" s="3" t="s">
        <v>189</v>
      </c>
      <c r="L1566" s="3" t="s">
        <v>59</v>
      </c>
      <c r="M1566" s="3" t="s">
        <v>105</v>
      </c>
      <c r="N1566" s="3" t="s">
        <v>49</v>
      </c>
      <c r="O1566" s="3" t="s">
        <v>106</v>
      </c>
      <c r="P1566" s="3" t="s">
        <v>107</v>
      </c>
      <c r="Q1566" s="5" t="n">
        <v>1118.25</v>
      </c>
      <c r="R1566" s="3" t="n">
        <v>14</v>
      </c>
      <c r="S1566" s="6" t="n">
        <v>0.4</v>
      </c>
      <c r="T1566" s="5" t="n">
        <v>-61.97</v>
      </c>
      <c r="U1566" s="3" t="str">
        <f aca="false">IF(T1566&lt;0,"Loss",IF(T1566=0,"Break-even","Profit"))</f>
        <v>Loss</v>
      </c>
      <c r="V1566" s="3" t="str">
        <f aca="false">IF(Q1566&lt;100,"Low",IF(Q1566&lt;=500,"Medium","High"))</f>
        <v>High</v>
      </c>
      <c r="W1566" s="3" t="n">
        <f aca="false">D1566-C1566</f>
        <v>4</v>
      </c>
      <c r="X1566" s="3" t="str">
        <f aca="false">TEXT(C1566,"mmmm")</f>
        <v>January</v>
      </c>
      <c r="Y1566" s="3" t="str">
        <f aca="false">LEFT(G1566,1)&amp;MID(G1566,FIND(" ",G1566)+1,1)</f>
        <v>EM</v>
      </c>
    </row>
    <row r="1567" customFormat="false" ht="15" hidden="false" customHeight="false" outlineLevel="0" collapsed="false">
      <c r="A1567" s="3" t="n">
        <v>1566</v>
      </c>
      <c r="B1567" s="3" t="s">
        <v>3396</v>
      </c>
      <c r="C1567" s="4" t="s">
        <v>3397</v>
      </c>
      <c r="D1567" s="4" t="s">
        <v>3398</v>
      </c>
      <c r="E1567" s="3" t="s">
        <v>28</v>
      </c>
      <c r="F1567" s="3" t="s">
        <v>118</v>
      </c>
      <c r="G1567" s="3" t="s">
        <v>119</v>
      </c>
      <c r="H1567" s="3" t="s">
        <v>56</v>
      </c>
      <c r="I1567" s="3" t="s">
        <v>32</v>
      </c>
      <c r="J1567" s="3" t="s">
        <v>148</v>
      </c>
      <c r="K1567" s="3" t="s">
        <v>78</v>
      </c>
      <c r="L1567" s="3" t="s">
        <v>59</v>
      </c>
      <c r="M1567" s="3" t="s">
        <v>97</v>
      </c>
      <c r="N1567" s="3" t="s">
        <v>89</v>
      </c>
      <c r="O1567" s="3" t="s">
        <v>90</v>
      </c>
      <c r="P1567" s="3" t="s">
        <v>98</v>
      </c>
      <c r="Q1567" s="5" t="n">
        <v>1661.16</v>
      </c>
      <c r="R1567" s="3" t="n">
        <v>2</v>
      </c>
      <c r="S1567" s="6" t="n">
        <v>0.2</v>
      </c>
      <c r="T1567" s="5" t="n">
        <v>-421.39</v>
      </c>
      <c r="U1567" s="3" t="str">
        <f aca="false">IF(T1567&lt;0,"Loss",IF(T1567=0,"Break-even","Profit"))</f>
        <v>Loss</v>
      </c>
      <c r="V1567" s="3" t="str">
        <f aca="false">IF(Q1567&lt;100,"Low",IF(Q1567&lt;=500,"Medium","High"))</f>
        <v>High</v>
      </c>
      <c r="W1567" s="3" t="n">
        <f aca="false">D1567-C1567</f>
        <v>3</v>
      </c>
      <c r="X1567" s="3" t="str">
        <f aca="false">TEXT(C1567,"mmmm")</f>
        <v>January</v>
      </c>
      <c r="Y1567" s="3" t="str">
        <f aca="false">LEFT(G1567,1)&amp;MID(G1567,FIND(" ",G1567)+1,1)</f>
        <v>LN</v>
      </c>
    </row>
    <row r="1568" customFormat="false" ht="15" hidden="false" customHeight="false" outlineLevel="0" collapsed="false">
      <c r="A1568" s="3" t="n">
        <v>1567</v>
      </c>
      <c r="B1568" s="3" t="s">
        <v>3399</v>
      </c>
      <c r="C1568" s="4" t="s">
        <v>3392</v>
      </c>
      <c r="D1568" s="4" t="s">
        <v>3400</v>
      </c>
      <c r="E1568" s="3" t="s">
        <v>28</v>
      </c>
      <c r="F1568" s="3" t="s">
        <v>1599</v>
      </c>
      <c r="G1568" s="3" t="s">
        <v>1600</v>
      </c>
      <c r="H1568" s="3" t="s">
        <v>56</v>
      </c>
      <c r="I1568" s="3" t="s">
        <v>32</v>
      </c>
      <c r="J1568" s="3" t="s">
        <v>148</v>
      </c>
      <c r="K1568" s="3" t="s">
        <v>78</v>
      </c>
      <c r="L1568" s="3" t="s">
        <v>59</v>
      </c>
      <c r="M1568" s="3" t="s">
        <v>195</v>
      </c>
      <c r="N1568" s="3" t="s">
        <v>37</v>
      </c>
      <c r="O1568" s="3" t="s">
        <v>196</v>
      </c>
      <c r="P1568" s="3" t="s">
        <v>197</v>
      </c>
      <c r="Q1568" s="5" t="n">
        <v>13654.66</v>
      </c>
      <c r="R1568" s="3" t="n">
        <v>11</v>
      </c>
      <c r="S1568" s="6" t="n">
        <v>0.1</v>
      </c>
      <c r="T1568" s="5" t="n">
        <v>-2584.92</v>
      </c>
      <c r="U1568" s="3" t="str">
        <f aca="false">IF(T1568&lt;0,"Loss",IF(T1568=0,"Break-even","Profit"))</f>
        <v>Loss</v>
      </c>
      <c r="V1568" s="3" t="str">
        <f aca="false">IF(Q1568&lt;100,"Low",IF(Q1568&lt;=500,"Medium","High"))</f>
        <v>High</v>
      </c>
      <c r="W1568" s="3" t="n">
        <f aca="false">D1568-C1568</f>
        <v>3</v>
      </c>
      <c r="X1568" s="3" t="str">
        <f aca="false">TEXT(C1568,"mmmm")</f>
        <v>January</v>
      </c>
      <c r="Y1568" s="3" t="str">
        <f aca="false">LEFT(G1568,1)&amp;MID(G1568,FIND(" ",G1568)+1,1)</f>
        <v>JA</v>
      </c>
    </row>
    <row r="1569" customFormat="false" ht="15" hidden="false" customHeight="false" outlineLevel="0" collapsed="false">
      <c r="A1569" s="3" t="n">
        <v>1568</v>
      </c>
      <c r="B1569" s="3" t="s">
        <v>3401</v>
      </c>
      <c r="C1569" s="4" t="s">
        <v>3392</v>
      </c>
      <c r="D1569" s="4" t="s">
        <v>3402</v>
      </c>
      <c r="E1569" s="3" t="s">
        <v>28</v>
      </c>
      <c r="F1569" s="3" t="s">
        <v>2079</v>
      </c>
      <c r="G1569" s="3" t="s">
        <v>2080</v>
      </c>
      <c r="H1569" s="3" t="s">
        <v>56</v>
      </c>
      <c r="I1569" s="3" t="s">
        <v>32</v>
      </c>
      <c r="J1569" s="3" t="s">
        <v>104</v>
      </c>
      <c r="K1569" s="3" t="s">
        <v>96</v>
      </c>
      <c r="L1569" s="3" t="s">
        <v>59</v>
      </c>
      <c r="M1569" s="3" t="s">
        <v>334</v>
      </c>
      <c r="N1569" s="3" t="s">
        <v>37</v>
      </c>
      <c r="O1569" s="3" t="s">
        <v>136</v>
      </c>
      <c r="P1569" s="3" t="s">
        <v>335</v>
      </c>
      <c r="Q1569" s="5" t="n">
        <v>7667.85</v>
      </c>
      <c r="R1569" s="3" t="n">
        <v>14</v>
      </c>
      <c r="S1569" s="6" t="n">
        <v>0.2</v>
      </c>
      <c r="T1569" s="5" t="n">
        <v>288.04</v>
      </c>
      <c r="U1569" s="3" t="str">
        <f aca="false">IF(T1569&lt;0,"Loss",IF(T1569=0,"Break-even","Profit"))</f>
        <v>Profit</v>
      </c>
      <c r="V1569" s="3" t="str">
        <f aca="false">IF(Q1569&lt;100,"Low",IF(Q1569&lt;=500,"Medium","High"))</f>
        <v>High</v>
      </c>
      <c r="W1569" s="3" t="n">
        <f aca="false">D1569-C1569</f>
        <v>5</v>
      </c>
      <c r="X1569" s="3" t="str">
        <f aca="false">TEXT(C1569,"mmmm")</f>
        <v>January</v>
      </c>
      <c r="Y1569" s="3" t="str">
        <f aca="false">LEFT(G1569,1)&amp;MID(G1569,FIND(" ",G1569)+1,1)</f>
        <v>LD</v>
      </c>
    </row>
    <row r="1570" customFormat="false" ht="15" hidden="false" customHeight="false" outlineLevel="0" collapsed="false">
      <c r="A1570" s="3" t="n">
        <v>1569</v>
      </c>
      <c r="B1570" s="3" t="s">
        <v>3403</v>
      </c>
      <c r="C1570" s="4" t="s">
        <v>3398</v>
      </c>
      <c r="D1570" s="4" t="s">
        <v>3404</v>
      </c>
      <c r="E1570" s="3" t="s">
        <v>28</v>
      </c>
      <c r="F1570" s="3" t="s">
        <v>186</v>
      </c>
      <c r="G1570" s="3" t="s">
        <v>187</v>
      </c>
      <c r="H1570" s="3" t="s">
        <v>56</v>
      </c>
      <c r="I1570" s="3" t="s">
        <v>32</v>
      </c>
      <c r="J1570" s="3" t="s">
        <v>299</v>
      </c>
      <c r="K1570" s="3" t="s">
        <v>189</v>
      </c>
      <c r="L1570" s="3" t="s">
        <v>59</v>
      </c>
      <c r="M1570" s="3" t="s">
        <v>225</v>
      </c>
      <c r="N1570" s="3" t="s">
        <v>37</v>
      </c>
      <c r="O1570" s="3" t="s">
        <v>196</v>
      </c>
      <c r="P1570" s="3" t="s">
        <v>226</v>
      </c>
      <c r="Q1570" s="5" t="n">
        <v>4156.75</v>
      </c>
      <c r="R1570" s="3" t="n">
        <v>6</v>
      </c>
      <c r="S1570" s="6" t="n">
        <v>0</v>
      </c>
      <c r="T1570" s="5" t="n">
        <v>-1028.29</v>
      </c>
      <c r="U1570" s="3" t="str">
        <f aca="false">IF(T1570&lt;0,"Loss",IF(T1570=0,"Break-even","Profit"))</f>
        <v>Loss</v>
      </c>
      <c r="V1570" s="3" t="str">
        <f aca="false">IF(Q1570&lt;100,"Low",IF(Q1570&lt;=500,"Medium","High"))</f>
        <v>High</v>
      </c>
      <c r="W1570" s="3" t="n">
        <f aca="false">D1570-C1570</f>
        <v>5</v>
      </c>
      <c r="X1570" s="3" t="str">
        <f aca="false">TEXT(C1570,"mmmm")</f>
        <v>January</v>
      </c>
      <c r="Y1570" s="3" t="str">
        <f aca="false">LEFT(G1570,1)&amp;MID(G1570,FIND(" ",G1570)+1,1)</f>
        <v>PW</v>
      </c>
    </row>
    <row r="1571" customFormat="false" ht="15" hidden="false" customHeight="false" outlineLevel="0" collapsed="false">
      <c r="A1571" s="3" t="n">
        <v>1570</v>
      </c>
      <c r="B1571" s="3" t="s">
        <v>3405</v>
      </c>
      <c r="C1571" s="4" t="s">
        <v>3400</v>
      </c>
      <c r="D1571" s="4" t="s">
        <v>3406</v>
      </c>
      <c r="E1571" s="3" t="s">
        <v>28</v>
      </c>
      <c r="F1571" s="3" t="s">
        <v>1134</v>
      </c>
      <c r="G1571" s="3" t="s">
        <v>1135</v>
      </c>
      <c r="H1571" s="3" t="s">
        <v>31</v>
      </c>
      <c r="I1571" s="3" t="s">
        <v>32</v>
      </c>
      <c r="J1571" s="3" t="s">
        <v>112</v>
      </c>
      <c r="K1571" s="3" t="s">
        <v>113</v>
      </c>
      <c r="L1571" s="3" t="s">
        <v>69</v>
      </c>
      <c r="M1571" s="3" t="s">
        <v>127</v>
      </c>
      <c r="N1571" s="3" t="s">
        <v>49</v>
      </c>
      <c r="O1571" s="3" t="s">
        <v>61</v>
      </c>
      <c r="P1571" s="3" t="s">
        <v>128</v>
      </c>
      <c r="Q1571" s="5" t="n">
        <v>203.3</v>
      </c>
      <c r="R1571" s="3" t="n">
        <v>3</v>
      </c>
      <c r="S1571" s="6" t="n">
        <v>0</v>
      </c>
      <c r="T1571" s="5" t="n">
        <v>-12.08</v>
      </c>
      <c r="U1571" s="3" t="str">
        <f aca="false">IF(T1571&lt;0,"Loss",IF(T1571=0,"Break-even","Profit"))</f>
        <v>Loss</v>
      </c>
      <c r="V1571" s="3" t="str">
        <f aca="false">IF(Q1571&lt;100,"Low",IF(Q1571&lt;=500,"Medium","High"))</f>
        <v>Medium</v>
      </c>
      <c r="W1571" s="3" t="n">
        <f aca="false">D1571-C1571</f>
        <v>7</v>
      </c>
      <c r="X1571" s="3" t="str">
        <f aca="false">TEXT(C1571,"mmmm")</f>
        <v>January</v>
      </c>
      <c r="Y1571" s="3" t="str">
        <f aca="false">LEFT(G1571,1)&amp;MID(G1571,FIND(" ",G1571)+1,1)</f>
        <v>JM</v>
      </c>
    </row>
    <row r="1572" customFormat="false" ht="15" hidden="false" customHeight="false" outlineLevel="0" collapsed="false">
      <c r="A1572" s="3" t="n">
        <v>1571</v>
      </c>
      <c r="B1572" s="3" t="s">
        <v>3407</v>
      </c>
      <c r="C1572" s="4" t="s">
        <v>3400</v>
      </c>
      <c r="D1572" s="4" t="s">
        <v>3404</v>
      </c>
      <c r="E1572" s="3" t="s">
        <v>28</v>
      </c>
      <c r="F1572" s="3" t="s">
        <v>511</v>
      </c>
      <c r="G1572" s="3" t="s">
        <v>512</v>
      </c>
      <c r="H1572" s="3" t="s">
        <v>45</v>
      </c>
      <c r="I1572" s="3" t="s">
        <v>32</v>
      </c>
      <c r="J1572" s="3" t="s">
        <v>171</v>
      </c>
      <c r="K1572" s="3" t="s">
        <v>172</v>
      </c>
      <c r="L1572" s="3" t="s">
        <v>157</v>
      </c>
      <c r="M1572" s="3" t="s">
        <v>135</v>
      </c>
      <c r="N1572" s="3" t="s">
        <v>37</v>
      </c>
      <c r="O1572" s="3" t="s">
        <v>136</v>
      </c>
      <c r="P1572" s="3" t="s">
        <v>137</v>
      </c>
      <c r="Q1572" s="5" t="n">
        <v>15929.38</v>
      </c>
      <c r="R1572" s="3" t="n">
        <v>9</v>
      </c>
      <c r="S1572" s="6" t="n">
        <v>0</v>
      </c>
      <c r="T1572" s="5" t="n">
        <v>4468.95</v>
      </c>
      <c r="U1572" s="3" t="str">
        <f aca="false">IF(T1572&lt;0,"Loss",IF(T1572=0,"Break-even","Profit"))</f>
        <v>Profit</v>
      </c>
      <c r="V1572" s="3" t="str">
        <f aca="false">IF(Q1572&lt;100,"Low",IF(Q1572&lt;=500,"Medium","High"))</f>
        <v>High</v>
      </c>
      <c r="W1572" s="3" t="n">
        <f aca="false">D1572-C1572</f>
        <v>4</v>
      </c>
      <c r="X1572" s="3" t="str">
        <f aca="false">TEXT(C1572,"mmmm")</f>
        <v>January</v>
      </c>
      <c r="Y1572" s="3" t="str">
        <f aca="false">LEFT(G1572,1)&amp;MID(G1572,FIND(" ",G1572)+1,1)</f>
        <v>JN</v>
      </c>
    </row>
    <row r="1573" customFormat="false" ht="15" hidden="false" customHeight="false" outlineLevel="0" collapsed="false">
      <c r="A1573" s="3" t="n">
        <v>1572</v>
      </c>
      <c r="B1573" s="3" t="s">
        <v>3408</v>
      </c>
      <c r="C1573" s="4" t="s">
        <v>3409</v>
      </c>
      <c r="D1573" s="4" t="s">
        <v>3402</v>
      </c>
      <c r="E1573" s="3" t="s">
        <v>42</v>
      </c>
      <c r="F1573" s="3" t="s">
        <v>2876</v>
      </c>
      <c r="G1573" s="3" t="s">
        <v>2877</v>
      </c>
      <c r="H1573" s="3" t="s">
        <v>45</v>
      </c>
      <c r="I1573" s="3" t="s">
        <v>32</v>
      </c>
      <c r="J1573" s="3" t="s">
        <v>365</v>
      </c>
      <c r="K1573" s="3" t="s">
        <v>366</v>
      </c>
      <c r="L1573" s="3" t="s">
        <v>157</v>
      </c>
      <c r="M1573" s="3" t="s">
        <v>334</v>
      </c>
      <c r="N1573" s="3" t="s">
        <v>37</v>
      </c>
      <c r="O1573" s="3" t="s">
        <v>136</v>
      </c>
      <c r="P1573" s="3" t="s">
        <v>335</v>
      </c>
      <c r="Q1573" s="5" t="n">
        <v>530.37</v>
      </c>
      <c r="R1573" s="3" t="n">
        <v>1</v>
      </c>
      <c r="S1573" s="6" t="n">
        <v>0.5</v>
      </c>
      <c r="T1573" s="5" t="n">
        <v>-136.77</v>
      </c>
      <c r="U1573" s="3" t="str">
        <f aca="false">IF(T1573&lt;0,"Loss",IF(T1573=0,"Break-even","Profit"))</f>
        <v>Loss</v>
      </c>
      <c r="V1573" s="3" t="str">
        <f aca="false">IF(Q1573&lt;100,"Low",IF(Q1573&lt;=500,"Medium","High"))</f>
        <v>High</v>
      </c>
      <c r="W1573" s="3" t="n">
        <f aca="false">D1573-C1573</f>
        <v>1</v>
      </c>
      <c r="X1573" s="3" t="str">
        <f aca="false">TEXT(C1573,"mmmm")</f>
        <v>January</v>
      </c>
      <c r="Y1573" s="3" t="str">
        <f aca="false">LEFT(G1573,1)&amp;MID(G1573,FIND(" ",G1573)+1,1)</f>
        <v>JT</v>
      </c>
    </row>
    <row r="1574" customFormat="false" ht="15" hidden="false" customHeight="false" outlineLevel="0" collapsed="false">
      <c r="A1574" s="3" t="n">
        <v>1573</v>
      </c>
      <c r="B1574" s="3" t="s">
        <v>3410</v>
      </c>
      <c r="C1574" s="4" t="s">
        <v>3409</v>
      </c>
      <c r="D1574" s="4" t="s">
        <v>3411</v>
      </c>
      <c r="E1574" s="3" t="s">
        <v>28</v>
      </c>
      <c r="F1574" s="3" t="s">
        <v>602</v>
      </c>
      <c r="G1574" s="3" t="s">
        <v>603</v>
      </c>
      <c r="H1574" s="3" t="s">
        <v>56</v>
      </c>
      <c r="I1574" s="3" t="s">
        <v>32</v>
      </c>
      <c r="J1574" s="3" t="s">
        <v>548</v>
      </c>
      <c r="K1574" s="3" t="s">
        <v>244</v>
      </c>
      <c r="L1574" s="3" t="s">
        <v>157</v>
      </c>
      <c r="M1574" s="3" t="s">
        <v>149</v>
      </c>
      <c r="N1574" s="3" t="s">
        <v>49</v>
      </c>
      <c r="O1574" s="3" t="s">
        <v>150</v>
      </c>
      <c r="P1574" s="3" t="s">
        <v>151</v>
      </c>
      <c r="Q1574" s="5" t="n">
        <v>768.65</v>
      </c>
      <c r="R1574" s="3" t="n">
        <v>14</v>
      </c>
      <c r="S1574" s="6" t="n">
        <v>0.1</v>
      </c>
      <c r="T1574" s="5" t="n">
        <v>237.92</v>
      </c>
      <c r="U1574" s="3" t="str">
        <f aca="false">IF(T1574&lt;0,"Loss",IF(T1574=0,"Break-even","Profit"))</f>
        <v>Profit</v>
      </c>
      <c r="V1574" s="3" t="str">
        <f aca="false">IF(Q1574&lt;100,"Low",IF(Q1574&lt;=500,"Medium","High"))</f>
        <v>High</v>
      </c>
      <c r="W1574" s="3" t="n">
        <f aca="false">D1574-C1574</f>
        <v>7</v>
      </c>
      <c r="X1574" s="3" t="str">
        <f aca="false">TEXT(C1574,"mmmm")</f>
        <v>January</v>
      </c>
      <c r="Y1574" s="3" t="str">
        <f aca="false">LEFT(G1574,1)&amp;MID(G1574,FIND(" ",G1574)+1,1)</f>
        <v>SR</v>
      </c>
    </row>
    <row r="1575" customFormat="false" ht="15" hidden="false" customHeight="false" outlineLevel="0" collapsed="false">
      <c r="A1575" s="3" t="n">
        <v>1574</v>
      </c>
      <c r="B1575" s="3" t="s">
        <v>3412</v>
      </c>
      <c r="C1575" s="4" t="s">
        <v>3409</v>
      </c>
      <c r="D1575" s="4" t="s">
        <v>3413</v>
      </c>
      <c r="E1575" s="3" t="s">
        <v>84</v>
      </c>
      <c r="F1575" s="3" t="s">
        <v>644</v>
      </c>
      <c r="G1575" s="3" t="s">
        <v>645</v>
      </c>
      <c r="H1575" s="3" t="s">
        <v>56</v>
      </c>
      <c r="I1575" s="3" t="s">
        <v>32</v>
      </c>
      <c r="J1575" s="3" t="s">
        <v>33</v>
      </c>
      <c r="K1575" s="3" t="s">
        <v>34</v>
      </c>
      <c r="L1575" s="3" t="s">
        <v>35</v>
      </c>
      <c r="M1575" s="3" t="s">
        <v>173</v>
      </c>
      <c r="N1575" s="3" t="s">
        <v>89</v>
      </c>
      <c r="O1575" s="3" t="s">
        <v>174</v>
      </c>
      <c r="P1575" s="3" t="s">
        <v>175</v>
      </c>
      <c r="Q1575" s="5" t="n">
        <v>3956.65</v>
      </c>
      <c r="R1575" s="3" t="n">
        <v>8</v>
      </c>
      <c r="S1575" s="6" t="n">
        <v>0.4</v>
      </c>
      <c r="T1575" s="5" t="n">
        <v>-83.16</v>
      </c>
      <c r="U1575" s="3" t="str">
        <f aca="false">IF(T1575&lt;0,"Loss",IF(T1575=0,"Break-even","Profit"))</f>
        <v>Loss</v>
      </c>
      <c r="V1575" s="3" t="str">
        <f aca="false">IF(Q1575&lt;100,"Low",IF(Q1575&lt;=500,"Medium","High"))</f>
        <v>High</v>
      </c>
      <c r="W1575" s="3" t="n">
        <f aca="false">D1575-C1575</f>
        <v>4</v>
      </c>
      <c r="X1575" s="3" t="str">
        <f aca="false">TEXT(C1575,"mmmm")</f>
        <v>January</v>
      </c>
      <c r="Y1575" s="3" t="str">
        <f aca="false">LEFT(G1575,1)&amp;MID(G1575,FIND(" ",G1575)+1,1)</f>
        <v>LJ</v>
      </c>
    </row>
    <row r="1576" customFormat="false" ht="15" hidden="false" customHeight="false" outlineLevel="0" collapsed="false">
      <c r="A1576" s="3" t="n">
        <v>1575</v>
      </c>
      <c r="B1576" s="3" t="s">
        <v>3414</v>
      </c>
      <c r="C1576" s="4" t="s">
        <v>3402</v>
      </c>
      <c r="D1576" s="4" t="s">
        <v>3406</v>
      </c>
      <c r="E1576" s="3" t="s">
        <v>28</v>
      </c>
      <c r="F1576" s="3" t="s">
        <v>2647</v>
      </c>
      <c r="G1576" s="3" t="s">
        <v>2648</v>
      </c>
      <c r="H1576" s="3" t="s">
        <v>56</v>
      </c>
      <c r="I1576" s="3" t="s">
        <v>32</v>
      </c>
      <c r="J1576" s="3" t="s">
        <v>415</v>
      </c>
      <c r="K1576" s="3" t="s">
        <v>202</v>
      </c>
      <c r="L1576" s="3" t="s">
        <v>35</v>
      </c>
      <c r="M1576" s="3" t="s">
        <v>48</v>
      </c>
      <c r="N1576" s="3" t="s">
        <v>49</v>
      </c>
      <c r="O1576" s="3" t="s">
        <v>50</v>
      </c>
      <c r="P1576" s="3" t="s">
        <v>51</v>
      </c>
      <c r="Q1576" s="5" t="n">
        <v>29.59</v>
      </c>
      <c r="R1576" s="3" t="n">
        <v>14</v>
      </c>
      <c r="S1576" s="6" t="n">
        <v>0</v>
      </c>
      <c r="T1576" s="5" t="n">
        <v>9.08</v>
      </c>
      <c r="U1576" s="3" t="str">
        <f aca="false">IF(T1576&lt;0,"Loss",IF(T1576=0,"Break-even","Profit"))</f>
        <v>Profit</v>
      </c>
      <c r="V1576" s="3" t="str">
        <f aca="false">IF(Q1576&lt;100,"Low",IF(Q1576&lt;=500,"Medium","High"))</f>
        <v>Low</v>
      </c>
      <c r="W1576" s="3" t="n">
        <f aca="false">D1576-C1576</f>
        <v>5</v>
      </c>
      <c r="X1576" s="3" t="str">
        <f aca="false">TEXT(C1576,"mmmm")</f>
        <v>January</v>
      </c>
      <c r="Y1576" s="3" t="str">
        <f aca="false">LEFT(G1576,1)&amp;MID(G1576,FIND(" ",G1576)+1,1)</f>
        <v>EJ</v>
      </c>
    </row>
    <row r="1577" customFormat="false" ht="15" hidden="false" customHeight="false" outlineLevel="0" collapsed="false">
      <c r="A1577" s="3" t="n">
        <v>1576</v>
      </c>
      <c r="B1577" s="3" t="s">
        <v>3415</v>
      </c>
      <c r="C1577" s="4" t="s">
        <v>3402</v>
      </c>
      <c r="D1577" s="4" t="s">
        <v>3416</v>
      </c>
      <c r="E1577" s="3" t="s">
        <v>28</v>
      </c>
      <c r="F1577" s="3" t="s">
        <v>835</v>
      </c>
      <c r="G1577" s="3" t="s">
        <v>836</v>
      </c>
      <c r="H1577" s="3" t="s">
        <v>45</v>
      </c>
      <c r="I1577" s="3" t="s">
        <v>32</v>
      </c>
      <c r="J1577" s="3" t="s">
        <v>873</v>
      </c>
      <c r="K1577" s="3" t="s">
        <v>387</v>
      </c>
      <c r="L1577" s="3" t="s">
        <v>35</v>
      </c>
      <c r="M1577" s="3" t="s">
        <v>420</v>
      </c>
      <c r="N1577" s="3" t="s">
        <v>49</v>
      </c>
      <c r="O1577" s="3" t="s">
        <v>80</v>
      </c>
      <c r="P1577" s="3" t="s">
        <v>421</v>
      </c>
      <c r="Q1577" s="5" t="n">
        <v>574.78</v>
      </c>
      <c r="R1577" s="3" t="n">
        <v>7</v>
      </c>
      <c r="S1577" s="6" t="n">
        <v>0.3</v>
      </c>
      <c r="T1577" s="5" t="n">
        <v>-131.59</v>
      </c>
      <c r="U1577" s="3" t="str">
        <f aca="false">IF(T1577&lt;0,"Loss",IF(T1577=0,"Break-even","Profit"))</f>
        <v>Loss</v>
      </c>
      <c r="V1577" s="3" t="str">
        <f aca="false">IF(Q1577&lt;100,"Low",IF(Q1577&lt;=500,"Medium","High"))</f>
        <v>High</v>
      </c>
      <c r="W1577" s="3" t="n">
        <f aca="false">D1577-C1577</f>
        <v>4</v>
      </c>
      <c r="X1577" s="3" t="str">
        <f aca="false">TEXT(C1577,"mmmm")</f>
        <v>January</v>
      </c>
      <c r="Y1577" s="3" t="str">
        <f aca="false">LEFT(G1577,1)&amp;MID(G1577,FIND(" ",G1577)+1,1)</f>
        <v>AN</v>
      </c>
    </row>
    <row r="1578" customFormat="false" ht="15" hidden="false" customHeight="false" outlineLevel="0" collapsed="false">
      <c r="A1578" s="3" t="n">
        <v>1577</v>
      </c>
      <c r="B1578" s="3" t="s">
        <v>3417</v>
      </c>
      <c r="C1578" s="4" t="s">
        <v>3402</v>
      </c>
      <c r="D1578" s="4" t="s">
        <v>3416</v>
      </c>
      <c r="E1578" s="3" t="s">
        <v>28</v>
      </c>
      <c r="F1578" s="3" t="s">
        <v>338</v>
      </c>
      <c r="G1578" s="3" t="s">
        <v>339</v>
      </c>
      <c r="H1578" s="3" t="s">
        <v>31</v>
      </c>
      <c r="I1578" s="3" t="s">
        <v>32</v>
      </c>
      <c r="J1578" s="3" t="s">
        <v>155</v>
      </c>
      <c r="K1578" s="3" t="s">
        <v>156</v>
      </c>
      <c r="L1578" s="3" t="s">
        <v>157</v>
      </c>
      <c r="M1578" s="3" t="s">
        <v>290</v>
      </c>
      <c r="N1578" s="3" t="s">
        <v>37</v>
      </c>
      <c r="O1578" s="3" t="s">
        <v>38</v>
      </c>
      <c r="P1578" s="3" t="s">
        <v>291</v>
      </c>
      <c r="Q1578" s="5" t="n">
        <v>6322.26</v>
      </c>
      <c r="R1578" s="3" t="n">
        <v>4</v>
      </c>
      <c r="S1578" s="6" t="n">
        <v>0.2</v>
      </c>
      <c r="T1578" s="5" t="n">
        <v>-1312.73</v>
      </c>
      <c r="U1578" s="3" t="str">
        <f aca="false">IF(T1578&lt;0,"Loss",IF(T1578=0,"Break-even","Profit"))</f>
        <v>Loss</v>
      </c>
      <c r="V1578" s="3" t="str">
        <f aca="false">IF(Q1578&lt;100,"Low",IF(Q1578&lt;=500,"Medium","High"))</f>
        <v>High</v>
      </c>
      <c r="W1578" s="3" t="n">
        <f aca="false">D1578-C1578</f>
        <v>4</v>
      </c>
      <c r="X1578" s="3" t="str">
        <f aca="false">TEXT(C1578,"mmmm")</f>
        <v>January</v>
      </c>
      <c r="Y1578" s="3" t="str">
        <f aca="false">LEFT(G1578,1)&amp;MID(G1578,FIND(" ",G1578)+1,1)</f>
        <v>DS</v>
      </c>
    </row>
    <row r="1579" customFormat="false" ht="15" hidden="false" customHeight="false" outlineLevel="0" collapsed="false">
      <c r="A1579" s="3" t="n">
        <v>1578</v>
      </c>
      <c r="B1579" s="3" t="s">
        <v>3418</v>
      </c>
      <c r="C1579" s="4" t="s">
        <v>3419</v>
      </c>
      <c r="D1579" s="4" t="s">
        <v>3416</v>
      </c>
      <c r="E1579" s="3" t="s">
        <v>28</v>
      </c>
      <c r="F1579" s="3" t="s">
        <v>3420</v>
      </c>
      <c r="G1579" s="3" t="s">
        <v>3421</v>
      </c>
      <c r="H1579" s="3" t="s">
        <v>56</v>
      </c>
      <c r="I1579" s="3" t="s">
        <v>32</v>
      </c>
      <c r="J1579" s="3" t="s">
        <v>285</v>
      </c>
      <c r="K1579" s="3" t="s">
        <v>202</v>
      </c>
      <c r="L1579" s="3" t="s">
        <v>35</v>
      </c>
      <c r="M1579" s="3" t="s">
        <v>470</v>
      </c>
      <c r="N1579" s="3" t="s">
        <v>49</v>
      </c>
      <c r="O1579" s="3" t="s">
        <v>159</v>
      </c>
      <c r="P1579" s="3" t="s">
        <v>471</v>
      </c>
      <c r="Q1579" s="5" t="n">
        <v>350.34</v>
      </c>
      <c r="R1579" s="3" t="n">
        <v>11</v>
      </c>
      <c r="S1579" s="6" t="n">
        <v>0.1</v>
      </c>
      <c r="T1579" s="5" t="n">
        <v>34.03</v>
      </c>
      <c r="U1579" s="3" t="str">
        <f aca="false">IF(T1579&lt;0,"Loss",IF(T1579=0,"Break-even","Profit"))</f>
        <v>Profit</v>
      </c>
      <c r="V1579" s="3" t="str">
        <f aca="false">IF(Q1579&lt;100,"Low",IF(Q1579&lt;=500,"Medium","High"))</f>
        <v>Medium</v>
      </c>
      <c r="W1579" s="3" t="n">
        <f aca="false">D1579-C1579</f>
        <v>3</v>
      </c>
      <c r="X1579" s="3" t="str">
        <f aca="false">TEXT(C1579,"mmmm")</f>
        <v>January</v>
      </c>
      <c r="Y1579" s="3" t="str">
        <f aca="false">LEFT(G1579,1)&amp;MID(G1579,FIND(" ",G1579)+1,1)</f>
        <v>JT</v>
      </c>
    </row>
    <row r="1580" customFormat="false" ht="15" hidden="false" customHeight="false" outlineLevel="0" collapsed="false">
      <c r="A1580" s="3" t="n">
        <v>1579</v>
      </c>
      <c r="B1580" s="3" t="s">
        <v>3422</v>
      </c>
      <c r="C1580" s="4" t="s">
        <v>3413</v>
      </c>
      <c r="D1580" s="4" t="s">
        <v>3406</v>
      </c>
      <c r="E1580" s="3" t="s">
        <v>42</v>
      </c>
      <c r="F1580" s="3" t="s">
        <v>359</v>
      </c>
      <c r="G1580" s="3" t="s">
        <v>360</v>
      </c>
      <c r="H1580" s="3" t="s">
        <v>56</v>
      </c>
      <c r="I1580" s="3" t="s">
        <v>32</v>
      </c>
      <c r="J1580" s="3" t="s">
        <v>548</v>
      </c>
      <c r="K1580" s="3" t="s">
        <v>244</v>
      </c>
      <c r="L1580" s="3" t="s">
        <v>157</v>
      </c>
      <c r="M1580" s="3" t="s">
        <v>209</v>
      </c>
      <c r="N1580" s="3" t="s">
        <v>49</v>
      </c>
      <c r="O1580" s="3" t="s">
        <v>106</v>
      </c>
      <c r="P1580" s="3" t="s">
        <v>210</v>
      </c>
      <c r="Q1580" s="5" t="n">
        <v>822.54</v>
      </c>
      <c r="R1580" s="3" t="n">
        <v>9</v>
      </c>
      <c r="S1580" s="6" t="n">
        <v>0.3</v>
      </c>
      <c r="T1580" s="5" t="n">
        <v>24.67</v>
      </c>
      <c r="U1580" s="3" t="str">
        <f aca="false">IF(T1580&lt;0,"Loss",IF(T1580=0,"Break-even","Profit"))</f>
        <v>Profit</v>
      </c>
      <c r="V1580" s="3" t="str">
        <f aca="false">IF(Q1580&lt;100,"Low",IF(Q1580&lt;=500,"Medium","High"))</f>
        <v>High</v>
      </c>
      <c r="W1580" s="3" t="n">
        <f aca="false">D1580-C1580</f>
        <v>2</v>
      </c>
      <c r="X1580" s="3" t="str">
        <f aca="false">TEXT(C1580,"mmmm")</f>
        <v>January</v>
      </c>
      <c r="Y1580" s="3" t="str">
        <f aca="false">LEFT(G1580,1)&amp;MID(G1580,FIND(" ",G1580)+1,1)</f>
        <v>MM</v>
      </c>
    </row>
    <row r="1581" customFormat="false" ht="15" hidden="false" customHeight="false" outlineLevel="0" collapsed="false">
      <c r="A1581" s="3" t="n">
        <v>1580</v>
      </c>
      <c r="B1581" s="3" t="s">
        <v>3423</v>
      </c>
      <c r="C1581" s="4" t="s">
        <v>3413</v>
      </c>
      <c r="D1581" s="4" t="s">
        <v>3424</v>
      </c>
      <c r="E1581" s="3" t="s">
        <v>28</v>
      </c>
      <c r="F1581" s="3" t="s">
        <v>1395</v>
      </c>
      <c r="G1581" s="3" t="s">
        <v>1396</v>
      </c>
      <c r="H1581" s="3" t="s">
        <v>31</v>
      </c>
      <c r="I1581" s="3" t="s">
        <v>32</v>
      </c>
      <c r="J1581" s="3" t="s">
        <v>365</v>
      </c>
      <c r="K1581" s="3" t="s">
        <v>366</v>
      </c>
      <c r="L1581" s="3" t="s">
        <v>157</v>
      </c>
      <c r="M1581" s="3" t="s">
        <v>88</v>
      </c>
      <c r="N1581" s="3" t="s">
        <v>89</v>
      </c>
      <c r="O1581" s="3" t="s">
        <v>90</v>
      </c>
      <c r="P1581" s="3" t="s">
        <v>91</v>
      </c>
      <c r="Q1581" s="5" t="n">
        <v>4228.53</v>
      </c>
      <c r="R1581" s="3" t="n">
        <v>8</v>
      </c>
      <c r="S1581" s="6" t="n">
        <v>0</v>
      </c>
      <c r="T1581" s="5" t="n">
        <v>-93.46</v>
      </c>
      <c r="U1581" s="3" t="str">
        <f aca="false">IF(T1581&lt;0,"Loss",IF(T1581=0,"Break-even","Profit"))</f>
        <v>Loss</v>
      </c>
      <c r="V1581" s="3" t="str">
        <f aca="false">IF(Q1581&lt;100,"Low",IF(Q1581&lt;=500,"Medium","High"))</f>
        <v>High</v>
      </c>
      <c r="W1581" s="3" t="n">
        <f aca="false">D1581-C1581</f>
        <v>5</v>
      </c>
      <c r="X1581" s="3" t="str">
        <f aca="false">TEXT(C1581,"mmmm")</f>
        <v>January</v>
      </c>
      <c r="Y1581" s="3" t="str">
        <f aca="false">LEFT(G1581,1)&amp;MID(G1581,FIND(" ",G1581)+1,1)</f>
        <v>LM</v>
      </c>
    </row>
    <row r="1582" customFormat="false" ht="15" hidden="false" customHeight="false" outlineLevel="0" collapsed="false">
      <c r="A1582" s="3" t="n">
        <v>1581</v>
      </c>
      <c r="B1582" s="3" t="s">
        <v>3425</v>
      </c>
      <c r="C1582" s="4" t="s">
        <v>3406</v>
      </c>
      <c r="D1582" s="4" t="s">
        <v>3426</v>
      </c>
      <c r="E1582" s="3" t="s">
        <v>28</v>
      </c>
      <c r="F1582" s="3" t="s">
        <v>397</v>
      </c>
      <c r="G1582" s="3" t="s">
        <v>398</v>
      </c>
      <c r="H1582" s="3" t="s">
        <v>56</v>
      </c>
      <c r="I1582" s="3" t="s">
        <v>32</v>
      </c>
      <c r="J1582" s="3" t="s">
        <v>476</v>
      </c>
      <c r="K1582" s="3" t="s">
        <v>366</v>
      </c>
      <c r="L1582" s="3" t="s">
        <v>157</v>
      </c>
      <c r="M1582" s="3" t="s">
        <v>683</v>
      </c>
      <c r="N1582" s="3" t="s">
        <v>37</v>
      </c>
      <c r="O1582" s="3" t="s">
        <v>136</v>
      </c>
      <c r="P1582" s="3" t="s">
        <v>684</v>
      </c>
      <c r="Q1582" s="5" t="n">
        <v>3212.25</v>
      </c>
      <c r="R1582" s="3" t="n">
        <v>11</v>
      </c>
      <c r="S1582" s="6" t="n">
        <v>0.1</v>
      </c>
      <c r="T1582" s="5" t="n">
        <v>-173.2</v>
      </c>
      <c r="U1582" s="3" t="str">
        <f aca="false">IF(T1582&lt;0,"Loss",IF(T1582=0,"Break-even","Profit"))</f>
        <v>Loss</v>
      </c>
      <c r="V1582" s="3" t="str">
        <f aca="false">IF(Q1582&lt;100,"Low",IF(Q1582&lt;=500,"Medium","High"))</f>
        <v>High</v>
      </c>
      <c r="W1582" s="3" t="n">
        <f aca="false">D1582-C1582</f>
        <v>6</v>
      </c>
      <c r="X1582" s="3" t="str">
        <f aca="false">TEXT(C1582,"mmmm")</f>
        <v>January</v>
      </c>
      <c r="Y1582" s="3" t="str">
        <f aca="false">LEFT(G1582,1)&amp;MID(G1582,FIND(" ",G1582)+1,1)</f>
        <v>DN</v>
      </c>
    </row>
    <row r="1583" customFormat="false" ht="15" hidden="false" customHeight="false" outlineLevel="0" collapsed="false">
      <c r="A1583" s="3" t="n">
        <v>1582</v>
      </c>
      <c r="B1583" s="3" t="s">
        <v>3427</v>
      </c>
      <c r="C1583" s="4" t="s">
        <v>3406</v>
      </c>
      <c r="D1583" s="4" t="s">
        <v>3428</v>
      </c>
      <c r="E1583" s="3" t="s">
        <v>28</v>
      </c>
      <c r="F1583" s="3" t="s">
        <v>1333</v>
      </c>
      <c r="G1583" s="3" t="s">
        <v>1334</v>
      </c>
      <c r="H1583" s="3" t="s">
        <v>56</v>
      </c>
      <c r="I1583" s="3" t="s">
        <v>32</v>
      </c>
      <c r="J1583" s="3" t="s">
        <v>95</v>
      </c>
      <c r="K1583" s="3" t="s">
        <v>96</v>
      </c>
      <c r="L1583" s="3" t="s">
        <v>59</v>
      </c>
      <c r="M1583" s="3" t="s">
        <v>447</v>
      </c>
      <c r="N1583" s="3" t="s">
        <v>89</v>
      </c>
      <c r="O1583" s="3" t="s">
        <v>323</v>
      </c>
      <c r="P1583" s="3" t="s">
        <v>448</v>
      </c>
      <c r="Q1583" s="5" t="n">
        <v>1330.26</v>
      </c>
      <c r="R1583" s="3" t="n">
        <v>4</v>
      </c>
      <c r="S1583" s="6" t="n">
        <v>0</v>
      </c>
      <c r="T1583" s="5" t="n">
        <v>456.03</v>
      </c>
      <c r="U1583" s="3" t="str">
        <f aca="false">IF(T1583&lt;0,"Loss",IF(T1583=0,"Break-even","Profit"))</f>
        <v>Profit</v>
      </c>
      <c r="V1583" s="3" t="str">
        <f aca="false">IF(Q1583&lt;100,"Low",IF(Q1583&lt;=500,"Medium","High"))</f>
        <v>High</v>
      </c>
      <c r="W1583" s="3" t="n">
        <f aca="false">D1583-C1583</f>
        <v>4</v>
      </c>
      <c r="X1583" s="3" t="str">
        <f aca="false">TEXT(C1583,"mmmm")</f>
        <v>January</v>
      </c>
      <c r="Y1583" s="3" t="str">
        <f aca="false">LEFT(G1583,1)&amp;MID(G1583,FIND(" ",G1583)+1,1)</f>
        <v>MN</v>
      </c>
    </row>
    <row r="1584" customFormat="false" ht="15" hidden="false" customHeight="false" outlineLevel="0" collapsed="false">
      <c r="A1584" s="3" t="n">
        <v>1583</v>
      </c>
      <c r="B1584" s="3" t="s">
        <v>3429</v>
      </c>
      <c r="C1584" s="4" t="s">
        <v>3411</v>
      </c>
      <c r="D1584" s="4" t="s">
        <v>3424</v>
      </c>
      <c r="E1584" s="3" t="s">
        <v>84</v>
      </c>
      <c r="F1584" s="3" t="s">
        <v>1468</v>
      </c>
      <c r="G1584" s="3" t="s">
        <v>1469</v>
      </c>
      <c r="H1584" s="3" t="s">
        <v>56</v>
      </c>
      <c r="I1584" s="3" t="s">
        <v>32</v>
      </c>
      <c r="J1584" s="3" t="s">
        <v>120</v>
      </c>
      <c r="K1584" s="3" t="s">
        <v>113</v>
      </c>
      <c r="L1584" s="3" t="s">
        <v>69</v>
      </c>
      <c r="M1584" s="3" t="s">
        <v>158</v>
      </c>
      <c r="N1584" s="3" t="s">
        <v>49</v>
      </c>
      <c r="O1584" s="3" t="s">
        <v>159</v>
      </c>
      <c r="P1584" s="3" t="s">
        <v>160</v>
      </c>
      <c r="Q1584" s="5" t="n">
        <v>1147.77</v>
      </c>
      <c r="R1584" s="3" t="n">
        <v>14</v>
      </c>
      <c r="S1584" s="6" t="n">
        <v>0.1</v>
      </c>
      <c r="T1584" s="5" t="n">
        <v>-27.28</v>
      </c>
      <c r="U1584" s="3" t="str">
        <f aca="false">IF(T1584&lt;0,"Loss",IF(T1584=0,"Break-even","Profit"))</f>
        <v>Loss</v>
      </c>
      <c r="V1584" s="3" t="str">
        <f aca="false">IF(Q1584&lt;100,"Low",IF(Q1584&lt;=500,"Medium","High"))</f>
        <v>High</v>
      </c>
      <c r="W1584" s="3" t="n">
        <f aca="false">D1584-C1584</f>
        <v>2</v>
      </c>
      <c r="X1584" s="3" t="str">
        <f aca="false">TEXT(C1584,"mmmm")</f>
        <v>January</v>
      </c>
      <c r="Y1584" s="3" t="str">
        <f aca="false">LEFT(G1584,1)&amp;MID(G1584,FIND(" ",G1584)+1,1)</f>
        <v>EK</v>
      </c>
    </row>
    <row r="1585" customFormat="false" ht="15" hidden="false" customHeight="false" outlineLevel="0" collapsed="false">
      <c r="A1585" s="3" t="n">
        <v>1584</v>
      </c>
      <c r="B1585" s="3" t="s">
        <v>3430</v>
      </c>
      <c r="C1585" s="4" t="s">
        <v>3431</v>
      </c>
      <c r="D1585" s="4" t="s">
        <v>3428</v>
      </c>
      <c r="E1585" s="3" t="s">
        <v>84</v>
      </c>
      <c r="F1585" s="3" t="s">
        <v>542</v>
      </c>
      <c r="G1585" s="3" t="s">
        <v>543</v>
      </c>
      <c r="H1585" s="3" t="s">
        <v>56</v>
      </c>
      <c r="I1585" s="3" t="s">
        <v>32</v>
      </c>
      <c r="J1585" s="3" t="s">
        <v>57</v>
      </c>
      <c r="K1585" s="3" t="s">
        <v>58</v>
      </c>
      <c r="L1585" s="3" t="s">
        <v>59</v>
      </c>
      <c r="M1585" s="3" t="s">
        <v>190</v>
      </c>
      <c r="N1585" s="3" t="s">
        <v>49</v>
      </c>
      <c r="O1585" s="3" t="s">
        <v>150</v>
      </c>
      <c r="P1585" s="3" t="s">
        <v>191</v>
      </c>
      <c r="Q1585" s="5" t="n">
        <v>200.61</v>
      </c>
      <c r="R1585" s="3" t="n">
        <v>2</v>
      </c>
      <c r="S1585" s="6" t="n">
        <v>0.5</v>
      </c>
      <c r="T1585" s="5" t="n">
        <v>46.85</v>
      </c>
      <c r="U1585" s="3" t="str">
        <f aca="false">IF(T1585&lt;0,"Loss",IF(T1585=0,"Break-even","Profit"))</f>
        <v>Profit</v>
      </c>
      <c r="V1585" s="3" t="str">
        <f aca="false">IF(Q1585&lt;100,"Low",IF(Q1585&lt;=500,"Medium","High"))</f>
        <v>Medium</v>
      </c>
      <c r="W1585" s="3" t="n">
        <f aca="false">D1585-C1585</f>
        <v>2</v>
      </c>
      <c r="X1585" s="3" t="str">
        <f aca="false">TEXT(C1585,"mmmm")</f>
        <v>January</v>
      </c>
      <c r="Y1585" s="3" t="str">
        <f aca="false">LEFT(G1585,1)&amp;MID(G1585,FIND(" ",G1585)+1,1)</f>
        <v>WM</v>
      </c>
    </row>
    <row r="1586" customFormat="false" ht="15" hidden="false" customHeight="false" outlineLevel="0" collapsed="false">
      <c r="A1586" s="3" t="n">
        <v>1585</v>
      </c>
      <c r="B1586" s="3" t="s">
        <v>3432</v>
      </c>
      <c r="C1586" s="4" t="s">
        <v>3431</v>
      </c>
      <c r="D1586" s="4" t="s">
        <v>3433</v>
      </c>
      <c r="E1586" s="3" t="s">
        <v>28</v>
      </c>
      <c r="F1586" s="3" t="s">
        <v>1063</v>
      </c>
      <c r="G1586" s="3" t="s">
        <v>1064</v>
      </c>
      <c r="H1586" s="3" t="s">
        <v>31</v>
      </c>
      <c r="I1586" s="3" t="s">
        <v>32</v>
      </c>
      <c r="J1586" s="3" t="s">
        <v>252</v>
      </c>
      <c r="K1586" s="3" t="s">
        <v>172</v>
      </c>
      <c r="L1586" s="3" t="s">
        <v>157</v>
      </c>
      <c r="M1586" s="3" t="s">
        <v>105</v>
      </c>
      <c r="N1586" s="3" t="s">
        <v>49</v>
      </c>
      <c r="O1586" s="3" t="s">
        <v>106</v>
      </c>
      <c r="P1586" s="3" t="s">
        <v>107</v>
      </c>
      <c r="Q1586" s="5" t="n">
        <v>396.82</v>
      </c>
      <c r="R1586" s="3" t="n">
        <v>5</v>
      </c>
      <c r="S1586" s="6" t="n">
        <v>0.1</v>
      </c>
      <c r="T1586" s="5" t="n">
        <v>30.72</v>
      </c>
      <c r="U1586" s="3" t="str">
        <f aca="false">IF(T1586&lt;0,"Loss",IF(T1586=0,"Break-even","Profit"))</f>
        <v>Profit</v>
      </c>
      <c r="V1586" s="3" t="str">
        <f aca="false">IF(Q1586&lt;100,"Low",IF(Q1586&lt;=500,"Medium","High"))</f>
        <v>Medium</v>
      </c>
      <c r="W1586" s="3" t="n">
        <f aca="false">D1586-C1586</f>
        <v>3</v>
      </c>
      <c r="X1586" s="3" t="str">
        <f aca="false">TEXT(C1586,"mmmm")</f>
        <v>January</v>
      </c>
      <c r="Y1586" s="3" t="str">
        <f aca="false">LEFT(G1586,1)&amp;MID(G1586,FIND(" ",G1586)+1,1)</f>
        <v>AB</v>
      </c>
    </row>
    <row r="1587" customFormat="false" ht="15" hidden="false" customHeight="false" outlineLevel="0" collapsed="false">
      <c r="A1587" s="3" t="n">
        <v>1586</v>
      </c>
      <c r="B1587" s="3" t="s">
        <v>3434</v>
      </c>
      <c r="C1587" s="4" t="s">
        <v>3431</v>
      </c>
      <c r="D1587" s="4" t="s">
        <v>3433</v>
      </c>
      <c r="E1587" s="3" t="s">
        <v>28</v>
      </c>
      <c r="F1587" s="3" t="s">
        <v>1348</v>
      </c>
      <c r="G1587" s="3" t="s">
        <v>1349</v>
      </c>
      <c r="H1587" s="3" t="s">
        <v>45</v>
      </c>
      <c r="I1587" s="3" t="s">
        <v>32</v>
      </c>
      <c r="J1587" s="3" t="s">
        <v>46</v>
      </c>
      <c r="K1587" s="3" t="s">
        <v>47</v>
      </c>
      <c r="L1587" s="3" t="s">
        <v>35</v>
      </c>
      <c r="M1587" s="3" t="s">
        <v>48</v>
      </c>
      <c r="N1587" s="3" t="s">
        <v>49</v>
      </c>
      <c r="O1587" s="3" t="s">
        <v>50</v>
      </c>
      <c r="P1587" s="3" t="s">
        <v>51</v>
      </c>
      <c r="Q1587" s="5" t="n">
        <v>155.63</v>
      </c>
      <c r="R1587" s="3" t="n">
        <v>9</v>
      </c>
      <c r="S1587" s="6" t="n">
        <v>0</v>
      </c>
      <c r="T1587" s="5" t="n">
        <v>-9.23</v>
      </c>
      <c r="U1587" s="3" t="str">
        <f aca="false">IF(T1587&lt;0,"Loss",IF(T1587=0,"Break-even","Profit"))</f>
        <v>Loss</v>
      </c>
      <c r="V1587" s="3" t="str">
        <f aca="false">IF(Q1587&lt;100,"Low",IF(Q1587&lt;=500,"Medium","High"))</f>
        <v>Medium</v>
      </c>
      <c r="W1587" s="3" t="n">
        <f aca="false">D1587-C1587</f>
        <v>3</v>
      </c>
      <c r="X1587" s="3" t="str">
        <f aca="false">TEXT(C1587,"mmmm")</f>
        <v>January</v>
      </c>
      <c r="Y1587" s="3" t="str">
        <f aca="false">LEFT(G1587,1)&amp;MID(G1587,FIND(" ",G1587)+1,1)</f>
        <v>AG</v>
      </c>
    </row>
    <row r="1588" customFormat="false" ht="15" hidden="false" customHeight="false" outlineLevel="0" collapsed="false">
      <c r="A1588" s="3" t="n">
        <v>1587</v>
      </c>
      <c r="B1588" s="3" t="s">
        <v>3435</v>
      </c>
      <c r="C1588" s="4" t="s">
        <v>3424</v>
      </c>
      <c r="D1588" s="4" t="s">
        <v>3424</v>
      </c>
      <c r="E1588" s="3" t="s">
        <v>53</v>
      </c>
      <c r="F1588" s="3" t="s">
        <v>379</v>
      </c>
      <c r="G1588" s="3" t="s">
        <v>380</v>
      </c>
      <c r="H1588" s="3" t="s">
        <v>56</v>
      </c>
      <c r="I1588" s="3" t="s">
        <v>32</v>
      </c>
      <c r="J1588" s="3" t="s">
        <v>171</v>
      </c>
      <c r="K1588" s="3" t="s">
        <v>172</v>
      </c>
      <c r="L1588" s="3" t="s">
        <v>157</v>
      </c>
      <c r="M1588" s="3" t="s">
        <v>225</v>
      </c>
      <c r="N1588" s="3" t="s">
        <v>37</v>
      </c>
      <c r="O1588" s="3" t="s">
        <v>196</v>
      </c>
      <c r="P1588" s="3" t="s">
        <v>226</v>
      </c>
      <c r="Q1588" s="5" t="n">
        <v>8962.15</v>
      </c>
      <c r="R1588" s="3" t="n">
        <v>7</v>
      </c>
      <c r="S1588" s="6" t="n">
        <v>0.2</v>
      </c>
      <c r="T1588" s="5" t="n">
        <v>-1950.51</v>
      </c>
      <c r="U1588" s="3" t="str">
        <f aca="false">IF(T1588&lt;0,"Loss",IF(T1588=0,"Break-even","Profit"))</f>
        <v>Loss</v>
      </c>
      <c r="V1588" s="3" t="str">
        <f aca="false">IF(Q1588&lt;100,"Low",IF(Q1588&lt;=500,"Medium","High"))</f>
        <v>High</v>
      </c>
      <c r="W1588" s="3" t="n">
        <f aca="false">D1588-C1588</f>
        <v>0</v>
      </c>
      <c r="X1588" s="3" t="str">
        <f aca="false">TEXT(C1588,"mmmm")</f>
        <v>January</v>
      </c>
      <c r="Y1588" s="3" t="str">
        <f aca="false">LEFT(G1588,1)&amp;MID(G1588,FIND(" ",G1588)+1,1)</f>
        <v>MG</v>
      </c>
    </row>
    <row r="1589" customFormat="false" ht="15" hidden="false" customHeight="false" outlineLevel="0" collapsed="false">
      <c r="A1589" s="3" t="n">
        <v>1588</v>
      </c>
      <c r="B1589" s="3" t="s">
        <v>3436</v>
      </c>
      <c r="C1589" s="4" t="s">
        <v>3428</v>
      </c>
      <c r="D1589" s="4" t="s">
        <v>3433</v>
      </c>
      <c r="E1589" s="3" t="s">
        <v>42</v>
      </c>
      <c r="F1589" s="3" t="s">
        <v>905</v>
      </c>
      <c r="G1589" s="3" t="s">
        <v>906</v>
      </c>
      <c r="H1589" s="3" t="s">
        <v>45</v>
      </c>
      <c r="I1589" s="3" t="s">
        <v>32</v>
      </c>
      <c r="J1589" s="3" t="s">
        <v>243</v>
      </c>
      <c r="K1589" s="3" t="s">
        <v>244</v>
      </c>
      <c r="L1589" s="3" t="s">
        <v>157</v>
      </c>
      <c r="M1589" s="3" t="s">
        <v>683</v>
      </c>
      <c r="N1589" s="3" t="s">
        <v>37</v>
      </c>
      <c r="O1589" s="3" t="s">
        <v>136</v>
      </c>
      <c r="P1589" s="3" t="s">
        <v>684</v>
      </c>
      <c r="Q1589" s="5" t="n">
        <v>12709.16</v>
      </c>
      <c r="R1589" s="3" t="n">
        <v>13</v>
      </c>
      <c r="S1589" s="6" t="n">
        <v>0.2</v>
      </c>
      <c r="T1589" s="5" t="n">
        <v>-502.18</v>
      </c>
      <c r="U1589" s="3" t="str">
        <f aca="false">IF(T1589&lt;0,"Loss",IF(T1589=0,"Break-even","Profit"))</f>
        <v>Loss</v>
      </c>
      <c r="V1589" s="3" t="str">
        <f aca="false">IF(Q1589&lt;100,"Low",IF(Q1589&lt;=500,"Medium","High"))</f>
        <v>High</v>
      </c>
      <c r="W1589" s="3" t="n">
        <f aca="false">D1589-C1589</f>
        <v>1</v>
      </c>
      <c r="X1589" s="3" t="str">
        <f aca="false">TEXT(C1589,"mmmm")</f>
        <v>January</v>
      </c>
      <c r="Y1589" s="3" t="str">
        <f aca="false">LEFT(G1589,1)&amp;MID(G1589,FIND(" ",G1589)+1,1)</f>
        <v>SB</v>
      </c>
    </row>
    <row r="1590" customFormat="false" ht="15" hidden="false" customHeight="false" outlineLevel="0" collapsed="false">
      <c r="A1590" s="3" t="n">
        <v>1589</v>
      </c>
      <c r="B1590" s="3" t="s">
        <v>3437</v>
      </c>
      <c r="C1590" s="4" t="s">
        <v>3428</v>
      </c>
      <c r="D1590" s="4" t="s">
        <v>3433</v>
      </c>
      <c r="E1590" s="3" t="s">
        <v>42</v>
      </c>
      <c r="F1590" s="3" t="s">
        <v>412</v>
      </c>
      <c r="G1590" s="3" t="s">
        <v>413</v>
      </c>
      <c r="H1590" s="3" t="s">
        <v>45</v>
      </c>
      <c r="I1590" s="3" t="s">
        <v>32</v>
      </c>
      <c r="J1590" s="3" t="s">
        <v>112</v>
      </c>
      <c r="K1590" s="3" t="s">
        <v>113</v>
      </c>
      <c r="L1590" s="3" t="s">
        <v>69</v>
      </c>
      <c r="M1590" s="3" t="s">
        <v>225</v>
      </c>
      <c r="N1590" s="3" t="s">
        <v>37</v>
      </c>
      <c r="O1590" s="3" t="s">
        <v>196</v>
      </c>
      <c r="P1590" s="3" t="s">
        <v>226</v>
      </c>
      <c r="Q1590" s="5" t="n">
        <v>256.95</v>
      </c>
      <c r="R1590" s="3" t="n">
        <v>2</v>
      </c>
      <c r="S1590" s="6" t="n">
        <v>0</v>
      </c>
      <c r="T1590" s="5" t="n">
        <v>-0.19</v>
      </c>
      <c r="U1590" s="3" t="str">
        <f aca="false">IF(T1590&lt;0,"Loss",IF(T1590=0,"Break-even","Profit"))</f>
        <v>Loss</v>
      </c>
      <c r="V1590" s="3" t="str">
        <f aca="false">IF(Q1590&lt;100,"Low",IF(Q1590&lt;=500,"Medium","High"))</f>
        <v>Medium</v>
      </c>
      <c r="W1590" s="3" t="n">
        <f aca="false">D1590-C1590</f>
        <v>1</v>
      </c>
      <c r="X1590" s="3" t="str">
        <f aca="false">TEXT(C1590,"mmmm")</f>
        <v>January</v>
      </c>
      <c r="Y1590" s="3" t="str">
        <f aca="false">LEFT(G1590,1)&amp;MID(G1590,FIND(" ",G1590)+1,1)</f>
        <v>LS</v>
      </c>
    </row>
    <row r="1591" customFormat="false" ht="15" hidden="false" customHeight="false" outlineLevel="0" collapsed="false">
      <c r="A1591" s="3" t="n">
        <v>1590</v>
      </c>
      <c r="B1591" s="3" t="s">
        <v>3438</v>
      </c>
      <c r="C1591" s="4" t="s">
        <v>3428</v>
      </c>
      <c r="D1591" s="4" t="s">
        <v>3439</v>
      </c>
      <c r="E1591" s="3" t="s">
        <v>28</v>
      </c>
      <c r="F1591" s="3" t="s">
        <v>2742</v>
      </c>
      <c r="G1591" s="3" t="s">
        <v>2743</v>
      </c>
      <c r="H1591" s="3" t="s">
        <v>31</v>
      </c>
      <c r="I1591" s="3" t="s">
        <v>32</v>
      </c>
      <c r="J1591" s="3" t="s">
        <v>814</v>
      </c>
      <c r="K1591" s="3" t="s">
        <v>156</v>
      </c>
      <c r="L1591" s="3" t="s">
        <v>157</v>
      </c>
      <c r="M1591" s="3" t="s">
        <v>70</v>
      </c>
      <c r="N1591" s="3" t="s">
        <v>37</v>
      </c>
      <c r="O1591" s="3" t="s">
        <v>71</v>
      </c>
      <c r="P1591" s="3" t="s">
        <v>72</v>
      </c>
      <c r="Q1591" s="5" t="n">
        <v>11492.4</v>
      </c>
      <c r="R1591" s="3" t="n">
        <v>7</v>
      </c>
      <c r="S1591" s="6" t="n">
        <v>0</v>
      </c>
      <c r="T1591" s="5" t="n">
        <v>-2867.63</v>
      </c>
      <c r="U1591" s="3" t="str">
        <f aca="false">IF(T1591&lt;0,"Loss",IF(T1591=0,"Break-even","Profit"))</f>
        <v>Loss</v>
      </c>
      <c r="V1591" s="3" t="str">
        <f aca="false">IF(Q1591&lt;100,"Low",IF(Q1591&lt;=500,"Medium","High"))</f>
        <v>High</v>
      </c>
      <c r="W1591" s="3" t="n">
        <f aca="false">D1591-C1591</f>
        <v>5</v>
      </c>
      <c r="X1591" s="3" t="str">
        <f aca="false">TEXT(C1591,"mmmm")</f>
        <v>January</v>
      </c>
      <c r="Y1591" s="3" t="str">
        <f aca="false">LEFT(G1591,1)&amp;MID(G1591,FIND(" ",G1591)+1,1)</f>
        <v>DA</v>
      </c>
    </row>
    <row r="1592" customFormat="false" ht="15" hidden="false" customHeight="false" outlineLevel="0" collapsed="false">
      <c r="A1592" s="3" t="n">
        <v>1591</v>
      </c>
      <c r="B1592" s="3" t="s">
        <v>3440</v>
      </c>
      <c r="C1592" s="4" t="s">
        <v>3428</v>
      </c>
      <c r="D1592" s="4" t="s">
        <v>3441</v>
      </c>
      <c r="E1592" s="3" t="s">
        <v>84</v>
      </c>
      <c r="F1592" s="3" t="s">
        <v>989</v>
      </c>
      <c r="G1592" s="3" t="s">
        <v>990</v>
      </c>
      <c r="H1592" s="3" t="s">
        <v>56</v>
      </c>
      <c r="I1592" s="3" t="s">
        <v>32</v>
      </c>
      <c r="J1592" s="3" t="s">
        <v>873</v>
      </c>
      <c r="K1592" s="3" t="s">
        <v>387</v>
      </c>
      <c r="L1592" s="3" t="s">
        <v>35</v>
      </c>
      <c r="M1592" s="3" t="s">
        <v>135</v>
      </c>
      <c r="N1592" s="3" t="s">
        <v>37</v>
      </c>
      <c r="O1592" s="3" t="s">
        <v>136</v>
      </c>
      <c r="P1592" s="3" t="s">
        <v>137</v>
      </c>
      <c r="Q1592" s="5" t="n">
        <v>8023.72</v>
      </c>
      <c r="R1592" s="3" t="n">
        <v>10</v>
      </c>
      <c r="S1592" s="6" t="n">
        <v>0.5</v>
      </c>
      <c r="T1592" s="5" t="n">
        <v>1190.5</v>
      </c>
      <c r="U1592" s="3" t="str">
        <f aca="false">IF(T1592&lt;0,"Loss",IF(T1592=0,"Break-even","Profit"))</f>
        <v>Profit</v>
      </c>
      <c r="V1592" s="3" t="str">
        <f aca="false">IF(Q1592&lt;100,"Low",IF(Q1592&lt;=500,"Medium","High"))</f>
        <v>High</v>
      </c>
      <c r="W1592" s="3" t="n">
        <f aca="false">D1592-C1592</f>
        <v>4</v>
      </c>
      <c r="X1592" s="3" t="str">
        <f aca="false">TEXT(C1592,"mmmm")</f>
        <v>January</v>
      </c>
      <c r="Y1592" s="3" t="str">
        <f aca="false">LEFT(G1592,1)&amp;MID(G1592,FIND(" ",G1592)+1,1)</f>
        <v>EK</v>
      </c>
    </row>
    <row r="1593" customFormat="false" ht="15" hidden="false" customHeight="false" outlineLevel="0" collapsed="false">
      <c r="A1593" s="3" t="n">
        <v>1592</v>
      </c>
      <c r="B1593" s="3" t="s">
        <v>3442</v>
      </c>
      <c r="C1593" s="4" t="s">
        <v>3428</v>
      </c>
      <c r="D1593" s="4" t="s">
        <v>3443</v>
      </c>
      <c r="E1593" s="3" t="s">
        <v>28</v>
      </c>
      <c r="F1593" s="3" t="s">
        <v>963</v>
      </c>
      <c r="G1593" s="3" t="s">
        <v>964</v>
      </c>
      <c r="H1593" s="3" t="s">
        <v>31</v>
      </c>
      <c r="I1593" s="3" t="s">
        <v>32</v>
      </c>
      <c r="J1593" s="3" t="s">
        <v>87</v>
      </c>
      <c r="K1593" s="3" t="s">
        <v>68</v>
      </c>
      <c r="L1593" s="3" t="s">
        <v>69</v>
      </c>
      <c r="M1593" s="3" t="s">
        <v>79</v>
      </c>
      <c r="N1593" s="3" t="s">
        <v>49</v>
      </c>
      <c r="O1593" s="3" t="s">
        <v>80</v>
      </c>
      <c r="P1593" s="3" t="s">
        <v>81</v>
      </c>
      <c r="Q1593" s="5" t="n">
        <v>699.84</v>
      </c>
      <c r="R1593" s="3" t="n">
        <v>14</v>
      </c>
      <c r="S1593" s="6" t="n">
        <v>0.2</v>
      </c>
      <c r="T1593" s="5" t="n">
        <v>16.35</v>
      </c>
      <c r="U1593" s="3" t="str">
        <f aca="false">IF(T1593&lt;0,"Loss",IF(T1593=0,"Break-even","Profit"))</f>
        <v>Profit</v>
      </c>
      <c r="V1593" s="3" t="str">
        <f aca="false">IF(Q1593&lt;100,"Low",IF(Q1593&lt;=500,"Medium","High"))</f>
        <v>High</v>
      </c>
      <c r="W1593" s="3" t="n">
        <f aca="false">D1593-C1593</f>
        <v>7</v>
      </c>
      <c r="X1593" s="3" t="str">
        <f aca="false">TEXT(C1593,"mmmm")</f>
        <v>January</v>
      </c>
      <c r="Y1593" s="3" t="str">
        <f aca="false">LEFT(G1593,1)&amp;MID(G1593,FIND(" ",G1593)+1,1)</f>
        <v>FB</v>
      </c>
    </row>
    <row r="1594" customFormat="false" ht="15" hidden="false" customHeight="false" outlineLevel="0" collapsed="false">
      <c r="A1594" s="3" t="n">
        <v>1593</v>
      </c>
      <c r="B1594" s="3" t="s">
        <v>3444</v>
      </c>
      <c r="C1594" s="4" t="s">
        <v>3433</v>
      </c>
      <c r="D1594" s="4" t="s">
        <v>3426</v>
      </c>
      <c r="E1594" s="3" t="s">
        <v>42</v>
      </c>
      <c r="F1594" s="3" t="s">
        <v>2079</v>
      </c>
      <c r="G1594" s="3" t="s">
        <v>2080</v>
      </c>
      <c r="H1594" s="3" t="s">
        <v>56</v>
      </c>
      <c r="I1594" s="3" t="s">
        <v>32</v>
      </c>
      <c r="J1594" s="3" t="s">
        <v>95</v>
      </c>
      <c r="K1594" s="3" t="s">
        <v>96</v>
      </c>
      <c r="L1594" s="3" t="s">
        <v>59</v>
      </c>
      <c r="M1594" s="3" t="s">
        <v>105</v>
      </c>
      <c r="N1594" s="3" t="s">
        <v>49</v>
      </c>
      <c r="O1594" s="3" t="s">
        <v>106</v>
      </c>
      <c r="P1594" s="3" t="s">
        <v>107</v>
      </c>
      <c r="Q1594" s="5" t="n">
        <v>470.8</v>
      </c>
      <c r="R1594" s="3" t="n">
        <v>8</v>
      </c>
      <c r="S1594" s="6" t="n">
        <v>0</v>
      </c>
      <c r="T1594" s="5" t="n">
        <v>16.32</v>
      </c>
      <c r="U1594" s="3" t="str">
        <f aca="false">IF(T1594&lt;0,"Loss",IF(T1594=0,"Break-even","Profit"))</f>
        <v>Profit</v>
      </c>
      <c r="V1594" s="3" t="str">
        <f aca="false">IF(Q1594&lt;100,"Low",IF(Q1594&lt;=500,"Medium","High"))</f>
        <v>Medium</v>
      </c>
      <c r="W1594" s="3" t="n">
        <f aca="false">D1594-C1594</f>
        <v>1</v>
      </c>
      <c r="X1594" s="3" t="str">
        <f aca="false">TEXT(C1594,"mmmm")</f>
        <v>January</v>
      </c>
      <c r="Y1594" s="3" t="str">
        <f aca="false">LEFT(G1594,1)&amp;MID(G1594,FIND(" ",G1594)+1,1)</f>
        <v>LD</v>
      </c>
    </row>
    <row r="1595" customFormat="false" ht="15" hidden="false" customHeight="false" outlineLevel="0" collapsed="false">
      <c r="A1595" s="3" t="n">
        <v>1594</v>
      </c>
      <c r="B1595" s="3" t="s">
        <v>3445</v>
      </c>
      <c r="C1595" s="4" t="s">
        <v>3433</v>
      </c>
      <c r="D1595" s="4" t="s">
        <v>3439</v>
      </c>
      <c r="E1595" s="3" t="s">
        <v>28</v>
      </c>
      <c r="F1595" s="3" t="s">
        <v>1599</v>
      </c>
      <c r="G1595" s="3" t="s">
        <v>1600</v>
      </c>
      <c r="H1595" s="3" t="s">
        <v>31</v>
      </c>
      <c r="I1595" s="3" t="s">
        <v>32</v>
      </c>
      <c r="J1595" s="3" t="s">
        <v>386</v>
      </c>
      <c r="K1595" s="3" t="s">
        <v>387</v>
      </c>
      <c r="L1595" s="3" t="s">
        <v>35</v>
      </c>
      <c r="M1595" s="3" t="s">
        <v>659</v>
      </c>
      <c r="N1595" s="3" t="s">
        <v>89</v>
      </c>
      <c r="O1595" s="3" t="s">
        <v>323</v>
      </c>
      <c r="P1595" s="3" t="s">
        <v>660</v>
      </c>
      <c r="Q1595" s="5" t="n">
        <v>1419.98</v>
      </c>
      <c r="R1595" s="3" t="n">
        <v>2</v>
      </c>
      <c r="S1595" s="6" t="n">
        <v>0</v>
      </c>
      <c r="T1595" s="5" t="n">
        <v>99.67</v>
      </c>
      <c r="U1595" s="3" t="str">
        <f aca="false">IF(T1595&lt;0,"Loss",IF(T1595=0,"Break-even","Profit"))</f>
        <v>Profit</v>
      </c>
      <c r="V1595" s="3" t="str">
        <f aca="false">IF(Q1595&lt;100,"Low",IF(Q1595&lt;=500,"Medium","High"))</f>
        <v>High</v>
      </c>
      <c r="W1595" s="3" t="n">
        <f aca="false">D1595-C1595</f>
        <v>4</v>
      </c>
      <c r="X1595" s="3" t="str">
        <f aca="false">TEXT(C1595,"mmmm")</f>
        <v>January</v>
      </c>
      <c r="Y1595" s="3" t="str">
        <f aca="false">LEFT(G1595,1)&amp;MID(G1595,FIND(" ",G1595)+1,1)</f>
        <v>JA</v>
      </c>
    </row>
    <row r="1596" customFormat="false" ht="15" hidden="false" customHeight="false" outlineLevel="0" collapsed="false">
      <c r="A1596" s="3" t="n">
        <v>1595</v>
      </c>
      <c r="B1596" s="3" t="s">
        <v>3446</v>
      </c>
      <c r="C1596" s="4" t="s">
        <v>3433</v>
      </c>
      <c r="D1596" s="4" t="s">
        <v>3447</v>
      </c>
      <c r="E1596" s="3" t="s">
        <v>84</v>
      </c>
      <c r="F1596" s="3" t="s">
        <v>2608</v>
      </c>
      <c r="G1596" s="3" t="s">
        <v>2609</v>
      </c>
      <c r="H1596" s="3" t="s">
        <v>56</v>
      </c>
      <c r="I1596" s="3" t="s">
        <v>32</v>
      </c>
      <c r="J1596" s="3" t="s">
        <v>679</v>
      </c>
      <c r="K1596" s="3" t="s">
        <v>202</v>
      </c>
      <c r="L1596" s="3" t="s">
        <v>35</v>
      </c>
      <c r="M1596" s="3" t="s">
        <v>334</v>
      </c>
      <c r="N1596" s="3" t="s">
        <v>37</v>
      </c>
      <c r="O1596" s="3" t="s">
        <v>136</v>
      </c>
      <c r="P1596" s="3" t="s">
        <v>335</v>
      </c>
      <c r="Q1596" s="5" t="n">
        <v>8086.95</v>
      </c>
      <c r="R1596" s="3" t="n">
        <v>7</v>
      </c>
      <c r="S1596" s="6" t="n">
        <v>0.1</v>
      </c>
      <c r="T1596" s="5" t="n">
        <v>298.38</v>
      </c>
      <c r="U1596" s="3" t="str">
        <f aca="false">IF(T1596&lt;0,"Loss",IF(T1596=0,"Break-even","Profit"))</f>
        <v>Profit</v>
      </c>
      <c r="V1596" s="3" t="str">
        <f aca="false">IF(Q1596&lt;100,"Low",IF(Q1596&lt;=500,"Medium","High"))</f>
        <v>High</v>
      </c>
      <c r="W1596" s="3" t="n">
        <f aca="false">D1596-C1596</f>
        <v>2</v>
      </c>
      <c r="X1596" s="3" t="str">
        <f aca="false">TEXT(C1596,"mmmm")</f>
        <v>January</v>
      </c>
      <c r="Y1596" s="3" t="str">
        <f aca="false">LEFT(G1596,1)&amp;MID(G1596,FIND(" ",G1596)+1,1)</f>
        <v>MK</v>
      </c>
    </row>
    <row r="1597" customFormat="false" ht="15" hidden="false" customHeight="false" outlineLevel="0" collapsed="false">
      <c r="A1597" s="3" t="n">
        <v>1596</v>
      </c>
      <c r="B1597" s="3" t="s">
        <v>3448</v>
      </c>
      <c r="C1597" s="4" t="s">
        <v>3426</v>
      </c>
      <c r="D1597" s="4" t="s">
        <v>3449</v>
      </c>
      <c r="E1597" s="3" t="s">
        <v>28</v>
      </c>
      <c r="F1597" s="3" t="s">
        <v>839</v>
      </c>
      <c r="G1597" s="3" t="s">
        <v>840</v>
      </c>
      <c r="H1597" s="3" t="s">
        <v>56</v>
      </c>
      <c r="I1597" s="3" t="s">
        <v>32</v>
      </c>
      <c r="J1597" s="3" t="s">
        <v>476</v>
      </c>
      <c r="K1597" s="3" t="s">
        <v>366</v>
      </c>
      <c r="L1597" s="3" t="s">
        <v>157</v>
      </c>
      <c r="M1597" s="3" t="s">
        <v>404</v>
      </c>
      <c r="N1597" s="3" t="s">
        <v>89</v>
      </c>
      <c r="O1597" s="3" t="s">
        <v>166</v>
      </c>
      <c r="P1597" s="3" t="s">
        <v>405</v>
      </c>
      <c r="Q1597" s="5" t="n">
        <v>2348.41</v>
      </c>
      <c r="R1597" s="3" t="n">
        <v>3</v>
      </c>
      <c r="S1597" s="6" t="n">
        <v>0</v>
      </c>
      <c r="T1597" s="5" t="n">
        <v>552.3</v>
      </c>
      <c r="U1597" s="3" t="str">
        <f aca="false">IF(T1597&lt;0,"Loss",IF(T1597=0,"Break-even","Profit"))</f>
        <v>Profit</v>
      </c>
      <c r="V1597" s="3" t="str">
        <f aca="false">IF(Q1597&lt;100,"Low",IF(Q1597&lt;=500,"Medium","High"))</f>
        <v>High</v>
      </c>
      <c r="W1597" s="3" t="n">
        <f aca="false">D1597-C1597</f>
        <v>6</v>
      </c>
      <c r="X1597" s="3" t="str">
        <f aca="false">TEXT(C1597,"mmmm")</f>
        <v>January</v>
      </c>
      <c r="Y1597" s="3" t="str">
        <f aca="false">LEFT(G1597,1)&amp;MID(G1597,FIND(" ",G1597)+1,1)</f>
        <v>FS</v>
      </c>
    </row>
    <row r="1598" customFormat="false" ht="15" hidden="false" customHeight="false" outlineLevel="0" collapsed="false">
      <c r="A1598" s="3" t="n">
        <v>1597</v>
      </c>
      <c r="B1598" s="3" t="s">
        <v>3450</v>
      </c>
      <c r="C1598" s="4" t="s">
        <v>3439</v>
      </c>
      <c r="D1598" s="4" t="s">
        <v>3451</v>
      </c>
      <c r="E1598" s="3" t="s">
        <v>28</v>
      </c>
      <c r="F1598" s="3" t="s">
        <v>1278</v>
      </c>
      <c r="G1598" s="3" t="s">
        <v>1279</v>
      </c>
      <c r="H1598" s="3" t="s">
        <v>45</v>
      </c>
      <c r="I1598" s="3" t="s">
        <v>32</v>
      </c>
      <c r="J1598" s="3" t="s">
        <v>57</v>
      </c>
      <c r="K1598" s="3" t="s">
        <v>58</v>
      </c>
      <c r="L1598" s="3" t="s">
        <v>59</v>
      </c>
      <c r="M1598" s="3" t="s">
        <v>149</v>
      </c>
      <c r="N1598" s="3" t="s">
        <v>49</v>
      </c>
      <c r="O1598" s="3" t="s">
        <v>150</v>
      </c>
      <c r="P1598" s="3" t="s">
        <v>151</v>
      </c>
      <c r="Q1598" s="5" t="n">
        <v>319.39</v>
      </c>
      <c r="R1598" s="3" t="n">
        <v>5</v>
      </c>
      <c r="S1598" s="6" t="n">
        <v>0.3</v>
      </c>
      <c r="T1598" s="5" t="n">
        <v>-77.56</v>
      </c>
      <c r="U1598" s="3" t="str">
        <f aca="false">IF(T1598&lt;0,"Loss",IF(T1598=0,"Break-even","Profit"))</f>
        <v>Loss</v>
      </c>
      <c r="V1598" s="3" t="str">
        <f aca="false">IF(Q1598&lt;100,"Low",IF(Q1598&lt;=500,"Medium","High"))</f>
        <v>Medium</v>
      </c>
      <c r="W1598" s="3" t="n">
        <f aca="false">D1598-C1598</f>
        <v>6</v>
      </c>
      <c r="X1598" s="3" t="str">
        <f aca="false">TEXT(C1598,"mmmm")</f>
        <v>January</v>
      </c>
      <c r="Y1598" s="3" t="str">
        <f aca="false">LEFT(G1598,1)&amp;MID(G1598,FIND(" ",G1598)+1,1)</f>
        <v>MC</v>
      </c>
    </row>
    <row r="1599" customFormat="false" ht="15" hidden="false" customHeight="false" outlineLevel="0" collapsed="false">
      <c r="A1599" s="3" t="n">
        <v>1598</v>
      </c>
      <c r="B1599" s="3" t="s">
        <v>3452</v>
      </c>
      <c r="C1599" s="4" t="s">
        <v>3439</v>
      </c>
      <c r="D1599" s="4" t="s">
        <v>3453</v>
      </c>
      <c r="E1599" s="3" t="s">
        <v>84</v>
      </c>
      <c r="F1599" s="3" t="s">
        <v>342</v>
      </c>
      <c r="G1599" s="3" t="s">
        <v>343</v>
      </c>
      <c r="H1599" s="3" t="s">
        <v>45</v>
      </c>
      <c r="I1599" s="3" t="s">
        <v>32</v>
      </c>
      <c r="J1599" s="3" t="s">
        <v>188</v>
      </c>
      <c r="K1599" s="3" t="s">
        <v>189</v>
      </c>
      <c r="L1599" s="3" t="s">
        <v>59</v>
      </c>
      <c r="M1599" s="3" t="s">
        <v>165</v>
      </c>
      <c r="N1599" s="3" t="s">
        <v>89</v>
      </c>
      <c r="O1599" s="3" t="s">
        <v>166</v>
      </c>
      <c r="P1599" s="3" t="s">
        <v>167</v>
      </c>
      <c r="Q1599" s="5" t="n">
        <v>4910.48</v>
      </c>
      <c r="R1599" s="3" t="n">
        <v>13</v>
      </c>
      <c r="S1599" s="6" t="n">
        <v>0.3</v>
      </c>
      <c r="T1599" s="5" t="n">
        <v>1403.25</v>
      </c>
      <c r="U1599" s="3" t="str">
        <f aca="false">IF(T1599&lt;0,"Loss",IF(T1599=0,"Break-even","Profit"))</f>
        <v>Profit</v>
      </c>
      <c r="V1599" s="3" t="str">
        <f aca="false">IF(Q1599&lt;100,"Low",IF(Q1599&lt;=500,"Medium","High"))</f>
        <v>High</v>
      </c>
      <c r="W1599" s="3" t="n">
        <f aca="false">D1599-C1599</f>
        <v>4</v>
      </c>
      <c r="X1599" s="3" t="str">
        <f aca="false">TEXT(C1599,"mmmm")</f>
        <v>January</v>
      </c>
      <c r="Y1599" s="3" t="str">
        <f aca="false">LEFT(G1599,1)&amp;MID(G1599,FIND(" ",G1599)+1,1)</f>
        <v>JN</v>
      </c>
    </row>
    <row r="1600" customFormat="false" ht="15" hidden="false" customHeight="false" outlineLevel="0" collapsed="false">
      <c r="A1600" s="3" t="n">
        <v>1599</v>
      </c>
      <c r="B1600" s="3" t="s">
        <v>3454</v>
      </c>
      <c r="C1600" s="4" t="s">
        <v>3455</v>
      </c>
      <c r="D1600" s="4" t="s">
        <v>3456</v>
      </c>
      <c r="E1600" s="3" t="s">
        <v>28</v>
      </c>
      <c r="F1600" s="3" t="s">
        <v>2140</v>
      </c>
      <c r="G1600" s="3" t="s">
        <v>2141</v>
      </c>
      <c r="H1600" s="3" t="s">
        <v>31</v>
      </c>
      <c r="I1600" s="3" t="s">
        <v>32</v>
      </c>
      <c r="J1600" s="3" t="s">
        <v>299</v>
      </c>
      <c r="K1600" s="3" t="s">
        <v>189</v>
      </c>
      <c r="L1600" s="3" t="s">
        <v>59</v>
      </c>
      <c r="M1600" s="3" t="s">
        <v>165</v>
      </c>
      <c r="N1600" s="3" t="s">
        <v>89</v>
      </c>
      <c r="O1600" s="3" t="s">
        <v>166</v>
      </c>
      <c r="P1600" s="3" t="s">
        <v>167</v>
      </c>
      <c r="Q1600" s="5" t="n">
        <v>3327.74</v>
      </c>
      <c r="R1600" s="3" t="n">
        <v>8</v>
      </c>
      <c r="S1600" s="6" t="n">
        <v>0</v>
      </c>
      <c r="T1600" s="5" t="n">
        <v>685.76</v>
      </c>
      <c r="U1600" s="3" t="str">
        <f aca="false">IF(T1600&lt;0,"Loss",IF(T1600=0,"Break-even","Profit"))</f>
        <v>Profit</v>
      </c>
      <c r="V1600" s="3" t="str">
        <f aca="false">IF(Q1600&lt;100,"Low",IF(Q1600&lt;=500,"Medium","High"))</f>
        <v>High</v>
      </c>
      <c r="W1600" s="3" t="n">
        <f aca="false">D1600-C1600</f>
        <v>7</v>
      </c>
      <c r="X1600" s="3" t="str">
        <f aca="false">TEXT(C1600,"mmmm")</f>
        <v>February</v>
      </c>
      <c r="Y1600" s="3" t="str">
        <f aca="false">LEFT(G1600,1)&amp;MID(G1600,FIND(" ",G1600)+1,1)</f>
        <v>OB</v>
      </c>
    </row>
    <row r="1601" customFormat="false" ht="15" hidden="false" customHeight="false" outlineLevel="0" collapsed="false">
      <c r="A1601" s="3" t="n">
        <v>1600</v>
      </c>
      <c r="B1601" s="3" t="s">
        <v>3457</v>
      </c>
      <c r="C1601" s="4" t="s">
        <v>3455</v>
      </c>
      <c r="D1601" s="4" t="s">
        <v>3456</v>
      </c>
      <c r="E1601" s="3" t="s">
        <v>28</v>
      </c>
      <c r="F1601" s="3" t="s">
        <v>507</v>
      </c>
      <c r="G1601" s="3" t="s">
        <v>508</v>
      </c>
      <c r="H1601" s="3" t="s">
        <v>56</v>
      </c>
      <c r="I1601" s="3" t="s">
        <v>32</v>
      </c>
      <c r="J1601" s="3" t="s">
        <v>415</v>
      </c>
      <c r="K1601" s="3" t="s">
        <v>202</v>
      </c>
      <c r="L1601" s="3" t="s">
        <v>35</v>
      </c>
      <c r="M1601" s="3" t="s">
        <v>559</v>
      </c>
      <c r="N1601" s="3" t="s">
        <v>37</v>
      </c>
      <c r="O1601" s="3" t="s">
        <v>38</v>
      </c>
      <c r="P1601" s="3" t="s">
        <v>560</v>
      </c>
      <c r="Q1601" s="5" t="n">
        <v>2069.61</v>
      </c>
      <c r="R1601" s="3" t="n">
        <v>2</v>
      </c>
      <c r="S1601" s="6" t="n">
        <v>0</v>
      </c>
      <c r="T1601" s="5" t="n">
        <v>209.16</v>
      </c>
      <c r="U1601" s="3" t="str">
        <f aca="false">IF(T1601&lt;0,"Loss",IF(T1601=0,"Break-even","Profit"))</f>
        <v>Profit</v>
      </c>
      <c r="V1601" s="3" t="str">
        <f aca="false">IF(Q1601&lt;100,"Low",IF(Q1601&lt;=500,"Medium","High"))</f>
        <v>High</v>
      </c>
      <c r="W1601" s="3" t="n">
        <f aca="false">D1601-C1601</f>
        <v>7</v>
      </c>
      <c r="X1601" s="3" t="str">
        <f aca="false">TEXT(C1601,"mmmm")</f>
        <v>February</v>
      </c>
      <c r="Y1601" s="3" t="str">
        <f aca="false">LEFT(G1601,1)&amp;MID(G1601,FIND(" ",G1601)+1,1)</f>
        <v>LS</v>
      </c>
    </row>
    <row r="1602" customFormat="false" ht="15" hidden="false" customHeight="false" outlineLevel="0" collapsed="false">
      <c r="A1602" s="3" t="n">
        <v>1601</v>
      </c>
      <c r="B1602" s="3" t="s">
        <v>3458</v>
      </c>
      <c r="C1602" s="4" t="s">
        <v>3443</v>
      </c>
      <c r="D1602" s="4" t="s">
        <v>3459</v>
      </c>
      <c r="E1602" s="3" t="s">
        <v>84</v>
      </c>
      <c r="F1602" s="3" t="s">
        <v>729</v>
      </c>
      <c r="G1602" s="3" t="s">
        <v>730</v>
      </c>
      <c r="H1602" s="3" t="s">
        <v>31</v>
      </c>
      <c r="I1602" s="3" t="s">
        <v>32</v>
      </c>
      <c r="J1602" s="3" t="s">
        <v>873</v>
      </c>
      <c r="K1602" s="3" t="s">
        <v>387</v>
      </c>
      <c r="L1602" s="3" t="s">
        <v>35</v>
      </c>
      <c r="M1602" s="3" t="s">
        <v>190</v>
      </c>
      <c r="N1602" s="3" t="s">
        <v>49</v>
      </c>
      <c r="O1602" s="3" t="s">
        <v>150</v>
      </c>
      <c r="P1602" s="3" t="s">
        <v>191</v>
      </c>
      <c r="Q1602" s="5" t="n">
        <v>604.38</v>
      </c>
      <c r="R1602" s="3" t="n">
        <v>7</v>
      </c>
      <c r="S1602" s="6" t="n">
        <v>0</v>
      </c>
      <c r="T1602" s="5" t="n">
        <v>43.58</v>
      </c>
      <c r="U1602" s="3" t="str">
        <f aca="false">IF(T1602&lt;0,"Loss",IF(T1602=0,"Break-even","Profit"))</f>
        <v>Profit</v>
      </c>
      <c r="V1602" s="3" t="str">
        <f aca="false">IF(Q1602&lt;100,"Low",IF(Q1602&lt;=500,"Medium","High"))</f>
        <v>High</v>
      </c>
      <c r="W1602" s="3" t="n">
        <f aca="false">D1602-C1602</f>
        <v>3</v>
      </c>
      <c r="X1602" s="3" t="str">
        <f aca="false">TEXT(C1602,"mmmm")</f>
        <v>February</v>
      </c>
      <c r="Y1602" s="3" t="str">
        <f aca="false">LEFT(G1602,1)&amp;MID(G1602,FIND(" ",G1602)+1,1)</f>
        <v>OR</v>
      </c>
    </row>
    <row r="1603" customFormat="false" ht="15" hidden="false" customHeight="false" outlineLevel="0" collapsed="false">
      <c r="A1603" s="3" t="n">
        <v>1602</v>
      </c>
      <c r="B1603" s="3" t="s">
        <v>3460</v>
      </c>
      <c r="C1603" s="4" t="s">
        <v>3449</v>
      </c>
      <c r="D1603" s="4" t="s">
        <v>3451</v>
      </c>
      <c r="E1603" s="3" t="s">
        <v>84</v>
      </c>
      <c r="F1603" s="3" t="s">
        <v>228</v>
      </c>
      <c r="G1603" s="3" t="s">
        <v>229</v>
      </c>
      <c r="H1603" s="3" t="s">
        <v>45</v>
      </c>
      <c r="I1603" s="3" t="s">
        <v>32</v>
      </c>
      <c r="J1603" s="3" t="s">
        <v>67</v>
      </c>
      <c r="K1603" s="3" t="s">
        <v>68</v>
      </c>
      <c r="L1603" s="3" t="s">
        <v>69</v>
      </c>
      <c r="M1603" s="3" t="s">
        <v>195</v>
      </c>
      <c r="N1603" s="3" t="s">
        <v>37</v>
      </c>
      <c r="O1603" s="3" t="s">
        <v>196</v>
      </c>
      <c r="P1603" s="3" t="s">
        <v>197</v>
      </c>
      <c r="Q1603" s="5" t="n">
        <v>1584.9</v>
      </c>
      <c r="R1603" s="3" t="n">
        <v>6</v>
      </c>
      <c r="S1603" s="6" t="n">
        <v>0.4</v>
      </c>
      <c r="T1603" s="5" t="n">
        <v>-459.18</v>
      </c>
      <c r="U1603" s="3" t="str">
        <f aca="false">IF(T1603&lt;0,"Loss",IF(T1603=0,"Break-even","Profit"))</f>
        <v>Loss</v>
      </c>
      <c r="V1603" s="3" t="str">
        <f aca="false">IF(Q1603&lt;100,"Low",IF(Q1603&lt;=500,"Medium","High"))</f>
        <v>High</v>
      </c>
      <c r="W1603" s="3" t="n">
        <f aca="false">D1603-C1603</f>
        <v>3</v>
      </c>
      <c r="X1603" s="3" t="str">
        <f aca="false">TEXT(C1603,"mmmm")</f>
        <v>February</v>
      </c>
      <c r="Y1603" s="3" t="str">
        <f aca="false">LEFT(G1603,1)&amp;MID(G1603,FIND(" ",G1603)+1,1)</f>
        <v>ST</v>
      </c>
    </row>
    <row r="1604" customFormat="false" ht="15" hidden="false" customHeight="false" outlineLevel="0" collapsed="false">
      <c r="A1604" s="3" t="n">
        <v>1603</v>
      </c>
      <c r="B1604" s="3" t="s">
        <v>3461</v>
      </c>
      <c r="C1604" s="4" t="s">
        <v>3453</v>
      </c>
      <c r="D1604" s="4" t="s">
        <v>3456</v>
      </c>
      <c r="E1604" s="3" t="s">
        <v>84</v>
      </c>
      <c r="F1604" s="3" t="s">
        <v>1263</v>
      </c>
      <c r="G1604" s="3" t="s">
        <v>1264</v>
      </c>
      <c r="H1604" s="3" t="s">
        <v>56</v>
      </c>
      <c r="I1604" s="3" t="s">
        <v>32</v>
      </c>
      <c r="J1604" s="3" t="s">
        <v>381</v>
      </c>
      <c r="K1604" s="3" t="s">
        <v>58</v>
      </c>
      <c r="L1604" s="3" t="s">
        <v>59</v>
      </c>
      <c r="M1604" s="3" t="s">
        <v>259</v>
      </c>
      <c r="N1604" s="3" t="s">
        <v>89</v>
      </c>
      <c r="O1604" s="3" t="s">
        <v>174</v>
      </c>
      <c r="P1604" s="3" t="s">
        <v>260</v>
      </c>
      <c r="Q1604" s="5" t="n">
        <v>1403.11</v>
      </c>
      <c r="R1604" s="3" t="n">
        <v>7</v>
      </c>
      <c r="S1604" s="6" t="n">
        <v>0</v>
      </c>
      <c r="T1604" s="5" t="n">
        <v>246.22</v>
      </c>
      <c r="U1604" s="3" t="str">
        <f aca="false">IF(T1604&lt;0,"Loss",IF(T1604=0,"Break-even","Profit"))</f>
        <v>Profit</v>
      </c>
      <c r="V1604" s="3" t="str">
        <f aca="false">IF(Q1604&lt;100,"Low",IF(Q1604&lt;=500,"Medium","High"))</f>
        <v>High</v>
      </c>
      <c r="W1604" s="3" t="n">
        <f aca="false">D1604-C1604</f>
        <v>4</v>
      </c>
      <c r="X1604" s="3" t="str">
        <f aca="false">TEXT(C1604,"mmmm")</f>
        <v>February</v>
      </c>
      <c r="Y1604" s="3" t="str">
        <f aca="false">LEFT(G1604,1)&amp;MID(G1604,FIND(" ",G1604)+1,1)</f>
        <v>MR</v>
      </c>
    </row>
    <row r="1605" customFormat="false" ht="15" hidden="false" customHeight="false" outlineLevel="0" collapsed="false">
      <c r="A1605" s="3" t="n">
        <v>1604</v>
      </c>
      <c r="B1605" s="3" t="s">
        <v>3462</v>
      </c>
      <c r="C1605" s="4" t="s">
        <v>3453</v>
      </c>
      <c r="D1605" s="4" t="s">
        <v>3456</v>
      </c>
      <c r="E1605" s="3" t="s">
        <v>28</v>
      </c>
      <c r="F1605" s="3" t="s">
        <v>1986</v>
      </c>
      <c r="G1605" s="3" t="s">
        <v>1987</v>
      </c>
      <c r="H1605" s="3" t="s">
        <v>56</v>
      </c>
      <c r="I1605" s="3" t="s">
        <v>32</v>
      </c>
      <c r="J1605" s="3" t="s">
        <v>155</v>
      </c>
      <c r="K1605" s="3" t="s">
        <v>156</v>
      </c>
      <c r="L1605" s="3" t="s">
        <v>157</v>
      </c>
      <c r="M1605" s="3" t="s">
        <v>60</v>
      </c>
      <c r="N1605" s="3" t="s">
        <v>49</v>
      </c>
      <c r="O1605" s="3" t="s">
        <v>61</v>
      </c>
      <c r="P1605" s="3" t="s">
        <v>62</v>
      </c>
      <c r="Q1605" s="5" t="n">
        <v>20.23</v>
      </c>
      <c r="R1605" s="3" t="n">
        <v>10</v>
      </c>
      <c r="S1605" s="6" t="n">
        <v>0.2</v>
      </c>
      <c r="T1605" s="5" t="n">
        <v>0.86</v>
      </c>
      <c r="U1605" s="3" t="str">
        <f aca="false">IF(T1605&lt;0,"Loss",IF(T1605=0,"Break-even","Profit"))</f>
        <v>Profit</v>
      </c>
      <c r="V1605" s="3" t="str">
        <f aca="false">IF(Q1605&lt;100,"Low",IF(Q1605&lt;=500,"Medium","High"))</f>
        <v>Low</v>
      </c>
      <c r="W1605" s="3" t="n">
        <f aca="false">D1605-C1605</f>
        <v>4</v>
      </c>
      <c r="X1605" s="3" t="str">
        <f aca="false">TEXT(C1605,"mmmm")</f>
        <v>February</v>
      </c>
      <c r="Y1605" s="3" t="str">
        <f aca="false">LEFT(G1605,1)&amp;MID(G1605,FIND(" ",G1605)+1,1)</f>
        <v>OM</v>
      </c>
    </row>
    <row r="1606" customFormat="false" ht="15" hidden="false" customHeight="false" outlineLevel="0" collapsed="false">
      <c r="A1606" s="3" t="n">
        <v>1605</v>
      </c>
      <c r="B1606" s="3" t="s">
        <v>3452</v>
      </c>
      <c r="C1606" s="4" t="s">
        <v>3453</v>
      </c>
      <c r="D1606" s="4" t="s">
        <v>3463</v>
      </c>
      <c r="E1606" s="3" t="s">
        <v>28</v>
      </c>
      <c r="F1606" s="3" t="s">
        <v>350</v>
      </c>
      <c r="G1606" s="3" t="s">
        <v>351</v>
      </c>
      <c r="H1606" s="3" t="s">
        <v>45</v>
      </c>
      <c r="I1606" s="3" t="s">
        <v>32</v>
      </c>
      <c r="J1606" s="3" t="s">
        <v>120</v>
      </c>
      <c r="K1606" s="3" t="s">
        <v>113</v>
      </c>
      <c r="L1606" s="3" t="s">
        <v>69</v>
      </c>
      <c r="M1606" s="3" t="s">
        <v>269</v>
      </c>
      <c r="N1606" s="3" t="s">
        <v>89</v>
      </c>
      <c r="O1606" s="3" t="s">
        <v>174</v>
      </c>
      <c r="P1606" s="3" t="s">
        <v>270</v>
      </c>
      <c r="Q1606" s="5" t="n">
        <v>6677.55</v>
      </c>
      <c r="R1606" s="3" t="n">
        <v>14</v>
      </c>
      <c r="S1606" s="6" t="n">
        <v>0</v>
      </c>
      <c r="T1606" s="5" t="n">
        <v>1284.12</v>
      </c>
      <c r="U1606" s="3" t="str">
        <f aca="false">IF(T1606&lt;0,"Loss",IF(T1606=0,"Break-even","Profit"))</f>
        <v>Profit</v>
      </c>
      <c r="V1606" s="3" t="str">
        <f aca="false">IF(Q1606&lt;100,"Low",IF(Q1606&lt;=500,"Medium","High"))</f>
        <v>High</v>
      </c>
      <c r="W1606" s="3" t="n">
        <f aca="false">D1606-C1606</f>
        <v>3</v>
      </c>
      <c r="X1606" s="3" t="str">
        <f aca="false">TEXT(C1606,"mmmm")</f>
        <v>February</v>
      </c>
      <c r="Y1606" s="3" t="str">
        <f aca="false">LEFT(G1606,1)&amp;MID(G1606,FIND(" ",G1606)+1,1)</f>
        <v>PA</v>
      </c>
    </row>
    <row r="1607" customFormat="false" ht="15" hidden="false" customHeight="false" outlineLevel="0" collapsed="false">
      <c r="A1607" s="3" t="n">
        <v>1606</v>
      </c>
      <c r="B1607" s="3" t="s">
        <v>3464</v>
      </c>
      <c r="C1607" s="4" t="s">
        <v>3459</v>
      </c>
      <c r="D1607" s="4" t="s">
        <v>3465</v>
      </c>
      <c r="E1607" s="3" t="s">
        <v>28</v>
      </c>
      <c r="F1607" s="3" t="s">
        <v>1081</v>
      </c>
      <c r="G1607" s="3" t="s">
        <v>1082</v>
      </c>
      <c r="H1607" s="3" t="s">
        <v>45</v>
      </c>
      <c r="I1607" s="3" t="s">
        <v>32</v>
      </c>
      <c r="J1607" s="3" t="s">
        <v>133</v>
      </c>
      <c r="K1607" s="3" t="s">
        <v>134</v>
      </c>
      <c r="L1607" s="3" t="s">
        <v>69</v>
      </c>
      <c r="M1607" s="3" t="s">
        <v>316</v>
      </c>
      <c r="N1607" s="3" t="s">
        <v>49</v>
      </c>
      <c r="O1607" s="3" t="s">
        <v>143</v>
      </c>
      <c r="P1607" s="3" t="s">
        <v>317</v>
      </c>
      <c r="Q1607" s="5" t="n">
        <v>25.12</v>
      </c>
      <c r="R1607" s="3" t="n">
        <v>2</v>
      </c>
      <c r="S1607" s="6" t="n">
        <v>0.2</v>
      </c>
      <c r="T1607" s="5" t="n">
        <v>-1.94</v>
      </c>
      <c r="U1607" s="3" t="str">
        <f aca="false">IF(T1607&lt;0,"Loss",IF(T1607=0,"Break-even","Profit"))</f>
        <v>Loss</v>
      </c>
      <c r="V1607" s="3" t="str">
        <f aca="false">IF(Q1607&lt;100,"Low",IF(Q1607&lt;=500,"Medium","High"))</f>
        <v>Low</v>
      </c>
      <c r="W1607" s="3" t="n">
        <f aca="false">D1607-C1607</f>
        <v>4</v>
      </c>
      <c r="X1607" s="3" t="str">
        <f aca="false">TEXT(C1607,"mmmm")</f>
        <v>February</v>
      </c>
      <c r="Y1607" s="3" t="str">
        <f aca="false">LEFT(G1607,1)&amp;MID(G1607,FIND(" ",G1607)+1,1)</f>
        <v>SB</v>
      </c>
    </row>
    <row r="1608" customFormat="false" ht="15" hidden="false" customHeight="false" outlineLevel="0" collapsed="false">
      <c r="A1608" s="3" t="n">
        <v>1607</v>
      </c>
      <c r="B1608" s="3" t="s">
        <v>3466</v>
      </c>
      <c r="C1608" s="4" t="s">
        <v>3451</v>
      </c>
      <c r="D1608" s="4" t="s">
        <v>3467</v>
      </c>
      <c r="E1608" s="3" t="s">
        <v>28</v>
      </c>
      <c r="F1608" s="3" t="s">
        <v>1333</v>
      </c>
      <c r="G1608" s="3" t="s">
        <v>1334</v>
      </c>
      <c r="H1608" s="3" t="s">
        <v>56</v>
      </c>
      <c r="I1608" s="3" t="s">
        <v>32</v>
      </c>
      <c r="J1608" s="3" t="s">
        <v>171</v>
      </c>
      <c r="K1608" s="3" t="s">
        <v>172</v>
      </c>
      <c r="L1608" s="3" t="s">
        <v>157</v>
      </c>
      <c r="M1608" s="3" t="s">
        <v>121</v>
      </c>
      <c r="N1608" s="3" t="s">
        <v>49</v>
      </c>
      <c r="O1608" s="3" t="s">
        <v>50</v>
      </c>
      <c r="P1608" s="3" t="s">
        <v>122</v>
      </c>
      <c r="Q1608" s="5" t="n">
        <v>722.23</v>
      </c>
      <c r="R1608" s="3" t="n">
        <v>12</v>
      </c>
      <c r="S1608" s="6" t="n">
        <v>0</v>
      </c>
      <c r="T1608" s="5" t="n">
        <v>-73.46</v>
      </c>
      <c r="U1608" s="3" t="str">
        <f aca="false">IF(T1608&lt;0,"Loss",IF(T1608=0,"Break-even","Profit"))</f>
        <v>Loss</v>
      </c>
      <c r="V1608" s="3" t="str">
        <f aca="false">IF(Q1608&lt;100,"Low",IF(Q1608&lt;=500,"Medium","High"))</f>
        <v>High</v>
      </c>
      <c r="W1608" s="3" t="n">
        <f aca="false">D1608-C1608</f>
        <v>5</v>
      </c>
      <c r="X1608" s="3" t="str">
        <f aca="false">TEXT(C1608,"mmmm")</f>
        <v>February</v>
      </c>
      <c r="Y1608" s="3" t="str">
        <f aca="false">LEFT(G1608,1)&amp;MID(G1608,FIND(" ",G1608)+1,1)</f>
        <v>MN</v>
      </c>
    </row>
    <row r="1609" customFormat="false" ht="15" hidden="false" customHeight="false" outlineLevel="0" collapsed="false">
      <c r="A1609" s="3" t="n">
        <v>1608</v>
      </c>
      <c r="B1609" s="3" t="s">
        <v>3468</v>
      </c>
      <c r="C1609" s="4" t="s">
        <v>3451</v>
      </c>
      <c r="D1609" s="4" t="s">
        <v>3456</v>
      </c>
      <c r="E1609" s="3" t="s">
        <v>84</v>
      </c>
      <c r="F1609" s="3" t="s">
        <v>883</v>
      </c>
      <c r="G1609" s="3" t="s">
        <v>884</v>
      </c>
      <c r="H1609" s="3" t="s">
        <v>31</v>
      </c>
      <c r="I1609" s="3" t="s">
        <v>32</v>
      </c>
      <c r="J1609" s="3" t="s">
        <v>215</v>
      </c>
      <c r="K1609" s="3" t="s">
        <v>34</v>
      </c>
      <c r="L1609" s="3" t="s">
        <v>35</v>
      </c>
      <c r="M1609" s="3" t="s">
        <v>470</v>
      </c>
      <c r="N1609" s="3" t="s">
        <v>49</v>
      </c>
      <c r="O1609" s="3" t="s">
        <v>159</v>
      </c>
      <c r="P1609" s="3" t="s">
        <v>471</v>
      </c>
      <c r="Q1609" s="5" t="n">
        <v>74.27</v>
      </c>
      <c r="R1609" s="3" t="n">
        <v>4</v>
      </c>
      <c r="S1609" s="6" t="n">
        <v>0.5</v>
      </c>
      <c r="T1609" s="5" t="n">
        <v>11.12</v>
      </c>
      <c r="U1609" s="3" t="str">
        <f aca="false">IF(T1609&lt;0,"Loss",IF(T1609=0,"Break-even","Profit"))</f>
        <v>Profit</v>
      </c>
      <c r="V1609" s="3" t="str">
        <f aca="false">IF(Q1609&lt;100,"Low",IF(Q1609&lt;=500,"Medium","High"))</f>
        <v>Low</v>
      </c>
      <c r="W1609" s="3" t="n">
        <f aca="false">D1609-C1609</f>
        <v>2</v>
      </c>
      <c r="X1609" s="3" t="str">
        <f aca="false">TEXT(C1609,"mmmm")</f>
        <v>February</v>
      </c>
      <c r="Y1609" s="3" t="str">
        <f aca="false">LEFT(G1609,1)&amp;MID(G1609,FIND(" ",G1609)+1,1)</f>
        <v>PT</v>
      </c>
    </row>
    <row r="1610" customFormat="false" ht="15" hidden="false" customHeight="false" outlineLevel="0" collapsed="false">
      <c r="A1610" s="3" t="n">
        <v>1609</v>
      </c>
      <c r="B1610" s="3" t="s">
        <v>3469</v>
      </c>
      <c r="C1610" s="4" t="s">
        <v>3451</v>
      </c>
      <c r="D1610" s="4" t="s">
        <v>3465</v>
      </c>
      <c r="E1610" s="3" t="s">
        <v>28</v>
      </c>
      <c r="F1610" s="3" t="s">
        <v>592</v>
      </c>
      <c r="G1610" s="3" t="s">
        <v>593</v>
      </c>
      <c r="H1610" s="3" t="s">
        <v>45</v>
      </c>
      <c r="I1610" s="3" t="s">
        <v>32</v>
      </c>
      <c r="J1610" s="3" t="s">
        <v>381</v>
      </c>
      <c r="K1610" s="3" t="s">
        <v>58</v>
      </c>
      <c r="L1610" s="3" t="s">
        <v>59</v>
      </c>
      <c r="M1610" s="3" t="s">
        <v>149</v>
      </c>
      <c r="N1610" s="3" t="s">
        <v>49</v>
      </c>
      <c r="O1610" s="3" t="s">
        <v>150</v>
      </c>
      <c r="P1610" s="3" t="s">
        <v>151</v>
      </c>
      <c r="Q1610" s="5" t="n">
        <v>748.36</v>
      </c>
      <c r="R1610" s="3" t="n">
        <v>10</v>
      </c>
      <c r="S1610" s="6" t="n">
        <v>0</v>
      </c>
      <c r="T1610" s="5" t="n">
        <v>-44.15</v>
      </c>
      <c r="U1610" s="3" t="str">
        <f aca="false">IF(T1610&lt;0,"Loss",IF(T1610=0,"Break-even","Profit"))</f>
        <v>Loss</v>
      </c>
      <c r="V1610" s="3" t="str">
        <f aca="false">IF(Q1610&lt;100,"Low",IF(Q1610&lt;=500,"Medium","High"))</f>
        <v>High</v>
      </c>
      <c r="W1610" s="3" t="n">
        <f aca="false">D1610-C1610</f>
        <v>3</v>
      </c>
      <c r="X1610" s="3" t="str">
        <f aca="false">TEXT(C1610,"mmmm")</f>
        <v>February</v>
      </c>
      <c r="Y1610" s="3" t="str">
        <f aca="false">LEFT(G1610,1)&amp;MID(G1610,FIND(" ",G1610)+1,1)</f>
        <v>PB</v>
      </c>
    </row>
    <row r="1611" customFormat="false" ht="15" hidden="false" customHeight="false" outlineLevel="0" collapsed="false">
      <c r="A1611" s="3" t="n">
        <v>1610</v>
      </c>
      <c r="B1611" s="3" t="s">
        <v>3470</v>
      </c>
      <c r="C1611" s="4" t="s">
        <v>3463</v>
      </c>
      <c r="D1611" s="4" t="s">
        <v>3471</v>
      </c>
      <c r="E1611" s="3" t="s">
        <v>28</v>
      </c>
      <c r="F1611" s="3" t="s">
        <v>568</v>
      </c>
      <c r="G1611" s="3" t="s">
        <v>569</v>
      </c>
      <c r="H1611" s="3" t="s">
        <v>56</v>
      </c>
      <c r="I1611" s="3" t="s">
        <v>32</v>
      </c>
      <c r="J1611" s="3" t="s">
        <v>57</v>
      </c>
      <c r="K1611" s="3" t="s">
        <v>58</v>
      </c>
      <c r="L1611" s="3" t="s">
        <v>59</v>
      </c>
      <c r="M1611" s="3" t="s">
        <v>114</v>
      </c>
      <c r="N1611" s="3" t="s">
        <v>49</v>
      </c>
      <c r="O1611" s="3" t="s">
        <v>61</v>
      </c>
      <c r="P1611" s="3" t="s">
        <v>115</v>
      </c>
      <c r="Q1611" s="5" t="n">
        <v>32.05</v>
      </c>
      <c r="R1611" s="3" t="n">
        <v>10</v>
      </c>
      <c r="S1611" s="6" t="n">
        <v>0.4</v>
      </c>
      <c r="T1611" s="5" t="n">
        <v>-7.03</v>
      </c>
      <c r="U1611" s="3" t="str">
        <f aca="false">IF(T1611&lt;0,"Loss",IF(T1611=0,"Break-even","Profit"))</f>
        <v>Loss</v>
      </c>
      <c r="V1611" s="3" t="str">
        <f aca="false">IF(Q1611&lt;100,"Low",IF(Q1611&lt;=500,"Medium","High"))</f>
        <v>Low</v>
      </c>
      <c r="W1611" s="3" t="n">
        <f aca="false">D1611-C1611</f>
        <v>3</v>
      </c>
      <c r="X1611" s="3" t="str">
        <f aca="false">TEXT(C1611,"mmmm")</f>
        <v>February</v>
      </c>
      <c r="Y1611" s="3" t="str">
        <f aca="false">LEFT(G1611,1)&amp;MID(G1611,FIND(" ",G1611)+1,1)</f>
        <v>JT</v>
      </c>
    </row>
    <row r="1612" customFormat="false" ht="15" hidden="false" customHeight="false" outlineLevel="0" collapsed="false">
      <c r="A1612" s="3" t="n">
        <v>1611</v>
      </c>
      <c r="B1612" s="3" t="s">
        <v>3472</v>
      </c>
      <c r="C1612" s="4" t="s">
        <v>3456</v>
      </c>
      <c r="D1612" s="4" t="s">
        <v>3473</v>
      </c>
      <c r="E1612" s="3" t="s">
        <v>28</v>
      </c>
      <c r="F1612" s="3" t="s">
        <v>1631</v>
      </c>
      <c r="G1612" s="3" t="s">
        <v>1632</v>
      </c>
      <c r="H1612" s="3" t="s">
        <v>56</v>
      </c>
      <c r="I1612" s="3" t="s">
        <v>32</v>
      </c>
      <c r="J1612" s="3" t="s">
        <v>208</v>
      </c>
      <c r="K1612" s="3" t="s">
        <v>134</v>
      </c>
      <c r="L1612" s="3" t="s">
        <v>69</v>
      </c>
      <c r="M1612" s="3" t="s">
        <v>158</v>
      </c>
      <c r="N1612" s="3" t="s">
        <v>49</v>
      </c>
      <c r="O1612" s="3" t="s">
        <v>159</v>
      </c>
      <c r="P1612" s="3" t="s">
        <v>160</v>
      </c>
      <c r="Q1612" s="5" t="n">
        <v>95.33</v>
      </c>
      <c r="R1612" s="3" t="n">
        <v>8</v>
      </c>
      <c r="S1612" s="6" t="n">
        <v>0</v>
      </c>
      <c r="T1612" s="5" t="n">
        <v>-20.85</v>
      </c>
      <c r="U1612" s="3" t="str">
        <f aca="false">IF(T1612&lt;0,"Loss",IF(T1612=0,"Break-even","Profit"))</f>
        <v>Loss</v>
      </c>
      <c r="V1612" s="3" t="str">
        <f aca="false">IF(Q1612&lt;100,"Low",IF(Q1612&lt;=500,"Medium","High"))</f>
        <v>Low</v>
      </c>
      <c r="W1612" s="3" t="n">
        <f aca="false">D1612-C1612</f>
        <v>5</v>
      </c>
      <c r="X1612" s="3" t="str">
        <f aca="false">TEXT(C1612,"mmmm")</f>
        <v>February</v>
      </c>
      <c r="Y1612" s="3" t="str">
        <f aca="false">LEFT(G1612,1)&amp;MID(G1612,FIND(" ",G1612)+1,1)</f>
        <v>AK</v>
      </c>
    </row>
    <row r="1613" customFormat="false" ht="15" hidden="false" customHeight="false" outlineLevel="0" collapsed="false">
      <c r="A1613" s="3" t="n">
        <v>1612</v>
      </c>
      <c r="B1613" s="3" t="s">
        <v>3474</v>
      </c>
      <c r="C1613" s="4" t="s">
        <v>3456</v>
      </c>
      <c r="D1613" s="4" t="s">
        <v>3475</v>
      </c>
      <c r="E1613" s="3" t="s">
        <v>28</v>
      </c>
      <c r="F1613" s="3" t="s">
        <v>2462</v>
      </c>
      <c r="G1613" s="3" t="s">
        <v>2463</v>
      </c>
      <c r="H1613" s="3" t="s">
        <v>56</v>
      </c>
      <c r="I1613" s="3" t="s">
        <v>32</v>
      </c>
      <c r="J1613" s="3" t="s">
        <v>87</v>
      </c>
      <c r="K1613" s="3" t="s">
        <v>68</v>
      </c>
      <c r="L1613" s="3" t="s">
        <v>69</v>
      </c>
      <c r="M1613" s="3" t="s">
        <v>48</v>
      </c>
      <c r="N1613" s="3" t="s">
        <v>49</v>
      </c>
      <c r="O1613" s="3" t="s">
        <v>50</v>
      </c>
      <c r="P1613" s="3" t="s">
        <v>51</v>
      </c>
      <c r="Q1613" s="5" t="n">
        <v>709.16</v>
      </c>
      <c r="R1613" s="3" t="n">
        <v>9</v>
      </c>
      <c r="S1613" s="6" t="n">
        <v>0.5</v>
      </c>
      <c r="T1613" s="5" t="n">
        <v>-26.77</v>
      </c>
      <c r="U1613" s="3" t="str">
        <f aca="false">IF(T1613&lt;0,"Loss",IF(T1613=0,"Break-even","Profit"))</f>
        <v>Loss</v>
      </c>
      <c r="V1613" s="3" t="str">
        <f aca="false">IF(Q1613&lt;100,"Low",IF(Q1613&lt;=500,"Medium","High"))</f>
        <v>High</v>
      </c>
      <c r="W1613" s="3" t="n">
        <f aca="false">D1613-C1613</f>
        <v>4</v>
      </c>
      <c r="X1613" s="3" t="str">
        <f aca="false">TEXT(C1613,"mmmm")</f>
        <v>February</v>
      </c>
      <c r="Y1613" s="3" t="str">
        <f aca="false">LEFT(G1613,1)&amp;MID(G1613,FIND(" ",G1613)+1,1)</f>
        <v>LS</v>
      </c>
    </row>
    <row r="1614" customFormat="false" ht="15" hidden="false" customHeight="false" outlineLevel="0" collapsed="false">
      <c r="A1614" s="3" t="n">
        <v>1613</v>
      </c>
      <c r="B1614" s="3" t="s">
        <v>3476</v>
      </c>
      <c r="C1614" s="4" t="s">
        <v>3465</v>
      </c>
      <c r="D1614" s="4" t="s">
        <v>3477</v>
      </c>
      <c r="E1614" s="3" t="s">
        <v>28</v>
      </c>
      <c r="F1614" s="3" t="s">
        <v>609</v>
      </c>
      <c r="G1614" s="3" t="s">
        <v>610</v>
      </c>
      <c r="H1614" s="3" t="s">
        <v>56</v>
      </c>
      <c r="I1614" s="3" t="s">
        <v>32</v>
      </c>
      <c r="J1614" s="3" t="s">
        <v>201</v>
      </c>
      <c r="K1614" s="3" t="s">
        <v>202</v>
      </c>
      <c r="L1614" s="3" t="s">
        <v>35</v>
      </c>
      <c r="M1614" s="3" t="s">
        <v>300</v>
      </c>
      <c r="N1614" s="3" t="s">
        <v>49</v>
      </c>
      <c r="O1614" s="3" t="s">
        <v>143</v>
      </c>
      <c r="P1614" s="3" t="s">
        <v>301</v>
      </c>
      <c r="Q1614" s="5" t="n">
        <v>820.9</v>
      </c>
      <c r="R1614" s="3" t="n">
        <v>8</v>
      </c>
      <c r="S1614" s="6" t="n">
        <v>0.2</v>
      </c>
      <c r="T1614" s="5" t="n">
        <v>170.43</v>
      </c>
      <c r="U1614" s="3" t="str">
        <f aca="false">IF(T1614&lt;0,"Loss",IF(T1614=0,"Break-even","Profit"))</f>
        <v>Profit</v>
      </c>
      <c r="V1614" s="3" t="str">
        <f aca="false">IF(Q1614&lt;100,"Low",IF(Q1614&lt;=500,"Medium","High"))</f>
        <v>High</v>
      </c>
      <c r="W1614" s="3" t="n">
        <f aca="false">D1614-C1614</f>
        <v>5</v>
      </c>
      <c r="X1614" s="3" t="str">
        <f aca="false">TEXT(C1614,"mmmm")</f>
        <v>February</v>
      </c>
      <c r="Y1614" s="3" t="str">
        <f aca="false">LEFT(G1614,1)&amp;MID(G1614,FIND(" ",G1614)+1,1)</f>
        <v>DK</v>
      </c>
    </row>
    <row r="1615" customFormat="false" ht="15" hidden="false" customHeight="false" outlineLevel="0" collapsed="false">
      <c r="A1615" s="3" t="n">
        <v>1614</v>
      </c>
      <c r="B1615" s="3" t="s">
        <v>3478</v>
      </c>
      <c r="C1615" s="4" t="s">
        <v>3471</v>
      </c>
      <c r="D1615" s="4" t="s">
        <v>3477</v>
      </c>
      <c r="E1615" s="3" t="s">
        <v>28</v>
      </c>
      <c r="F1615" s="3" t="s">
        <v>1493</v>
      </c>
      <c r="G1615" s="3" t="s">
        <v>1494</v>
      </c>
      <c r="H1615" s="3" t="s">
        <v>56</v>
      </c>
      <c r="I1615" s="3" t="s">
        <v>32</v>
      </c>
      <c r="J1615" s="3" t="s">
        <v>329</v>
      </c>
      <c r="K1615" s="3" t="s">
        <v>156</v>
      </c>
      <c r="L1615" s="3" t="s">
        <v>157</v>
      </c>
      <c r="M1615" s="3" t="s">
        <v>97</v>
      </c>
      <c r="N1615" s="3" t="s">
        <v>89</v>
      </c>
      <c r="O1615" s="3" t="s">
        <v>90</v>
      </c>
      <c r="P1615" s="3" t="s">
        <v>98</v>
      </c>
      <c r="Q1615" s="5" t="n">
        <v>4613.28</v>
      </c>
      <c r="R1615" s="3" t="n">
        <v>6</v>
      </c>
      <c r="S1615" s="6" t="n">
        <v>0</v>
      </c>
      <c r="T1615" s="5" t="n">
        <v>-428.7</v>
      </c>
      <c r="U1615" s="3" t="str">
        <f aca="false">IF(T1615&lt;0,"Loss",IF(T1615=0,"Break-even","Profit"))</f>
        <v>Loss</v>
      </c>
      <c r="V1615" s="3" t="str">
        <f aca="false">IF(Q1615&lt;100,"Low",IF(Q1615&lt;=500,"Medium","High"))</f>
        <v>High</v>
      </c>
      <c r="W1615" s="3" t="n">
        <f aca="false">D1615-C1615</f>
        <v>4</v>
      </c>
      <c r="X1615" s="3" t="str">
        <f aca="false">TEXT(C1615,"mmmm")</f>
        <v>February</v>
      </c>
      <c r="Y1615" s="3" t="str">
        <f aca="false">LEFT(G1615,1)&amp;MID(G1615,FIND(" ",G1615)+1,1)</f>
        <v>DG</v>
      </c>
    </row>
    <row r="1616" customFormat="false" ht="15" hidden="false" customHeight="false" outlineLevel="0" collapsed="false">
      <c r="A1616" s="3" t="n">
        <v>1615</v>
      </c>
      <c r="B1616" s="3" t="s">
        <v>3479</v>
      </c>
      <c r="C1616" s="4" t="s">
        <v>3471</v>
      </c>
      <c r="D1616" s="4" t="s">
        <v>3467</v>
      </c>
      <c r="E1616" s="3" t="s">
        <v>42</v>
      </c>
      <c r="F1616" s="3" t="s">
        <v>1296</v>
      </c>
      <c r="G1616" s="3" t="s">
        <v>1297</v>
      </c>
      <c r="H1616" s="3" t="s">
        <v>31</v>
      </c>
      <c r="I1616" s="3" t="s">
        <v>32</v>
      </c>
      <c r="J1616" s="3" t="s">
        <v>33</v>
      </c>
      <c r="K1616" s="3" t="s">
        <v>34</v>
      </c>
      <c r="L1616" s="3" t="s">
        <v>35</v>
      </c>
      <c r="M1616" s="3" t="s">
        <v>173</v>
      </c>
      <c r="N1616" s="3" t="s">
        <v>89</v>
      </c>
      <c r="O1616" s="3" t="s">
        <v>174</v>
      </c>
      <c r="P1616" s="3" t="s">
        <v>175</v>
      </c>
      <c r="Q1616" s="5" t="n">
        <v>8274.64</v>
      </c>
      <c r="R1616" s="3" t="n">
        <v>13</v>
      </c>
      <c r="S1616" s="6" t="n">
        <v>0</v>
      </c>
      <c r="T1616" s="5" t="n">
        <v>1597.07</v>
      </c>
      <c r="U1616" s="3" t="str">
        <f aca="false">IF(T1616&lt;0,"Loss",IF(T1616=0,"Break-even","Profit"))</f>
        <v>Profit</v>
      </c>
      <c r="V1616" s="3" t="str">
        <f aca="false">IF(Q1616&lt;100,"Low",IF(Q1616&lt;=500,"Medium","High"))</f>
        <v>High</v>
      </c>
      <c r="W1616" s="3" t="n">
        <f aca="false">D1616-C1616</f>
        <v>1</v>
      </c>
      <c r="X1616" s="3" t="str">
        <f aca="false">TEXT(C1616,"mmmm")</f>
        <v>February</v>
      </c>
      <c r="Y1616" s="3" t="str">
        <f aca="false">LEFT(G1616,1)&amp;MID(G1616,FIND(" ",G1616)+1,1)</f>
        <v>JW</v>
      </c>
    </row>
    <row r="1617" customFormat="false" ht="15" hidden="false" customHeight="false" outlineLevel="0" collapsed="false">
      <c r="A1617" s="3" t="n">
        <v>1616</v>
      </c>
      <c r="B1617" s="3" t="s">
        <v>3480</v>
      </c>
      <c r="C1617" s="4" t="s">
        <v>3467</v>
      </c>
      <c r="D1617" s="4" t="s">
        <v>3477</v>
      </c>
      <c r="E1617" s="3" t="s">
        <v>84</v>
      </c>
      <c r="F1617" s="3" t="s">
        <v>354</v>
      </c>
      <c r="G1617" s="3" t="s">
        <v>355</v>
      </c>
      <c r="H1617" s="3" t="s">
        <v>56</v>
      </c>
      <c r="I1617" s="3" t="s">
        <v>32</v>
      </c>
      <c r="J1617" s="3" t="s">
        <v>208</v>
      </c>
      <c r="K1617" s="3" t="s">
        <v>134</v>
      </c>
      <c r="L1617" s="3" t="s">
        <v>69</v>
      </c>
      <c r="M1617" s="3" t="s">
        <v>683</v>
      </c>
      <c r="N1617" s="3" t="s">
        <v>37</v>
      </c>
      <c r="O1617" s="3" t="s">
        <v>136</v>
      </c>
      <c r="P1617" s="3" t="s">
        <v>684</v>
      </c>
      <c r="Q1617" s="5" t="n">
        <v>3035.65</v>
      </c>
      <c r="R1617" s="3" t="n">
        <v>6</v>
      </c>
      <c r="S1617" s="6" t="n">
        <v>0.1</v>
      </c>
      <c r="T1617" s="5" t="n">
        <v>-6.42</v>
      </c>
      <c r="U1617" s="3" t="str">
        <f aca="false">IF(T1617&lt;0,"Loss",IF(T1617=0,"Break-even","Profit"))</f>
        <v>Loss</v>
      </c>
      <c r="V1617" s="3" t="str">
        <f aca="false">IF(Q1617&lt;100,"Low",IF(Q1617&lt;=500,"Medium","High"))</f>
        <v>High</v>
      </c>
      <c r="W1617" s="3" t="n">
        <f aca="false">D1617-C1617</f>
        <v>3</v>
      </c>
      <c r="X1617" s="3" t="str">
        <f aca="false">TEXT(C1617,"mmmm")</f>
        <v>February</v>
      </c>
      <c r="Y1617" s="3" t="str">
        <f aca="false">LEFT(G1617,1)&amp;MID(G1617,FIND(" ",G1617)+1,1)</f>
        <v>JW</v>
      </c>
    </row>
    <row r="1618" customFormat="false" ht="15" hidden="false" customHeight="false" outlineLevel="0" collapsed="false">
      <c r="A1618" s="3" t="n">
        <v>1617</v>
      </c>
      <c r="B1618" s="3" t="s">
        <v>3481</v>
      </c>
      <c r="C1618" s="4" t="s">
        <v>3475</v>
      </c>
      <c r="D1618" s="4" t="s">
        <v>3482</v>
      </c>
      <c r="E1618" s="3" t="s">
        <v>28</v>
      </c>
      <c r="F1618" s="3" t="s">
        <v>946</v>
      </c>
      <c r="G1618" s="3" t="s">
        <v>947</v>
      </c>
      <c r="H1618" s="3" t="s">
        <v>56</v>
      </c>
      <c r="I1618" s="3" t="s">
        <v>32</v>
      </c>
      <c r="J1618" s="3" t="s">
        <v>315</v>
      </c>
      <c r="K1618" s="3" t="s">
        <v>58</v>
      </c>
      <c r="L1618" s="3" t="s">
        <v>59</v>
      </c>
      <c r="M1618" s="3" t="s">
        <v>209</v>
      </c>
      <c r="N1618" s="3" t="s">
        <v>49</v>
      </c>
      <c r="O1618" s="3" t="s">
        <v>106</v>
      </c>
      <c r="P1618" s="3" t="s">
        <v>210</v>
      </c>
      <c r="Q1618" s="5" t="n">
        <v>30.99</v>
      </c>
      <c r="R1618" s="3" t="n">
        <v>1</v>
      </c>
      <c r="S1618" s="6" t="n">
        <v>0.2</v>
      </c>
      <c r="T1618" s="5" t="n">
        <v>8.56</v>
      </c>
      <c r="U1618" s="3" t="str">
        <f aca="false">IF(T1618&lt;0,"Loss",IF(T1618=0,"Break-even","Profit"))</f>
        <v>Profit</v>
      </c>
      <c r="V1618" s="3" t="str">
        <f aca="false">IF(Q1618&lt;100,"Low",IF(Q1618&lt;=500,"Medium","High"))</f>
        <v>Low</v>
      </c>
      <c r="W1618" s="3" t="n">
        <f aca="false">D1618-C1618</f>
        <v>5</v>
      </c>
      <c r="X1618" s="3" t="str">
        <f aca="false">TEXT(C1618,"mmmm")</f>
        <v>February</v>
      </c>
      <c r="Y1618" s="3" t="str">
        <f aca="false">LEFT(G1618,1)&amp;MID(G1618,FIND(" ",G1618)+1,1)</f>
        <v>MW</v>
      </c>
    </row>
    <row r="1619" customFormat="false" ht="15" hidden="false" customHeight="false" outlineLevel="0" collapsed="false">
      <c r="A1619" s="3" t="n">
        <v>1618</v>
      </c>
      <c r="B1619" s="3" t="s">
        <v>3483</v>
      </c>
      <c r="C1619" s="4" t="s">
        <v>3475</v>
      </c>
      <c r="D1619" s="4" t="s">
        <v>3484</v>
      </c>
      <c r="E1619" s="3" t="s">
        <v>28</v>
      </c>
      <c r="F1619" s="3" t="s">
        <v>375</v>
      </c>
      <c r="G1619" s="3" t="s">
        <v>376</v>
      </c>
      <c r="H1619" s="3" t="s">
        <v>31</v>
      </c>
      <c r="I1619" s="3" t="s">
        <v>32</v>
      </c>
      <c r="J1619" s="3" t="s">
        <v>215</v>
      </c>
      <c r="K1619" s="3" t="s">
        <v>34</v>
      </c>
      <c r="L1619" s="3" t="s">
        <v>35</v>
      </c>
      <c r="M1619" s="3" t="s">
        <v>158</v>
      </c>
      <c r="N1619" s="3" t="s">
        <v>49</v>
      </c>
      <c r="O1619" s="3" t="s">
        <v>159</v>
      </c>
      <c r="P1619" s="3" t="s">
        <v>160</v>
      </c>
      <c r="Q1619" s="5" t="n">
        <v>402.72</v>
      </c>
      <c r="R1619" s="3" t="n">
        <v>6</v>
      </c>
      <c r="S1619" s="6" t="n">
        <v>0</v>
      </c>
      <c r="T1619" s="5" t="n">
        <v>-11.42</v>
      </c>
      <c r="U1619" s="3" t="str">
        <f aca="false">IF(T1619&lt;0,"Loss",IF(T1619=0,"Break-even","Profit"))</f>
        <v>Loss</v>
      </c>
      <c r="V1619" s="3" t="str">
        <f aca="false">IF(Q1619&lt;100,"Low",IF(Q1619&lt;=500,"Medium","High"))</f>
        <v>Medium</v>
      </c>
      <c r="W1619" s="3" t="n">
        <f aca="false">D1619-C1619</f>
        <v>4</v>
      </c>
      <c r="X1619" s="3" t="str">
        <f aca="false">TEXT(C1619,"mmmm")</f>
        <v>February</v>
      </c>
      <c r="Y1619" s="3" t="str">
        <f aca="false">LEFT(G1619,1)&amp;MID(G1619,FIND(" ",G1619)+1,1)</f>
        <v>MN</v>
      </c>
    </row>
    <row r="1620" customFormat="false" ht="15" hidden="false" customHeight="false" outlineLevel="0" collapsed="false">
      <c r="A1620" s="3" t="n">
        <v>1619</v>
      </c>
      <c r="B1620" s="3" t="s">
        <v>3485</v>
      </c>
      <c r="C1620" s="4" t="s">
        <v>3475</v>
      </c>
      <c r="D1620" s="4" t="s">
        <v>3486</v>
      </c>
      <c r="E1620" s="3" t="s">
        <v>28</v>
      </c>
      <c r="F1620" s="3" t="s">
        <v>862</v>
      </c>
      <c r="G1620" s="3" t="s">
        <v>863</v>
      </c>
      <c r="H1620" s="3" t="s">
        <v>56</v>
      </c>
      <c r="I1620" s="3" t="s">
        <v>32</v>
      </c>
      <c r="J1620" s="3" t="s">
        <v>77</v>
      </c>
      <c r="K1620" s="3" t="s">
        <v>78</v>
      </c>
      <c r="L1620" s="3" t="s">
        <v>59</v>
      </c>
      <c r="M1620" s="3" t="s">
        <v>237</v>
      </c>
      <c r="N1620" s="3" t="s">
        <v>49</v>
      </c>
      <c r="O1620" s="3" t="s">
        <v>220</v>
      </c>
      <c r="P1620" s="3" t="s">
        <v>238</v>
      </c>
      <c r="Q1620" s="5" t="n">
        <v>86.76</v>
      </c>
      <c r="R1620" s="3" t="n">
        <v>2</v>
      </c>
      <c r="S1620" s="6" t="n">
        <v>0.2</v>
      </c>
      <c r="T1620" s="5" t="n">
        <v>25.02</v>
      </c>
      <c r="U1620" s="3" t="str">
        <f aca="false">IF(T1620&lt;0,"Loss",IF(T1620=0,"Break-even","Profit"))</f>
        <v>Profit</v>
      </c>
      <c r="V1620" s="3" t="str">
        <f aca="false">IF(Q1620&lt;100,"Low",IF(Q1620&lt;=500,"Medium","High"))</f>
        <v>Low</v>
      </c>
      <c r="W1620" s="3" t="n">
        <f aca="false">D1620-C1620</f>
        <v>7</v>
      </c>
      <c r="X1620" s="3" t="str">
        <f aca="false">TEXT(C1620,"mmmm")</f>
        <v>February</v>
      </c>
      <c r="Y1620" s="3" t="str">
        <f aca="false">LEFT(G1620,1)&amp;MID(G1620,FIND(" ",G1620)+1,1)</f>
        <v>LG</v>
      </c>
    </row>
    <row r="1621" customFormat="false" ht="15" hidden="false" customHeight="false" outlineLevel="0" collapsed="false">
      <c r="A1621" s="3" t="n">
        <v>1620</v>
      </c>
      <c r="B1621" s="3" t="s">
        <v>3487</v>
      </c>
      <c r="C1621" s="4" t="s">
        <v>3473</v>
      </c>
      <c r="D1621" s="4" t="s">
        <v>3477</v>
      </c>
      <c r="E1621" s="3" t="s">
        <v>42</v>
      </c>
      <c r="F1621" s="3" t="s">
        <v>665</v>
      </c>
      <c r="G1621" s="3" t="s">
        <v>666</v>
      </c>
      <c r="H1621" s="3" t="s">
        <v>56</v>
      </c>
      <c r="I1621" s="3" t="s">
        <v>32</v>
      </c>
      <c r="J1621" s="3" t="s">
        <v>252</v>
      </c>
      <c r="K1621" s="3" t="s">
        <v>172</v>
      </c>
      <c r="L1621" s="3" t="s">
        <v>157</v>
      </c>
      <c r="M1621" s="3" t="s">
        <v>237</v>
      </c>
      <c r="N1621" s="3" t="s">
        <v>49</v>
      </c>
      <c r="O1621" s="3" t="s">
        <v>220</v>
      </c>
      <c r="P1621" s="3" t="s">
        <v>238</v>
      </c>
      <c r="Q1621" s="5" t="n">
        <v>89.41</v>
      </c>
      <c r="R1621" s="3" t="n">
        <v>7</v>
      </c>
      <c r="S1621" s="6" t="n">
        <v>0</v>
      </c>
      <c r="T1621" s="5" t="n">
        <v>25.73</v>
      </c>
      <c r="U1621" s="3" t="str">
        <f aca="false">IF(T1621&lt;0,"Loss",IF(T1621=0,"Break-even","Profit"))</f>
        <v>Profit</v>
      </c>
      <c r="V1621" s="3" t="str">
        <f aca="false">IF(Q1621&lt;100,"Low",IF(Q1621&lt;=500,"Medium","High"))</f>
        <v>Low</v>
      </c>
      <c r="W1621" s="3" t="n">
        <f aca="false">D1621-C1621</f>
        <v>1</v>
      </c>
      <c r="X1621" s="3" t="str">
        <f aca="false">TEXT(C1621,"mmmm")</f>
        <v>February</v>
      </c>
      <c r="Y1621" s="3" t="str">
        <f aca="false">LEFT(G1621,1)&amp;MID(G1621,FIND(" ",G1621)+1,1)</f>
        <v>EM</v>
      </c>
    </row>
    <row r="1622" customFormat="false" ht="15" hidden="false" customHeight="false" outlineLevel="0" collapsed="false">
      <c r="A1622" s="3" t="n">
        <v>1621</v>
      </c>
      <c r="B1622" s="3" t="s">
        <v>3488</v>
      </c>
      <c r="C1622" s="4" t="s">
        <v>3489</v>
      </c>
      <c r="D1622" s="4" t="s">
        <v>3490</v>
      </c>
      <c r="E1622" s="3" t="s">
        <v>28</v>
      </c>
      <c r="F1622" s="3" t="s">
        <v>979</v>
      </c>
      <c r="G1622" s="3" t="s">
        <v>980</v>
      </c>
      <c r="H1622" s="3" t="s">
        <v>31</v>
      </c>
      <c r="I1622" s="3" t="s">
        <v>32</v>
      </c>
      <c r="J1622" s="3" t="s">
        <v>252</v>
      </c>
      <c r="K1622" s="3" t="s">
        <v>172</v>
      </c>
      <c r="L1622" s="3" t="s">
        <v>157</v>
      </c>
      <c r="M1622" s="3" t="s">
        <v>461</v>
      </c>
      <c r="N1622" s="3" t="s">
        <v>37</v>
      </c>
      <c r="O1622" s="3" t="s">
        <v>71</v>
      </c>
      <c r="P1622" s="3" t="s">
        <v>462</v>
      </c>
      <c r="Q1622" s="5" t="n">
        <v>11686.36</v>
      </c>
      <c r="R1622" s="3" t="n">
        <v>9</v>
      </c>
      <c r="S1622" s="6" t="n">
        <v>0</v>
      </c>
      <c r="T1622" s="5" t="n">
        <v>251.48</v>
      </c>
      <c r="U1622" s="3" t="str">
        <f aca="false">IF(T1622&lt;0,"Loss",IF(T1622=0,"Break-even","Profit"))</f>
        <v>Profit</v>
      </c>
      <c r="V1622" s="3" t="str">
        <f aca="false">IF(Q1622&lt;100,"Low",IF(Q1622&lt;=500,"Medium","High"))</f>
        <v>High</v>
      </c>
      <c r="W1622" s="3" t="n">
        <f aca="false">D1622-C1622</f>
        <v>7</v>
      </c>
      <c r="X1622" s="3" t="str">
        <f aca="false">TEXT(C1622,"mmmm")</f>
        <v>February</v>
      </c>
      <c r="Y1622" s="3" t="str">
        <f aca="false">LEFT(G1622,1)&amp;MID(G1622,FIND(" ",G1622)+1,1)</f>
        <v>CK</v>
      </c>
    </row>
    <row r="1623" customFormat="false" ht="15" hidden="false" customHeight="false" outlineLevel="0" collapsed="false">
      <c r="A1623" s="3" t="n">
        <v>1622</v>
      </c>
      <c r="B1623" s="3" t="s">
        <v>3491</v>
      </c>
      <c r="C1623" s="4" t="s">
        <v>3489</v>
      </c>
      <c r="D1623" s="4" t="s">
        <v>3492</v>
      </c>
      <c r="E1623" s="3" t="s">
        <v>28</v>
      </c>
      <c r="F1623" s="3" t="s">
        <v>755</v>
      </c>
      <c r="G1623" s="3" t="s">
        <v>756</v>
      </c>
      <c r="H1623" s="3" t="s">
        <v>31</v>
      </c>
      <c r="I1623" s="3" t="s">
        <v>32</v>
      </c>
      <c r="J1623" s="3" t="s">
        <v>381</v>
      </c>
      <c r="K1623" s="3" t="s">
        <v>58</v>
      </c>
      <c r="L1623" s="3" t="s">
        <v>59</v>
      </c>
      <c r="M1623" s="3" t="s">
        <v>290</v>
      </c>
      <c r="N1623" s="3" t="s">
        <v>37</v>
      </c>
      <c r="O1623" s="3" t="s">
        <v>38</v>
      </c>
      <c r="P1623" s="3" t="s">
        <v>291</v>
      </c>
      <c r="Q1623" s="5" t="n">
        <v>13121.23</v>
      </c>
      <c r="R1623" s="3" t="n">
        <v>12</v>
      </c>
      <c r="S1623" s="6" t="n">
        <v>0.4</v>
      </c>
      <c r="T1623" s="5" t="n">
        <v>2999.23</v>
      </c>
      <c r="U1623" s="3" t="str">
        <f aca="false">IF(T1623&lt;0,"Loss",IF(T1623=0,"Break-even","Profit"))</f>
        <v>Profit</v>
      </c>
      <c r="V1623" s="3" t="str">
        <f aca="false">IF(Q1623&lt;100,"Low",IF(Q1623&lt;=500,"Medium","High"))</f>
        <v>High</v>
      </c>
      <c r="W1623" s="3" t="n">
        <f aca="false">D1623-C1623</f>
        <v>5</v>
      </c>
      <c r="X1623" s="3" t="str">
        <f aca="false">TEXT(C1623,"mmmm")</f>
        <v>February</v>
      </c>
      <c r="Y1623" s="3" t="str">
        <f aca="false">LEFT(G1623,1)&amp;MID(G1623,FIND(" ",G1623)+1,1)</f>
        <v>MA</v>
      </c>
    </row>
    <row r="1624" customFormat="false" ht="15" hidden="false" customHeight="false" outlineLevel="0" collapsed="false">
      <c r="A1624" s="3" t="n">
        <v>1623</v>
      </c>
      <c r="B1624" s="3" t="s">
        <v>3493</v>
      </c>
      <c r="C1624" s="4" t="s">
        <v>3489</v>
      </c>
      <c r="D1624" s="4" t="s">
        <v>3484</v>
      </c>
      <c r="E1624" s="3" t="s">
        <v>42</v>
      </c>
      <c r="F1624" s="3" t="s">
        <v>1197</v>
      </c>
      <c r="G1624" s="3" t="s">
        <v>1198</v>
      </c>
      <c r="H1624" s="3" t="s">
        <v>56</v>
      </c>
      <c r="I1624" s="3" t="s">
        <v>32</v>
      </c>
      <c r="J1624" s="3" t="s">
        <v>179</v>
      </c>
      <c r="K1624" s="3" t="s">
        <v>47</v>
      </c>
      <c r="L1624" s="3" t="s">
        <v>35</v>
      </c>
      <c r="M1624" s="3" t="s">
        <v>470</v>
      </c>
      <c r="N1624" s="3" t="s">
        <v>49</v>
      </c>
      <c r="O1624" s="3" t="s">
        <v>159</v>
      </c>
      <c r="P1624" s="3" t="s">
        <v>471</v>
      </c>
      <c r="Q1624" s="5" t="n">
        <v>221.89</v>
      </c>
      <c r="R1624" s="3" t="n">
        <v>6</v>
      </c>
      <c r="S1624" s="6" t="n">
        <v>0</v>
      </c>
      <c r="T1624" s="5" t="n">
        <v>28.2</v>
      </c>
      <c r="U1624" s="3" t="str">
        <f aca="false">IF(T1624&lt;0,"Loss",IF(T1624=0,"Break-even","Profit"))</f>
        <v>Profit</v>
      </c>
      <c r="V1624" s="3" t="str">
        <f aca="false">IF(Q1624&lt;100,"Low",IF(Q1624&lt;=500,"Medium","High"))</f>
        <v>Medium</v>
      </c>
      <c r="W1624" s="3" t="n">
        <f aca="false">D1624-C1624</f>
        <v>1</v>
      </c>
      <c r="X1624" s="3" t="str">
        <f aca="false">TEXT(C1624,"mmmm")</f>
        <v>February</v>
      </c>
      <c r="Y1624" s="3" t="str">
        <f aca="false">LEFT(G1624,1)&amp;MID(G1624,FIND(" ",G1624)+1,1)</f>
        <v>PT</v>
      </c>
    </row>
    <row r="1625" customFormat="false" ht="15" hidden="false" customHeight="false" outlineLevel="0" collapsed="false">
      <c r="A1625" s="3" t="n">
        <v>1624</v>
      </c>
      <c r="B1625" s="3" t="s">
        <v>3494</v>
      </c>
      <c r="C1625" s="4" t="s">
        <v>3482</v>
      </c>
      <c r="D1625" s="4" t="s">
        <v>3495</v>
      </c>
      <c r="E1625" s="3" t="s">
        <v>28</v>
      </c>
      <c r="F1625" s="3" t="s">
        <v>1631</v>
      </c>
      <c r="G1625" s="3" t="s">
        <v>1632</v>
      </c>
      <c r="H1625" s="3" t="s">
        <v>45</v>
      </c>
      <c r="I1625" s="3" t="s">
        <v>32</v>
      </c>
      <c r="J1625" s="3" t="s">
        <v>476</v>
      </c>
      <c r="K1625" s="3" t="s">
        <v>366</v>
      </c>
      <c r="L1625" s="3" t="s">
        <v>157</v>
      </c>
      <c r="M1625" s="3" t="s">
        <v>135</v>
      </c>
      <c r="N1625" s="3" t="s">
        <v>37</v>
      </c>
      <c r="O1625" s="3" t="s">
        <v>136</v>
      </c>
      <c r="P1625" s="3" t="s">
        <v>137</v>
      </c>
      <c r="Q1625" s="5" t="n">
        <v>8955.45</v>
      </c>
      <c r="R1625" s="3" t="n">
        <v>11</v>
      </c>
      <c r="S1625" s="6" t="n">
        <v>0</v>
      </c>
      <c r="T1625" s="5" t="n">
        <v>-545.45</v>
      </c>
      <c r="U1625" s="3" t="str">
        <f aca="false">IF(T1625&lt;0,"Loss",IF(T1625=0,"Break-even","Profit"))</f>
        <v>Loss</v>
      </c>
      <c r="V1625" s="3" t="str">
        <f aca="false">IF(Q1625&lt;100,"Low",IF(Q1625&lt;=500,"Medium","High"))</f>
        <v>High</v>
      </c>
      <c r="W1625" s="3" t="n">
        <f aca="false">D1625-C1625</f>
        <v>7</v>
      </c>
      <c r="X1625" s="3" t="str">
        <f aca="false">TEXT(C1625,"mmmm")</f>
        <v>February</v>
      </c>
      <c r="Y1625" s="3" t="str">
        <f aca="false">LEFT(G1625,1)&amp;MID(G1625,FIND(" ",G1625)+1,1)</f>
        <v>AK</v>
      </c>
    </row>
    <row r="1626" customFormat="false" ht="15" hidden="false" customHeight="false" outlineLevel="0" collapsed="false">
      <c r="A1626" s="3" t="n">
        <v>1625</v>
      </c>
      <c r="B1626" s="3" t="s">
        <v>3496</v>
      </c>
      <c r="C1626" s="4" t="s">
        <v>3486</v>
      </c>
      <c r="D1626" s="4" t="s">
        <v>3490</v>
      </c>
      <c r="E1626" s="3" t="s">
        <v>84</v>
      </c>
      <c r="F1626" s="3" t="s">
        <v>1802</v>
      </c>
      <c r="G1626" s="3" t="s">
        <v>1803</v>
      </c>
      <c r="H1626" s="3" t="s">
        <v>56</v>
      </c>
      <c r="I1626" s="3" t="s">
        <v>32</v>
      </c>
      <c r="J1626" s="3" t="s">
        <v>252</v>
      </c>
      <c r="K1626" s="3" t="s">
        <v>172</v>
      </c>
      <c r="L1626" s="3" t="s">
        <v>157</v>
      </c>
      <c r="M1626" s="3" t="s">
        <v>114</v>
      </c>
      <c r="N1626" s="3" t="s">
        <v>49</v>
      </c>
      <c r="O1626" s="3" t="s">
        <v>61</v>
      </c>
      <c r="P1626" s="3" t="s">
        <v>115</v>
      </c>
      <c r="Q1626" s="5" t="n">
        <v>31</v>
      </c>
      <c r="R1626" s="3" t="n">
        <v>10</v>
      </c>
      <c r="S1626" s="6" t="n">
        <v>0</v>
      </c>
      <c r="T1626" s="5" t="n">
        <v>2.92</v>
      </c>
      <c r="U1626" s="3" t="str">
        <f aca="false">IF(T1626&lt;0,"Loss",IF(T1626=0,"Break-even","Profit"))</f>
        <v>Profit</v>
      </c>
      <c r="V1626" s="3" t="str">
        <f aca="false">IF(Q1626&lt;100,"Low",IF(Q1626&lt;=500,"Medium","High"))</f>
        <v>Low</v>
      </c>
      <c r="W1626" s="3" t="n">
        <f aca="false">D1626-C1626</f>
        <v>3</v>
      </c>
      <c r="X1626" s="3" t="str">
        <f aca="false">TEXT(C1626,"mmmm")</f>
        <v>February</v>
      </c>
      <c r="Y1626" s="3" t="str">
        <f aca="false">LEFT(G1626,1)&amp;MID(G1626,FIND(" ",G1626)+1,1)</f>
        <v>AJ</v>
      </c>
    </row>
    <row r="1627" customFormat="false" ht="15" hidden="false" customHeight="false" outlineLevel="0" collapsed="false">
      <c r="A1627" s="3" t="n">
        <v>1626</v>
      </c>
      <c r="B1627" s="3" t="s">
        <v>3497</v>
      </c>
      <c r="C1627" s="4" t="s">
        <v>3486</v>
      </c>
      <c r="D1627" s="4" t="s">
        <v>3498</v>
      </c>
      <c r="E1627" s="3" t="s">
        <v>84</v>
      </c>
      <c r="F1627" s="3" t="s">
        <v>2452</v>
      </c>
      <c r="G1627" s="3" t="s">
        <v>2453</v>
      </c>
      <c r="H1627" s="3" t="s">
        <v>31</v>
      </c>
      <c r="I1627" s="3" t="s">
        <v>32</v>
      </c>
      <c r="J1627" s="3" t="s">
        <v>95</v>
      </c>
      <c r="K1627" s="3" t="s">
        <v>96</v>
      </c>
      <c r="L1627" s="3" t="s">
        <v>59</v>
      </c>
      <c r="M1627" s="3" t="s">
        <v>135</v>
      </c>
      <c r="N1627" s="3" t="s">
        <v>37</v>
      </c>
      <c r="O1627" s="3" t="s">
        <v>136</v>
      </c>
      <c r="P1627" s="3" t="s">
        <v>137</v>
      </c>
      <c r="Q1627" s="5" t="n">
        <v>4994.29</v>
      </c>
      <c r="R1627" s="3" t="n">
        <v>5</v>
      </c>
      <c r="S1627" s="6" t="n">
        <v>0.3</v>
      </c>
      <c r="T1627" s="5" t="n">
        <v>-1464.18</v>
      </c>
      <c r="U1627" s="3" t="str">
        <f aca="false">IF(T1627&lt;0,"Loss",IF(T1627=0,"Break-even","Profit"))</f>
        <v>Loss</v>
      </c>
      <c r="V1627" s="3" t="str">
        <f aca="false">IF(Q1627&lt;100,"Low",IF(Q1627&lt;=500,"Medium","High"))</f>
        <v>High</v>
      </c>
      <c r="W1627" s="3" t="n">
        <f aca="false">D1627-C1627</f>
        <v>4</v>
      </c>
      <c r="X1627" s="3" t="str">
        <f aca="false">TEXT(C1627,"mmmm")</f>
        <v>February</v>
      </c>
      <c r="Y1627" s="3" t="str">
        <f aca="false">LEFT(G1627,1)&amp;MID(G1627,FIND(" ",G1627)+1,1)</f>
        <v>AM</v>
      </c>
    </row>
    <row r="1628" customFormat="false" ht="15" hidden="false" customHeight="false" outlineLevel="0" collapsed="false">
      <c r="A1628" s="3" t="n">
        <v>1627</v>
      </c>
      <c r="B1628" s="3" t="s">
        <v>3499</v>
      </c>
      <c r="C1628" s="4" t="s">
        <v>3492</v>
      </c>
      <c r="D1628" s="4" t="s">
        <v>3500</v>
      </c>
      <c r="E1628" s="3" t="s">
        <v>28</v>
      </c>
      <c r="F1628" s="3" t="s">
        <v>752</v>
      </c>
      <c r="G1628" s="3" t="s">
        <v>753</v>
      </c>
      <c r="H1628" s="3" t="s">
        <v>45</v>
      </c>
      <c r="I1628" s="3" t="s">
        <v>32</v>
      </c>
      <c r="J1628" s="3" t="s">
        <v>87</v>
      </c>
      <c r="K1628" s="3" t="s">
        <v>68</v>
      </c>
      <c r="L1628" s="3" t="s">
        <v>69</v>
      </c>
      <c r="M1628" s="3" t="s">
        <v>149</v>
      </c>
      <c r="N1628" s="3" t="s">
        <v>49</v>
      </c>
      <c r="O1628" s="3" t="s">
        <v>150</v>
      </c>
      <c r="P1628" s="3" t="s">
        <v>151</v>
      </c>
      <c r="Q1628" s="5" t="n">
        <v>838.61</v>
      </c>
      <c r="R1628" s="3" t="n">
        <v>9</v>
      </c>
      <c r="S1628" s="6" t="n">
        <v>0.4</v>
      </c>
      <c r="T1628" s="5" t="n">
        <v>156.28</v>
      </c>
      <c r="U1628" s="3" t="str">
        <f aca="false">IF(T1628&lt;0,"Loss",IF(T1628=0,"Break-even","Profit"))</f>
        <v>Profit</v>
      </c>
      <c r="V1628" s="3" t="str">
        <f aca="false">IF(Q1628&lt;100,"Low",IF(Q1628&lt;=500,"Medium","High"))</f>
        <v>High</v>
      </c>
      <c r="W1628" s="3" t="n">
        <f aca="false">D1628-C1628</f>
        <v>5</v>
      </c>
      <c r="X1628" s="3" t="str">
        <f aca="false">TEXT(C1628,"mmmm")</f>
        <v>February</v>
      </c>
      <c r="Y1628" s="3" t="str">
        <f aca="false">LEFT(G1628,1)&amp;MID(G1628,FIND(" ",G1628)+1,1)</f>
        <v>DM</v>
      </c>
    </row>
    <row r="1629" customFormat="false" ht="15" hidden="false" customHeight="false" outlineLevel="0" collapsed="false">
      <c r="A1629" s="3" t="n">
        <v>1628</v>
      </c>
      <c r="B1629" s="3" t="s">
        <v>3501</v>
      </c>
      <c r="C1629" s="4" t="s">
        <v>3502</v>
      </c>
      <c r="D1629" s="4" t="s">
        <v>3490</v>
      </c>
      <c r="E1629" s="3" t="s">
        <v>42</v>
      </c>
      <c r="F1629" s="3" t="s">
        <v>808</v>
      </c>
      <c r="G1629" s="3" t="s">
        <v>809</v>
      </c>
      <c r="H1629" s="3" t="s">
        <v>56</v>
      </c>
      <c r="I1629" s="3" t="s">
        <v>32</v>
      </c>
      <c r="J1629" s="3" t="s">
        <v>46</v>
      </c>
      <c r="K1629" s="3" t="s">
        <v>47</v>
      </c>
      <c r="L1629" s="3" t="s">
        <v>35</v>
      </c>
      <c r="M1629" s="3" t="s">
        <v>269</v>
      </c>
      <c r="N1629" s="3" t="s">
        <v>89</v>
      </c>
      <c r="O1629" s="3" t="s">
        <v>174</v>
      </c>
      <c r="P1629" s="3" t="s">
        <v>270</v>
      </c>
      <c r="Q1629" s="5" t="n">
        <v>1588.35</v>
      </c>
      <c r="R1629" s="3" t="n">
        <v>2</v>
      </c>
      <c r="S1629" s="6" t="n">
        <v>0.3</v>
      </c>
      <c r="T1629" s="5" t="n">
        <v>404.75</v>
      </c>
      <c r="U1629" s="3" t="str">
        <f aca="false">IF(T1629&lt;0,"Loss",IF(T1629=0,"Break-even","Profit"))</f>
        <v>Profit</v>
      </c>
      <c r="V1629" s="3" t="str">
        <f aca="false">IF(Q1629&lt;100,"Low",IF(Q1629&lt;=500,"Medium","High"))</f>
        <v>High</v>
      </c>
      <c r="W1629" s="3" t="n">
        <f aca="false">D1629-C1629</f>
        <v>1</v>
      </c>
      <c r="X1629" s="3" t="str">
        <f aca="false">TEXT(C1629,"mmmm")</f>
        <v>February</v>
      </c>
      <c r="Y1629" s="3" t="str">
        <f aca="false">LEFT(G1629,1)&amp;MID(G1629,FIND(" ",G1629)+1,1)</f>
        <v>ET</v>
      </c>
    </row>
    <row r="1630" customFormat="false" ht="15" hidden="false" customHeight="false" outlineLevel="0" collapsed="false">
      <c r="A1630" s="3" t="n">
        <v>1629</v>
      </c>
      <c r="B1630" s="3" t="s">
        <v>3503</v>
      </c>
      <c r="C1630" s="4" t="s">
        <v>3490</v>
      </c>
      <c r="D1630" s="4" t="s">
        <v>3504</v>
      </c>
      <c r="E1630" s="3" t="s">
        <v>84</v>
      </c>
      <c r="F1630" s="3" t="s">
        <v>2166</v>
      </c>
      <c r="G1630" s="3" t="s">
        <v>2167</v>
      </c>
      <c r="H1630" s="3" t="s">
        <v>56</v>
      </c>
      <c r="I1630" s="3" t="s">
        <v>32</v>
      </c>
      <c r="J1630" s="3" t="s">
        <v>215</v>
      </c>
      <c r="K1630" s="3" t="s">
        <v>34</v>
      </c>
      <c r="L1630" s="3" t="s">
        <v>35</v>
      </c>
      <c r="M1630" s="3" t="s">
        <v>142</v>
      </c>
      <c r="N1630" s="3" t="s">
        <v>49</v>
      </c>
      <c r="O1630" s="3" t="s">
        <v>143</v>
      </c>
      <c r="P1630" s="3" t="s">
        <v>144</v>
      </c>
      <c r="Q1630" s="5" t="n">
        <v>214.56</v>
      </c>
      <c r="R1630" s="3" t="n">
        <v>3</v>
      </c>
      <c r="S1630" s="6" t="n">
        <v>0.4</v>
      </c>
      <c r="T1630" s="5" t="n">
        <v>-44.53</v>
      </c>
      <c r="U1630" s="3" t="str">
        <f aca="false">IF(T1630&lt;0,"Loss",IF(T1630=0,"Break-even","Profit"))</f>
        <v>Loss</v>
      </c>
      <c r="V1630" s="3" t="str">
        <f aca="false">IF(Q1630&lt;100,"Low",IF(Q1630&lt;=500,"Medium","High"))</f>
        <v>Medium</v>
      </c>
      <c r="W1630" s="3" t="n">
        <f aca="false">D1630-C1630</f>
        <v>4</v>
      </c>
      <c r="X1630" s="3" t="str">
        <f aca="false">TEXT(C1630,"mmmm")</f>
        <v>February</v>
      </c>
      <c r="Y1630" s="3" t="str">
        <f aca="false">LEFT(G1630,1)&amp;MID(G1630,FIND(" ",G1630)+1,1)</f>
        <v>JR</v>
      </c>
    </row>
    <row r="1631" customFormat="false" ht="15" hidden="false" customHeight="false" outlineLevel="0" collapsed="false">
      <c r="A1631" s="3" t="n">
        <v>1630</v>
      </c>
      <c r="B1631" s="3" t="s">
        <v>3505</v>
      </c>
      <c r="C1631" s="4" t="s">
        <v>3498</v>
      </c>
      <c r="D1631" s="4" t="s">
        <v>3504</v>
      </c>
      <c r="E1631" s="3" t="s">
        <v>28</v>
      </c>
      <c r="F1631" s="3" t="s">
        <v>2921</v>
      </c>
      <c r="G1631" s="3" t="s">
        <v>2922</v>
      </c>
      <c r="H1631" s="3" t="s">
        <v>31</v>
      </c>
      <c r="I1631" s="3" t="s">
        <v>32</v>
      </c>
      <c r="J1631" s="3" t="s">
        <v>95</v>
      </c>
      <c r="K1631" s="3" t="s">
        <v>96</v>
      </c>
      <c r="L1631" s="3" t="s">
        <v>59</v>
      </c>
      <c r="M1631" s="3" t="s">
        <v>470</v>
      </c>
      <c r="N1631" s="3" t="s">
        <v>49</v>
      </c>
      <c r="O1631" s="3" t="s">
        <v>159</v>
      </c>
      <c r="P1631" s="3" t="s">
        <v>471</v>
      </c>
      <c r="Q1631" s="5" t="n">
        <v>47.19</v>
      </c>
      <c r="R1631" s="3" t="n">
        <v>4</v>
      </c>
      <c r="S1631" s="6" t="n">
        <v>0.2</v>
      </c>
      <c r="T1631" s="5" t="n">
        <v>-1.26</v>
      </c>
      <c r="U1631" s="3" t="str">
        <f aca="false">IF(T1631&lt;0,"Loss",IF(T1631=0,"Break-even","Profit"))</f>
        <v>Loss</v>
      </c>
      <c r="V1631" s="3" t="str">
        <f aca="false">IF(Q1631&lt;100,"Low",IF(Q1631&lt;=500,"Medium","High"))</f>
        <v>Low</v>
      </c>
      <c r="W1631" s="3" t="n">
        <f aca="false">D1631-C1631</f>
        <v>3</v>
      </c>
      <c r="X1631" s="3" t="str">
        <f aca="false">TEXT(C1631,"mmmm")</f>
        <v>February</v>
      </c>
      <c r="Y1631" s="3" t="str">
        <f aca="false">LEFT(G1631,1)&amp;MID(G1631,FIND(" ",G1631)+1,1)</f>
        <v>MM</v>
      </c>
    </row>
    <row r="1632" customFormat="false" ht="15" hidden="false" customHeight="false" outlineLevel="0" collapsed="false">
      <c r="A1632" s="3" t="n">
        <v>1631</v>
      </c>
      <c r="B1632" s="3" t="s">
        <v>3506</v>
      </c>
      <c r="C1632" s="4" t="s">
        <v>3498</v>
      </c>
      <c r="D1632" s="4" t="s">
        <v>3507</v>
      </c>
      <c r="E1632" s="3" t="s">
        <v>84</v>
      </c>
      <c r="F1632" s="3" t="s">
        <v>743</v>
      </c>
      <c r="G1632" s="3" t="s">
        <v>744</v>
      </c>
      <c r="H1632" s="3" t="s">
        <v>56</v>
      </c>
      <c r="I1632" s="3" t="s">
        <v>32</v>
      </c>
      <c r="J1632" s="3" t="s">
        <v>243</v>
      </c>
      <c r="K1632" s="3" t="s">
        <v>244</v>
      </c>
      <c r="L1632" s="3" t="s">
        <v>157</v>
      </c>
      <c r="M1632" s="3" t="s">
        <v>253</v>
      </c>
      <c r="N1632" s="3" t="s">
        <v>89</v>
      </c>
      <c r="O1632" s="3" t="s">
        <v>90</v>
      </c>
      <c r="P1632" s="3" t="s">
        <v>254</v>
      </c>
      <c r="Q1632" s="5" t="n">
        <v>2528.31</v>
      </c>
      <c r="R1632" s="3" t="n">
        <v>13</v>
      </c>
      <c r="S1632" s="6" t="n">
        <v>0.2</v>
      </c>
      <c r="T1632" s="5" t="n">
        <v>101.57</v>
      </c>
      <c r="U1632" s="3" t="str">
        <f aca="false">IF(T1632&lt;0,"Loss",IF(T1632=0,"Break-even","Profit"))</f>
        <v>Profit</v>
      </c>
      <c r="V1632" s="3" t="str">
        <f aca="false">IF(Q1632&lt;100,"Low",IF(Q1632&lt;=500,"Medium","High"))</f>
        <v>High</v>
      </c>
      <c r="W1632" s="3" t="n">
        <f aca="false">D1632-C1632</f>
        <v>4</v>
      </c>
      <c r="X1632" s="3" t="str">
        <f aca="false">TEXT(C1632,"mmmm")</f>
        <v>February</v>
      </c>
      <c r="Y1632" s="3" t="str">
        <f aca="false">LEFT(G1632,1)&amp;MID(G1632,FIND(" ",G1632)+1,1)</f>
        <v>AN</v>
      </c>
    </row>
    <row r="1633" customFormat="false" ht="15" hidden="false" customHeight="false" outlineLevel="0" collapsed="false">
      <c r="A1633" s="3" t="n">
        <v>1632</v>
      </c>
      <c r="B1633" s="3" t="s">
        <v>3508</v>
      </c>
      <c r="C1633" s="4" t="s">
        <v>3498</v>
      </c>
      <c r="D1633" s="4" t="s">
        <v>3509</v>
      </c>
      <c r="E1633" s="3" t="s">
        <v>28</v>
      </c>
      <c r="F1633" s="3" t="s">
        <v>1475</v>
      </c>
      <c r="G1633" s="3" t="s">
        <v>1476</v>
      </c>
      <c r="H1633" s="3" t="s">
        <v>31</v>
      </c>
      <c r="I1633" s="3" t="s">
        <v>32</v>
      </c>
      <c r="J1633" s="3" t="s">
        <v>365</v>
      </c>
      <c r="K1633" s="3" t="s">
        <v>366</v>
      </c>
      <c r="L1633" s="3" t="s">
        <v>157</v>
      </c>
      <c r="M1633" s="3" t="s">
        <v>420</v>
      </c>
      <c r="N1633" s="3" t="s">
        <v>49</v>
      </c>
      <c r="O1633" s="3" t="s">
        <v>80</v>
      </c>
      <c r="P1633" s="3" t="s">
        <v>421</v>
      </c>
      <c r="Q1633" s="5" t="n">
        <v>338.14</v>
      </c>
      <c r="R1633" s="3" t="n">
        <v>10</v>
      </c>
      <c r="S1633" s="6" t="n">
        <v>0</v>
      </c>
      <c r="T1633" s="5" t="n">
        <v>-82.92</v>
      </c>
      <c r="U1633" s="3" t="str">
        <f aca="false">IF(T1633&lt;0,"Loss",IF(T1633=0,"Break-even","Profit"))</f>
        <v>Loss</v>
      </c>
      <c r="V1633" s="3" t="str">
        <f aca="false">IF(Q1633&lt;100,"Low",IF(Q1633&lt;=500,"Medium","High"))</f>
        <v>Medium</v>
      </c>
      <c r="W1633" s="3" t="n">
        <f aca="false">D1633-C1633</f>
        <v>7</v>
      </c>
      <c r="X1633" s="3" t="str">
        <f aca="false">TEXT(C1633,"mmmm")</f>
        <v>February</v>
      </c>
      <c r="Y1633" s="3" t="str">
        <f aca="false">LEFT(G1633,1)&amp;MID(G1633,FIND(" ",G1633)+1,1)</f>
        <v>FK</v>
      </c>
    </row>
    <row r="1634" customFormat="false" ht="15" hidden="false" customHeight="false" outlineLevel="0" collapsed="false">
      <c r="A1634" s="3" t="n">
        <v>1633</v>
      </c>
      <c r="B1634" s="3" t="s">
        <v>3510</v>
      </c>
      <c r="C1634" s="4" t="s">
        <v>3495</v>
      </c>
      <c r="D1634" s="4" t="s">
        <v>3500</v>
      </c>
      <c r="E1634" s="3" t="s">
        <v>42</v>
      </c>
      <c r="F1634" s="3" t="s">
        <v>908</v>
      </c>
      <c r="G1634" s="3" t="s">
        <v>909</v>
      </c>
      <c r="H1634" s="3" t="s">
        <v>31</v>
      </c>
      <c r="I1634" s="3" t="s">
        <v>32</v>
      </c>
      <c r="J1634" s="3" t="s">
        <v>133</v>
      </c>
      <c r="K1634" s="3" t="s">
        <v>134</v>
      </c>
      <c r="L1634" s="3" t="s">
        <v>69</v>
      </c>
      <c r="M1634" s="3" t="s">
        <v>60</v>
      </c>
      <c r="N1634" s="3" t="s">
        <v>49</v>
      </c>
      <c r="O1634" s="3" t="s">
        <v>61</v>
      </c>
      <c r="P1634" s="3" t="s">
        <v>62</v>
      </c>
      <c r="Q1634" s="5" t="n">
        <v>561.57</v>
      </c>
      <c r="R1634" s="3" t="n">
        <v>14</v>
      </c>
      <c r="S1634" s="6" t="n">
        <v>0.2</v>
      </c>
      <c r="T1634" s="5" t="n">
        <v>167.89</v>
      </c>
      <c r="U1634" s="3" t="str">
        <f aca="false">IF(T1634&lt;0,"Loss",IF(T1634=0,"Break-even","Profit"))</f>
        <v>Profit</v>
      </c>
      <c r="V1634" s="3" t="str">
        <f aca="false">IF(Q1634&lt;100,"Low",IF(Q1634&lt;=500,"Medium","High"))</f>
        <v>High</v>
      </c>
      <c r="W1634" s="3" t="n">
        <f aca="false">D1634-C1634</f>
        <v>1</v>
      </c>
      <c r="X1634" s="3" t="str">
        <f aca="false">TEXT(C1634,"mmmm")</f>
        <v>February</v>
      </c>
      <c r="Y1634" s="3" t="str">
        <f aca="false">LEFT(G1634,1)&amp;MID(G1634,FIND(" ",G1634)+1,1)</f>
        <v>JM</v>
      </c>
    </row>
    <row r="1635" customFormat="false" ht="15" hidden="false" customHeight="false" outlineLevel="0" collapsed="false">
      <c r="A1635" s="3" t="n">
        <v>1634</v>
      </c>
      <c r="B1635" s="3" t="s">
        <v>3511</v>
      </c>
      <c r="C1635" s="4" t="s">
        <v>3495</v>
      </c>
      <c r="D1635" s="4" t="s">
        <v>3512</v>
      </c>
      <c r="E1635" s="3" t="s">
        <v>28</v>
      </c>
      <c r="F1635" s="3" t="s">
        <v>1092</v>
      </c>
      <c r="G1635" s="3" t="s">
        <v>1093</v>
      </c>
      <c r="H1635" s="3" t="s">
        <v>31</v>
      </c>
      <c r="I1635" s="3" t="s">
        <v>32</v>
      </c>
      <c r="J1635" s="3" t="s">
        <v>133</v>
      </c>
      <c r="K1635" s="3" t="s">
        <v>134</v>
      </c>
      <c r="L1635" s="3" t="s">
        <v>69</v>
      </c>
      <c r="M1635" s="3" t="s">
        <v>290</v>
      </c>
      <c r="N1635" s="3" t="s">
        <v>37</v>
      </c>
      <c r="O1635" s="3" t="s">
        <v>38</v>
      </c>
      <c r="P1635" s="3" t="s">
        <v>291</v>
      </c>
      <c r="Q1635" s="5" t="n">
        <v>11453.44</v>
      </c>
      <c r="R1635" s="3" t="n">
        <v>9</v>
      </c>
      <c r="S1635" s="6" t="n">
        <v>0.3</v>
      </c>
      <c r="T1635" s="5" t="n">
        <v>-1682.04</v>
      </c>
      <c r="U1635" s="3" t="str">
        <f aca="false">IF(T1635&lt;0,"Loss",IF(T1635=0,"Break-even","Profit"))</f>
        <v>Loss</v>
      </c>
      <c r="V1635" s="3" t="str">
        <f aca="false">IF(Q1635&lt;100,"Low",IF(Q1635&lt;=500,"Medium","High"))</f>
        <v>High</v>
      </c>
      <c r="W1635" s="3" t="n">
        <f aca="false">D1635-C1635</f>
        <v>4</v>
      </c>
      <c r="X1635" s="3" t="str">
        <f aca="false">TEXT(C1635,"mmmm")</f>
        <v>February</v>
      </c>
      <c r="Y1635" s="3" t="str">
        <f aca="false">LEFT(G1635,1)&amp;MID(G1635,FIND(" ",G1635)+1,1)</f>
        <v>DC</v>
      </c>
    </row>
    <row r="1636" customFormat="false" ht="15" hidden="false" customHeight="false" outlineLevel="0" collapsed="false">
      <c r="A1636" s="3" t="n">
        <v>1635</v>
      </c>
      <c r="B1636" s="3" t="s">
        <v>3513</v>
      </c>
      <c r="C1636" s="4" t="s">
        <v>3495</v>
      </c>
      <c r="D1636" s="4" t="s">
        <v>3507</v>
      </c>
      <c r="E1636" s="3" t="s">
        <v>28</v>
      </c>
      <c r="F1636" s="3" t="s">
        <v>2187</v>
      </c>
      <c r="G1636" s="3" t="s">
        <v>2188</v>
      </c>
      <c r="H1636" s="3" t="s">
        <v>45</v>
      </c>
      <c r="I1636" s="3" t="s">
        <v>32</v>
      </c>
      <c r="J1636" s="3" t="s">
        <v>201</v>
      </c>
      <c r="K1636" s="3" t="s">
        <v>202</v>
      </c>
      <c r="L1636" s="3" t="s">
        <v>35</v>
      </c>
      <c r="M1636" s="3" t="s">
        <v>269</v>
      </c>
      <c r="N1636" s="3" t="s">
        <v>89</v>
      </c>
      <c r="O1636" s="3" t="s">
        <v>174</v>
      </c>
      <c r="P1636" s="3" t="s">
        <v>270</v>
      </c>
      <c r="Q1636" s="5" t="n">
        <v>617.93</v>
      </c>
      <c r="R1636" s="3" t="n">
        <v>6</v>
      </c>
      <c r="S1636" s="6" t="n">
        <v>0.4</v>
      </c>
      <c r="T1636" s="5" t="n">
        <v>61.3</v>
      </c>
      <c r="U1636" s="3" t="str">
        <f aca="false">IF(T1636&lt;0,"Loss",IF(T1636=0,"Break-even","Profit"))</f>
        <v>Profit</v>
      </c>
      <c r="V1636" s="3" t="str">
        <f aca="false">IF(Q1636&lt;100,"Low",IF(Q1636&lt;=500,"Medium","High"))</f>
        <v>High</v>
      </c>
      <c r="W1636" s="3" t="n">
        <f aca="false">D1636-C1636</f>
        <v>3</v>
      </c>
      <c r="X1636" s="3" t="str">
        <f aca="false">TEXT(C1636,"mmmm")</f>
        <v>February</v>
      </c>
      <c r="Y1636" s="3" t="str">
        <f aca="false">LEFT(G1636,1)&amp;MID(G1636,FIND(" ",G1636)+1,1)</f>
        <v>AW</v>
      </c>
    </row>
    <row r="1637" customFormat="false" ht="15" hidden="false" customHeight="false" outlineLevel="0" collapsed="false">
      <c r="A1637" s="3" t="n">
        <v>1636</v>
      </c>
      <c r="B1637" s="3" t="s">
        <v>3514</v>
      </c>
      <c r="C1637" s="4" t="s">
        <v>3495</v>
      </c>
      <c r="D1637" s="4" t="s">
        <v>3515</v>
      </c>
      <c r="E1637" s="3" t="s">
        <v>28</v>
      </c>
      <c r="F1637" s="3" t="s">
        <v>2385</v>
      </c>
      <c r="G1637" s="3" t="s">
        <v>2386</v>
      </c>
      <c r="H1637" s="3" t="s">
        <v>45</v>
      </c>
      <c r="I1637" s="3" t="s">
        <v>32</v>
      </c>
      <c r="J1637" s="3" t="s">
        <v>243</v>
      </c>
      <c r="K1637" s="3" t="s">
        <v>244</v>
      </c>
      <c r="L1637" s="3" t="s">
        <v>157</v>
      </c>
      <c r="M1637" s="3" t="s">
        <v>322</v>
      </c>
      <c r="N1637" s="3" t="s">
        <v>89</v>
      </c>
      <c r="O1637" s="3" t="s">
        <v>323</v>
      </c>
      <c r="P1637" s="3" t="s">
        <v>324</v>
      </c>
      <c r="Q1637" s="5" t="n">
        <v>5339.36</v>
      </c>
      <c r="R1637" s="3" t="n">
        <v>13</v>
      </c>
      <c r="S1637" s="6" t="n">
        <v>0.1</v>
      </c>
      <c r="T1637" s="5" t="n">
        <v>34.61</v>
      </c>
      <c r="U1637" s="3" t="str">
        <f aca="false">IF(T1637&lt;0,"Loss",IF(T1637=0,"Break-even","Profit"))</f>
        <v>Profit</v>
      </c>
      <c r="V1637" s="3" t="str">
        <f aca="false">IF(Q1637&lt;100,"Low",IF(Q1637&lt;=500,"Medium","High"))</f>
        <v>High</v>
      </c>
      <c r="W1637" s="3" t="n">
        <f aca="false">D1637-C1637</f>
        <v>7</v>
      </c>
      <c r="X1637" s="3" t="str">
        <f aca="false">TEXT(C1637,"mmmm")</f>
        <v>February</v>
      </c>
      <c r="Y1637" s="3" t="str">
        <f aca="false">LEFT(G1637,1)&amp;MID(G1637,FIND(" ",G1637)+1,1)</f>
        <v>SN</v>
      </c>
    </row>
    <row r="1638" customFormat="false" ht="15" hidden="false" customHeight="false" outlineLevel="0" collapsed="false">
      <c r="A1638" s="3" t="n">
        <v>1637</v>
      </c>
      <c r="B1638" s="3" t="s">
        <v>3516</v>
      </c>
      <c r="C1638" s="4" t="s">
        <v>3500</v>
      </c>
      <c r="D1638" s="4" t="s">
        <v>3512</v>
      </c>
      <c r="E1638" s="3" t="s">
        <v>84</v>
      </c>
      <c r="F1638" s="3" t="s">
        <v>1772</v>
      </c>
      <c r="G1638" s="3" t="s">
        <v>1773</v>
      </c>
      <c r="H1638" s="3" t="s">
        <v>56</v>
      </c>
      <c r="I1638" s="3" t="s">
        <v>32</v>
      </c>
      <c r="J1638" s="3" t="s">
        <v>476</v>
      </c>
      <c r="K1638" s="3" t="s">
        <v>366</v>
      </c>
      <c r="L1638" s="3" t="s">
        <v>157</v>
      </c>
      <c r="M1638" s="3" t="s">
        <v>219</v>
      </c>
      <c r="N1638" s="3" t="s">
        <v>49</v>
      </c>
      <c r="O1638" s="3" t="s">
        <v>220</v>
      </c>
      <c r="P1638" s="3" t="s">
        <v>221</v>
      </c>
      <c r="Q1638" s="5" t="n">
        <v>63.38</v>
      </c>
      <c r="R1638" s="3" t="n">
        <v>3</v>
      </c>
      <c r="S1638" s="6" t="n">
        <v>0</v>
      </c>
      <c r="T1638" s="5" t="n">
        <v>0.8</v>
      </c>
      <c r="U1638" s="3" t="str">
        <f aca="false">IF(T1638&lt;0,"Loss",IF(T1638=0,"Break-even","Profit"))</f>
        <v>Profit</v>
      </c>
      <c r="V1638" s="3" t="str">
        <f aca="false">IF(Q1638&lt;100,"Low",IF(Q1638&lt;=500,"Medium","High"))</f>
        <v>Low</v>
      </c>
      <c r="W1638" s="3" t="n">
        <f aca="false">D1638-C1638</f>
        <v>3</v>
      </c>
      <c r="X1638" s="3" t="str">
        <f aca="false">TEXT(C1638,"mmmm")</f>
        <v>February</v>
      </c>
      <c r="Y1638" s="3" t="str">
        <f aca="false">LEFT(G1638,1)&amp;MID(G1638,FIND(" ",G1638)+1,1)</f>
        <v>RC</v>
      </c>
    </row>
    <row r="1639" customFormat="false" ht="15" hidden="false" customHeight="false" outlineLevel="0" collapsed="false">
      <c r="A1639" s="3" t="n">
        <v>1638</v>
      </c>
      <c r="B1639" s="3" t="s">
        <v>3517</v>
      </c>
      <c r="C1639" s="4" t="s">
        <v>3500</v>
      </c>
      <c r="D1639" s="4" t="s">
        <v>3507</v>
      </c>
      <c r="E1639" s="3" t="s">
        <v>84</v>
      </c>
      <c r="F1639" s="3" t="s">
        <v>908</v>
      </c>
      <c r="G1639" s="3" t="s">
        <v>909</v>
      </c>
      <c r="H1639" s="3" t="s">
        <v>31</v>
      </c>
      <c r="I1639" s="3" t="s">
        <v>32</v>
      </c>
      <c r="J1639" s="3" t="s">
        <v>386</v>
      </c>
      <c r="K1639" s="3" t="s">
        <v>387</v>
      </c>
      <c r="L1639" s="3" t="s">
        <v>35</v>
      </c>
      <c r="M1639" s="3" t="s">
        <v>347</v>
      </c>
      <c r="N1639" s="3" t="s">
        <v>49</v>
      </c>
      <c r="O1639" s="3" t="s">
        <v>220</v>
      </c>
      <c r="P1639" s="3" t="s">
        <v>348</v>
      </c>
      <c r="Q1639" s="5" t="n">
        <v>297.18</v>
      </c>
      <c r="R1639" s="3" t="n">
        <v>5</v>
      </c>
      <c r="S1639" s="6" t="n">
        <v>0.1</v>
      </c>
      <c r="T1639" s="5" t="n">
        <v>-31.22</v>
      </c>
      <c r="U1639" s="3" t="str">
        <f aca="false">IF(T1639&lt;0,"Loss",IF(T1639=0,"Break-even","Profit"))</f>
        <v>Loss</v>
      </c>
      <c r="V1639" s="3" t="str">
        <f aca="false">IF(Q1639&lt;100,"Low",IF(Q1639&lt;=500,"Medium","High"))</f>
        <v>Medium</v>
      </c>
      <c r="W1639" s="3" t="n">
        <f aca="false">D1639-C1639</f>
        <v>2</v>
      </c>
      <c r="X1639" s="3" t="str">
        <f aca="false">TEXT(C1639,"mmmm")</f>
        <v>February</v>
      </c>
      <c r="Y1639" s="3" t="str">
        <f aca="false">LEFT(G1639,1)&amp;MID(G1639,FIND(" ",G1639)+1,1)</f>
        <v>JM</v>
      </c>
    </row>
    <row r="1640" customFormat="false" ht="15" hidden="false" customHeight="false" outlineLevel="0" collapsed="false">
      <c r="A1640" s="3" t="n">
        <v>1639</v>
      </c>
      <c r="B1640" s="3" t="s">
        <v>3518</v>
      </c>
      <c r="C1640" s="4" t="s">
        <v>3500</v>
      </c>
      <c r="D1640" s="4" t="s">
        <v>3504</v>
      </c>
      <c r="E1640" s="3" t="s">
        <v>42</v>
      </c>
      <c r="F1640" s="3" t="s">
        <v>908</v>
      </c>
      <c r="G1640" s="3" t="s">
        <v>909</v>
      </c>
      <c r="H1640" s="3" t="s">
        <v>45</v>
      </c>
      <c r="I1640" s="3" t="s">
        <v>32</v>
      </c>
      <c r="J1640" s="3" t="s">
        <v>243</v>
      </c>
      <c r="K1640" s="3" t="s">
        <v>244</v>
      </c>
      <c r="L1640" s="3" t="s">
        <v>157</v>
      </c>
      <c r="M1640" s="3" t="s">
        <v>60</v>
      </c>
      <c r="N1640" s="3" t="s">
        <v>49</v>
      </c>
      <c r="O1640" s="3" t="s">
        <v>61</v>
      </c>
      <c r="P1640" s="3" t="s">
        <v>62</v>
      </c>
      <c r="Q1640" s="5" t="n">
        <v>142.97</v>
      </c>
      <c r="R1640" s="3" t="n">
        <v>6</v>
      </c>
      <c r="S1640" s="6" t="n">
        <v>0</v>
      </c>
      <c r="T1640" s="5" t="n">
        <v>-6.28</v>
      </c>
      <c r="U1640" s="3" t="str">
        <f aca="false">IF(T1640&lt;0,"Loss",IF(T1640=0,"Break-even","Profit"))</f>
        <v>Loss</v>
      </c>
      <c r="V1640" s="3" t="str">
        <f aca="false">IF(Q1640&lt;100,"Low",IF(Q1640&lt;=500,"Medium","High"))</f>
        <v>Medium</v>
      </c>
      <c r="W1640" s="3" t="n">
        <f aca="false">D1640-C1640</f>
        <v>1</v>
      </c>
      <c r="X1640" s="3" t="str">
        <f aca="false">TEXT(C1640,"mmmm")</f>
        <v>February</v>
      </c>
      <c r="Y1640" s="3" t="str">
        <f aca="false">LEFT(G1640,1)&amp;MID(G1640,FIND(" ",G1640)+1,1)</f>
        <v>JM</v>
      </c>
    </row>
    <row r="1641" customFormat="false" ht="15" hidden="false" customHeight="false" outlineLevel="0" collapsed="false">
      <c r="A1641" s="3" t="n">
        <v>1640</v>
      </c>
      <c r="B1641" s="3" t="s">
        <v>3519</v>
      </c>
      <c r="C1641" s="4" t="s">
        <v>3504</v>
      </c>
      <c r="D1641" s="4" t="s">
        <v>3507</v>
      </c>
      <c r="E1641" s="3" t="s">
        <v>42</v>
      </c>
      <c r="F1641" s="3" t="s">
        <v>1863</v>
      </c>
      <c r="G1641" s="3" t="s">
        <v>1864</v>
      </c>
      <c r="H1641" s="3" t="s">
        <v>31</v>
      </c>
      <c r="I1641" s="3" t="s">
        <v>32</v>
      </c>
      <c r="J1641" s="3" t="s">
        <v>299</v>
      </c>
      <c r="K1641" s="3" t="s">
        <v>189</v>
      </c>
      <c r="L1641" s="3" t="s">
        <v>59</v>
      </c>
      <c r="M1641" s="3" t="s">
        <v>79</v>
      </c>
      <c r="N1641" s="3" t="s">
        <v>49</v>
      </c>
      <c r="O1641" s="3" t="s">
        <v>80</v>
      </c>
      <c r="P1641" s="3" t="s">
        <v>81</v>
      </c>
      <c r="Q1641" s="5" t="n">
        <v>650.64</v>
      </c>
      <c r="R1641" s="3" t="n">
        <v>10</v>
      </c>
      <c r="S1641" s="6" t="n">
        <v>0.4</v>
      </c>
      <c r="T1641" s="5" t="n">
        <v>-133.59</v>
      </c>
      <c r="U1641" s="3" t="str">
        <f aca="false">IF(T1641&lt;0,"Loss",IF(T1641=0,"Break-even","Profit"))</f>
        <v>Loss</v>
      </c>
      <c r="V1641" s="3" t="str">
        <f aca="false">IF(Q1641&lt;100,"Low",IF(Q1641&lt;=500,"Medium","High"))</f>
        <v>High</v>
      </c>
      <c r="W1641" s="3" t="n">
        <f aca="false">D1641-C1641</f>
        <v>1</v>
      </c>
      <c r="X1641" s="3" t="str">
        <f aca="false">TEXT(C1641,"mmmm")</f>
        <v>February</v>
      </c>
      <c r="Y1641" s="3" t="str">
        <f aca="false">LEFT(G1641,1)&amp;MID(G1641,FIND(" ",G1641)+1,1)</f>
        <v>AM</v>
      </c>
    </row>
    <row r="1642" customFormat="false" ht="15" hidden="false" customHeight="false" outlineLevel="0" collapsed="false">
      <c r="A1642" s="3" t="n">
        <v>1641</v>
      </c>
      <c r="B1642" s="3" t="s">
        <v>3520</v>
      </c>
      <c r="C1642" s="4" t="s">
        <v>3504</v>
      </c>
      <c r="D1642" s="4" t="s">
        <v>3509</v>
      </c>
      <c r="E1642" s="3" t="s">
        <v>84</v>
      </c>
      <c r="F1642" s="3" t="s">
        <v>1170</v>
      </c>
      <c r="G1642" s="3" t="s">
        <v>1171</v>
      </c>
      <c r="H1642" s="3" t="s">
        <v>56</v>
      </c>
      <c r="I1642" s="3" t="s">
        <v>32</v>
      </c>
      <c r="J1642" s="3" t="s">
        <v>171</v>
      </c>
      <c r="K1642" s="3" t="s">
        <v>172</v>
      </c>
      <c r="L1642" s="3" t="s">
        <v>157</v>
      </c>
      <c r="M1642" s="3" t="s">
        <v>114</v>
      </c>
      <c r="N1642" s="3" t="s">
        <v>49</v>
      </c>
      <c r="O1642" s="3" t="s">
        <v>61</v>
      </c>
      <c r="P1642" s="3" t="s">
        <v>115</v>
      </c>
      <c r="Q1642" s="5" t="n">
        <v>33.78</v>
      </c>
      <c r="R1642" s="3" t="n">
        <v>1</v>
      </c>
      <c r="S1642" s="6" t="n">
        <v>0.3</v>
      </c>
      <c r="T1642" s="5" t="n">
        <v>8.36</v>
      </c>
      <c r="U1642" s="3" t="str">
        <f aca="false">IF(T1642&lt;0,"Loss",IF(T1642=0,"Break-even","Profit"))</f>
        <v>Profit</v>
      </c>
      <c r="V1642" s="3" t="str">
        <f aca="false">IF(Q1642&lt;100,"Low",IF(Q1642&lt;=500,"Medium","High"))</f>
        <v>Low</v>
      </c>
      <c r="W1642" s="3" t="n">
        <f aca="false">D1642-C1642</f>
        <v>4</v>
      </c>
      <c r="X1642" s="3" t="str">
        <f aca="false">TEXT(C1642,"mmmm")</f>
        <v>February</v>
      </c>
      <c r="Y1642" s="3" t="str">
        <f aca="false">LEFT(G1642,1)&amp;MID(G1642,FIND(" ",G1642)+1,1)</f>
        <v>OK</v>
      </c>
    </row>
    <row r="1643" customFormat="false" ht="15" hidden="false" customHeight="false" outlineLevel="0" collapsed="false">
      <c r="A1643" s="3" t="n">
        <v>1642</v>
      </c>
      <c r="B1643" s="3" t="s">
        <v>3521</v>
      </c>
      <c r="C1643" s="4" t="s">
        <v>3504</v>
      </c>
      <c r="D1643" s="4" t="s">
        <v>3522</v>
      </c>
      <c r="E1643" s="3" t="s">
        <v>28</v>
      </c>
      <c r="F1643" s="3" t="s">
        <v>267</v>
      </c>
      <c r="G1643" s="3" t="s">
        <v>268</v>
      </c>
      <c r="H1643" s="3" t="s">
        <v>56</v>
      </c>
      <c r="I1643" s="3" t="s">
        <v>32</v>
      </c>
      <c r="J1643" s="3" t="s">
        <v>112</v>
      </c>
      <c r="K1643" s="3" t="s">
        <v>113</v>
      </c>
      <c r="L1643" s="3" t="s">
        <v>69</v>
      </c>
      <c r="M1643" s="3" t="s">
        <v>190</v>
      </c>
      <c r="N1643" s="3" t="s">
        <v>49</v>
      </c>
      <c r="O1643" s="3" t="s">
        <v>150</v>
      </c>
      <c r="P1643" s="3" t="s">
        <v>191</v>
      </c>
      <c r="Q1643" s="5" t="n">
        <v>12.35</v>
      </c>
      <c r="R1643" s="3" t="n">
        <v>2</v>
      </c>
      <c r="S1643" s="6" t="n">
        <v>0.3</v>
      </c>
      <c r="T1643" s="5" t="n">
        <v>0.73</v>
      </c>
      <c r="U1643" s="3" t="str">
        <f aca="false">IF(T1643&lt;0,"Loss",IF(T1643=0,"Break-even","Profit"))</f>
        <v>Profit</v>
      </c>
      <c r="V1643" s="3" t="str">
        <f aca="false">IF(Q1643&lt;100,"Low",IF(Q1643&lt;=500,"Medium","High"))</f>
        <v>Low</v>
      </c>
      <c r="W1643" s="3" t="n">
        <f aca="false">D1643-C1643</f>
        <v>6</v>
      </c>
      <c r="X1643" s="3" t="str">
        <f aca="false">TEXT(C1643,"mmmm")</f>
        <v>February</v>
      </c>
      <c r="Y1643" s="3" t="str">
        <f aca="false">LEFT(G1643,1)&amp;MID(G1643,FIND(" ",G1643)+1,1)</f>
        <v>MA</v>
      </c>
    </row>
    <row r="1644" customFormat="false" ht="15" hidden="false" customHeight="false" outlineLevel="0" collapsed="false">
      <c r="A1644" s="3" t="n">
        <v>1643</v>
      </c>
      <c r="B1644" s="3" t="s">
        <v>3523</v>
      </c>
      <c r="C1644" s="4" t="s">
        <v>3504</v>
      </c>
      <c r="D1644" s="4" t="s">
        <v>3509</v>
      </c>
      <c r="E1644" s="3" t="s">
        <v>84</v>
      </c>
      <c r="F1644" s="3" t="s">
        <v>1680</v>
      </c>
      <c r="G1644" s="3" t="s">
        <v>1681</v>
      </c>
      <c r="H1644" s="3" t="s">
        <v>45</v>
      </c>
      <c r="I1644" s="3" t="s">
        <v>32</v>
      </c>
      <c r="J1644" s="3" t="s">
        <v>33</v>
      </c>
      <c r="K1644" s="3" t="s">
        <v>34</v>
      </c>
      <c r="L1644" s="3" t="s">
        <v>35</v>
      </c>
      <c r="M1644" s="3" t="s">
        <v>219</v>
      </c>
      <c r="N1644" s="3" t="s">
        <v>49</v>
      </c>
      <c r="O1644" s="3" t="s">
        <v>220</v>
      </c>
      <c r="P1644" s="3" t="s">
        <v>221</v>
      </c>
      <c r="Q1644" s="5" t="n">
        <v>146.55</v>
      </c>
      <c r="R1644" s="3" t="n">
        <v>2</v>
      </c>
      <c r="S1644" s="6" t="n">
        <v>0</v>
      </c>
      <c r="T1644" s="5" t="n">
        <v>-27.82</v>
      </c>
      <c r="U1644" s="3" t="str">
        <f aca="false">IF(T1644&lt;0,"Loss",IF(T1644=0,"Break-even","Profit"))</f>
        <v>Loss</v>
      </c>
      <c r="V1644" s="3" t="str">
        <f aca="false">IF(Q1644&lt;100,"Low",IF(Q1644&lt;=500,"Medium","High"))</f>
        <v>Medium</v>
      </c>
      <c r="W1644" s="3" t="n">
        <f aca="false">D1644-C1644</f>
        <v>4</v>
      </c>
      <c r="X1644" s="3" t="str">
        <f aca="false">TEXT(C1644,"mmmm")</f>
        <v>February</v>
      </c>
      <c r="Y1644" s="3" t="str">
        <f aca="false">LEFT(G1644,1)&amp;MID(G1644,FIND(" ",G1644)+1,1)</f>
        <v>DM</v>
      </c>
    </row>
    <row r="1645" customFormat="false" ht="15" hidden="false" customHeight="false" outlineLevel="0" collapsed="false">
      <c r="A1645" s="3" t="n">
        <v>1644</v>
      </c>
      <c r="B1645" s="3" t="s">
        <v>3524</v>
      </c>
      <c r="C1645" s="4" t="s">
        <v>3507</v>
      </c>
      <c r="D1645" s="4" t="s">
        <v>3525</v>
      </c>
      <c r="E1645" s="3" t="s">
        <v>28</v>
      </c>
      <c r="F1645" s="3" t="s">
        <v>1159</v>
      </c>
      <c r="G1645" s="3" t="s">
        <v>1160</v>
      </c>
      <c r="H1645" s="3" t="s">
        <v>45</v>
      </c>
      <c r="I1645" s="3" t="s">
        <v>32</v>
      </c>
      <c r="J1645" s="3" t="s">
        <v>33</v>
      </c>
      <c r="K1645" s="3" t="s">
        <v>34</v>
      </c>
      <c r="L1645" s="3" t="s">
        <v>35</v>
      </c>
      <c r="M1645" s="3" t="s">
        <v>127</v>
      </c>
      <c r="N1645" s="3" t="s">
        <v>49</v>
      </c>
      <c r="O1645" s="3" t="s">
        <v>61</v>
      </c>
      <c r="P1645" s="3" t="s">
        <v>128</v>
      </c>
      <c r="Q1645" s="5" t="n">
        <v>128.8</v>
      </c>
      <c r="R1645" s="3" t="n">
        <v>4</v>
      </c>
      <c r="S1645" s="6" t="n">
        <v>0</v>
      </c>
      <c r="T1645" s="5" t="n">
        <v>0.84</v>
      </c>
      <c r="U1645" s="3" t="str">
        <f aca="false">IF(T1645&lt;0,"Loss",IF(T1645=0,"Break-even","Profit"))</f>
        <v>Profit</v>
      </c>
      <c r="V1645" s="3" t="str">
        <f aca="false">IF(Q1645&lt;100,"Low",IF(Q1645&lt;=500,"Medium","High"))</f>
        <v>Medium</v>
      </c>
      <c r="W1645" s="3" t="n">
        <f aca="false">D1645-C1645</f>
        <v>6</v>
      </c>
      <c r="X1645" s="3" t="str">
        <f aca="false">TEXT(C1645,"mmmm")</f>
        <v>February</v>
      </c>
      <c r="Y1645" s="3" t="str">
        <f aca="false">LEFT(G1645,1)&amp;MID(G1645,FIND(" ",G1645)+1,1)</f>
        <v>JM</v>
      </c>
    </row>
    <row r="1646" customFormat="false" ht="15" hidden="false" customHeight="false" outlineLevel="0" collapsed="false">
      <c r="A1646" s="3" t="n">
        <v>1645</v>
      </c>
      <c r="B1646" s="3" t="s">
        <v>3526</v>
      </c>
      <c r="C1646" s="4" t="s">
        <v>3507</v>
      </c>
      <c r="D1646" s="4" t="s">
        <v>3509</v>
      </c>
      <c r="E1646" s="3" t="s">
        <v>28</v>
      </c>
      <c r="F1646" s="3" t="s">
        <v>830</v>
      </c>
      <c r="G1646" s="3" t="s">
        <v>831</v>
      </c>
      <c r="H1646" s="3" t="s">
        <v>56</v>
      </c>
      <c r="I1646" s="3" t="s">
        <v>32</v>
      </c>
      <c r="J1646" s="3" t="s">
        <v>67</v>
      </c>
      <c r="K1646" s="3" t="s">
        <v>68</v>
      </c>
      <c r="L1646" s="3" t="s">
        <v>69</v>
      </c>
      <c r="M1646" s="3" t="s">
        <v>225</v>
      </c>
      <c r="N1646" s="3" t="s">
        <v>37</v>
      </c>
      <c r="O1646" s="3" t="s">
        <v>196</v>
      </c>
      <c r="P1646" s="3" t="s">
        <v>226</v>
      </c>
      <c r="Q1646" s="5" t="n">
        <v>12701.02</v>
      </c>
      <c r="R1646" s="3" t="n">
        <v>11</v>
      </c>
      <c r="S1646" s="6" t="n">
        <v>0</v>
      </c>
      <c r="T1646" s="5" t="n">
        <v>1312.08</v>
      </c>
      <c r="U1646" s="3" t="str">
        <f aca="false">IF(T1646&lt;0,"Loss",IF(T1646=0,"Break-even","Profit"))</f>
        <v>Profit</v>
      </c>
      <c r="V1646" s="3" t="str">
        <f aca="false">IF(Q1646&lt;100,"Low",IF(Q1646&lt;=500,"Medium","High"))</f>
        <v>High</v>
      </c>
      <c r="W1646" s="3" t="n">
        <f aca="false">D1646-C1646</f>
        <v>3</v>
      </c>
      <c r="X1646" s="3" t="str">
        <f aca="false">TEXT(C1646,"mmmm")</f>
        <v>February</v>
      </c>
      <c r="Y1646" s="3" t="str">
        <f aca="false">LEFT(G1646,1)&amp;MID(G1646,FIND(" ",G1646)+1,1)</f>
        <v>WM</v>
      </c>
    </row>
    <row r="1647" customFormat="false" ht="15" hidden="false" customHeight="false" outlineLevel="0" collapsed="false">
      <c r="A1647" s="3" t="n">
        <v>1646</v>
      </c>
      <c r="B1647" s="3" t="s">
        <v>3527</v>
      </c>
      <c r="C1647" s="4" t="s">
        <v>3507</v>
      </c>
      <c r="D1647" s="4" t="s">
        <v>3512</v>
      </c>
      <c r="E1647" s="3" t="s">
        <v>42</v>
      </c>
      <c r="F1647" s="3" t="s">
        <v>1997</v>
      </c>
      <c r="G1647" s="3" t="s">
        <v>1998</v>
      </c>
      <c r="H1647" s="3" t="s">
        <v>31</v>
      </c>
      <c r="I1647" s="3" t="s">
        <v>32</v>
      </c>
      <c r="J1647" s="3" t="s">
        <v>46</v>
      </c>
      <c r="K1647" s="3" t="s">
        <v>47</v>
      </c>
      <c r="L1647" s="3" t="s">
        <v>35</v>
      </c>
      <c r="M1647" s="3" t="s">
        <v>97</v>
      </c>
      <c r="N1647" s="3" t="s">
        <v>89</v>
      </c>
      <c r="O1647" s="3" t="s">
        <v>90</v>
      </c>
      <c r="P1647" s="3" t="s">
        <v>98</v>
      </c>
      <c r="Q1647" s="5" t="n">
        <v>118.78</v>
      </c>
      <c r="R1647" s="3" t="n">
        <v>1</v>
      </c>
      <c r="S1647" s="6" t="n">
        <v>0.2</v>
      </c>
      <c r="T1647" s="5" t="n">
        <v>20.18</v>
      </c>
      <c r="U1647" s="3" t="str">
        <f aca="false">IF(T1647&lt;0,"Loss",IF(T1647=0,"Break-even","Profit"))</f>
        <v>Profit</v>
      </c>
      <c r="V1647" s="3" t="str">
        <f aca="false">IF(Q1647&lt;100,"Low",IF(Q1647&lt;=500,"Medium","High"))</f>
        <v>Medium</v>
      </c>
      <c r="W1647" s="3" t="n">
        <f aca="false">D1647-C1647</f>
        <v>1</v>
      </c>
      <c r="X1647" s="3" t="str">
        <f aca="false">TEXT(C1647,"mmmm")</f>
        <v>February</v>
      </c>
      <c r="Y1647" s="3" t="str">
        <f aca="false">LEFT(G1647,1)&amp;MID(G1647,FIND(" ",G1647)+1,1)</f>
        <v>AC</v>
      </c>
    </row>
    <row r="1648" customFormat="false" ht="15" hidden="false" customHeight="false" outlineLevel="0" collapsed="false">
      <c r="A1648" s="3" t="n">
        <v>1647</v>
      </c>
      <c r="B1648" s="3" t="s">
        <v>3437</v>
      </c>
      <c r="C1648" s="4" t="s">
        <v>3512</v>
      </c>
      <c r="D1648" s="4" t="s">
        <v>3525</v>
      </c>
      <c r="E1648" s="3" t="s">
        <v>28</v>
      </c>
      <c r="F1648" s="3" t="s">
        <v>1253</v>
      </c>
      <c r="G1648" s="3" t="s">
        <v>1254</v>
      </c>
      <c r="H1648" s="3" t="s">
        <v>56</v>
      </c>
      <c r="I1648" s="3" t="s">
        <v>32</v>
      </c>
      <c r="J1648" s="3" t="s">
        <v>33</v>
      </c>
      <c r="K1648" s="3" t="s">
        <v>34</v>
      </c>
      <c r="L1648" s="3" t="s">
        <v>35</v>
      </c>
      <c r="M1648" s="3" t="s">
        <v>683</v>
      </c>
      <c r="N1648" s="3" t="s">
        <v>37</v>
      </c>
      <c r="O1648" s="3" t="s">
        <v>136</v>
      </c>
      <c r="P1648" s="3" t="s">
        <v>684</v>
      </c>
      <c r="Q1648" s="5" t="n">
        <v>20210.54</v>
      </c>
      <c r="R1648" s="3" t="n">
        <v>12</v>
      </c>
      <c r="S1648" s="6" t="n">
        <v>0</v>
      </c>
      <c r="T1648" s="5" t="n">
        <v>6270.63</v>
      </c>
      <c r="U1648" s="3" t="str">
        <f aca="false">IF(T1648&lt;0,"Loss",IF(T1648=0,"Break-even","Profit"))</f>
        <v>Profit</v>
      </c>
      <c r="V1648" s="3" t="str">
        <f aca="false">IF(Q1648&lt;100,"Low",IF(Q1648&lt;=500,"Medium","High"))</f>
        <v>High</v>
      </c>
      <c r="W1648" s="3" t="n">
        <f aca="false">D1648-C1648</f>
        <v>5</v>
      </c>
      <c r="X1648" s="3" t="str">
        <f aca="false">TEXT(C1648,"mmmm")</f>
        <v>February</v>
      </c>
      <c r="Y1648" s="3" t="str">
        <f aca="false">LEFT(G1648,1)&amp;MID(G1648,FIND(" ",G1648)+1,1)</f>
        <v>AN</v>
      </c>
    </row>
    <row r="1649" customFormat="false" ht="15" hidden="false" customHeight="false" outlineLevel="0" collapsed="false">
      <c r="A1649" s="3" t="n">
        <v>1648</v>
      </c>
      <c r="B1649" s="3" t="s">
        <v>3528</v>
      </c>
      <c r="C1649" s="4" t="s">
        <v>3509</v>
      </c>
      <c r="D1649" s="4" t="s">
        <v>3522</v>
      </c>
      <c r="E1649" s="3" t="s">
        <v>84</v>
      </c>
      <c r="F1649" s="3" t="s">
        <v>1514</v>
      </c>
      <c r="G1649" s="3" t="s">
        <v>1515</v>
      </c>
      <c r="H1649" s="3" t="s">
        <v>56</v>
      </c>
      <c r="I1649" s="3" t="s">
        <v>32</v>
      </c>
      <c r="J1649" s="3" t="s">
        <v>120</v>
      </c>
      <c r="K1649" s="3" t="s">
        <v>113</v>
      </c>
      <c r="L1649" s="3" t="s">
        <v>69</v>
      </c>
      <c r="M1649" s="3" t="s">
        <v>300</v>
      </c>
      <c r="N1649" s="3" t="s">
        <v>49</v>
      </c>
      <c r="O1649" s="3" t="s">
        <v>143</v>
      </c>
      <c r="P1649" s="3" t="s">
        <v>301</v>
      </c>
      <c r="Q1649" s="5" t="n">
        <v>486.97</v>
      </c>
      <c r="R1649" s="3" t="n">
        <v>12</v>
      </c>
      <c r="S1649" s="6" t="n">
        <v>0</v>
      </c>
      <c r="T1649" s="5" t="n">
        <v>-33.15</v>
      </c>
      <c r="U1649" s="3" t="str">
        <f aca="false">IF(T1649&lt;0,"Loss",IF(T1649=0,"Break-even","Profit"))</f>
        <v>Loss</v>
      </c>
      <c r="V1649" s="3" t="str">
        <f aca="false">IF(Q1649&lt;100,"Low",IF(Q1649&lt;=500,"Medium","High"))</f>
        <v>Medium</v>
      </c>
      <c r="W1649" s="3" t="n">
        <f aca="false">D1649-C1649</f>
        <v>2</v>
      </c>
      <c r="X1649" s="3" t="str">
        <f aca="false">TEXT(C1649,"mmmm")</f>
        <v>March</v>
      </c>
      <c r="Y1649" s="3" t="str">
        <f aca="false">LEFT(G1649,1)&amp;MID(G1649,FIND(" ",G1649)+1,1)</f>
        <v>JB</v>
      </c>
    </row>
    <row r="1650" customFormat="false" ht="15" hidden="false" customHeight="false" outlineLevel="0" collapsed="false">
      <c r="A1650" s="3" t="n">
        <v>1649</v>
      </c>
      <c r="B1650" s="3" t="s">
        <v>3529</v>
      </c>
      <c r="C1650" s="4" t="s">
        <v>3522</v>
      </c>
      <c r="D1650" s="4" t="s">
        <v>3530</v>
      </c>
      <c r="E1650" s="3" t="s">
        <v>28</v>
      </c>
      <c r="F1650" s="3" t="s">
        <v>1826</v>
      </c>
      <c r="G1650" s="3" t="s">
        <v>1827</v>
      </c>
      <c r="H1650" s="3" t="s">
        <v>45</v>
      </c>
      <c r="I1650" s="3" t="s">
        <v>32</v>
      </c>
      <c r="J1650" s="3" t="s">
        <v>120</v>
      </c>
      <c r="K1650" s="3" t="s">
        <v>113</v>
      </c>
      <c r="L1650" s="3" t="s">
        <v>69</v>
      </c>
      <c r="M1650" s="3" t="s">
        <v>36</v>
      </c>
      <c r="N1650" s="3" t="s">
        <v>37</v>
      </c>
      <c r="O1650" s="3" t="s">
        <v>38</v>
      </c>
      <c r="P1650" s="3" t="s">
        <v>39</v>
      </c>
      <c r="Q1650" s="5" t="n">
        <v>9216.86</v>
      </c>
      <c r="R1650" s="3" t="n">
        <v>10</v>
      </c>
      <c r="S1650" s="6" t="n">
        <v>0</v>
      </c>
      <c r="T1650" s="5" t="n">
        <v>-732.31</v>
      </c>
      <c r="U1650" s="3" t="str">
        <f aca="false">IF(T1650&lt;0,"Loss",IF(T1650=0,"Break-even","Profit"))</f>
        <v>Loss</v>
      </c>
      <c r="V1650" s="3" t="str">
        <f aca="false">IF(Q1650&lt;100,"Low",IF(Q1650&lt;=500,"Medium","High"))</f>
        <v>High</v>
      </c>
      <c r="W1650" s="3" t="n">
        <f aca="false">D1650-C1650</f>
        <v>5</v>
      </c>
      <c r="X1650" s="3" t="str">
        <f aca="false">TEXT(C1650,"mmmm")</f>
        <v>March</v>
      </c>
      <c r="Y1650" s="3" t="str">
        <f aca="false">LEFT(G1650,1)&amp;MID(G1650,FIND(" ",G1650)+1,1)</f>
        <v>EG</v>
      </c>
    </row>
    <row r="1651" customFormat="false" ht="15" hidden="false" customHeight="false" outlineLevel="0" collapsed="false">
      <c r="A1651" s="3" t="n">
        <v>1650</v>
      </c>
      <c r="B1651" s="3" t="s">
        <v>3531</v>
      </c>
      <c r="C1651" s="4" t="s">
        <v>3522</v>
      </c>
      <c r="D1651" s="4" t="s">
        <v>3532</v>
      </c>
      <c r="E1651" s="3" t="s">
        <v>84</v>
      </c>
      <c r="F1651" s="3" t="s">
        <v>146</v>
      </c>
      <c r="G1651" s="3" t="s">
        <v>147</v>
      </c>
      <c r="H1651" s="3" t="s">
        <v>56</v>
      </c>
      <c r="I1651" s="3" t="s">
        <v>32</v>
      </c>
      <c r="J1651" s="3" t="s">
        <v>188</v>
      </c>
      <c r="K1651" s="3" t="s">
        <v>189</v>
      </c>
      <c r="L1651" s="3" t="s">
        <v>59</v>
      </c>
      <c r="M1651" s="3" t="s">
        <v>420</v>
      </c>
      <c r="N1651" s="3" t="s">
        <v>49</v>
      </c>
      <c r="O1651" s="3" t="s">
        <v>80</v>
      </c>
      <c r="P1651" s="3" t="s">
        <v>421</v>
      </c>
      <c r="Q1651" s="5" t="n">
        <v>949.78</v>
      </c>
      <c r="R1651" s="3" t="n">
        <v>9</v>
      </c>
      <c r="S1651" s="6" t="n">
        <v>0.4</v>
      </c>
      <c r="T1651" s="5" t="n">
        <v>109.7</v>
      </c>
      <c r="U1651" s="3" t="str">
        <f aca="false">IF(T1651&lt;0,"Loss",IF(T1651=0,"Break-even","Profit"))</f>
        <v>Profit</v>
      </c>
      <c r="V1651" s="3" t="str">
        <f aca="false">IF(Q1651&lt;100,"Low",IF(Q1651&lt;=500,"Medium","High"))</f>
        <v>High</v>
      </c>
      <c r="W1651" s="3" t="n">
        <f aca="false">D1651-C1651</f>
        <v>3</v>
      </c>
      <c r="X1651" s="3" t="str">
        <f aca="false">TEXT(C1651,"mmmm")</f>
        <v>March</v>
      </c>
      <c r="Y1651" s="3" t="str">
        <f aca="false">LEFT(G1651,1)&amp;MID(G1651,FIND(" ",G1651)+1,1)</f>
        <v>DB</v>
      </c>
    </row>
    <row r="1652" customFormat="false" ht="15" hidden="false" customHeight="false" outlineLevel="0" collapsed="false">
      <c r="A1652" s="3" t="n">
        <v>1651</v>
      </c>
      <c r="B1652" s="3" t="s">
        <v>3533</v>
      </c>
      <c r="C1652" s="4" t="s">
        <v>3525</v>
      </c>
      <c r="D1652" s="4" t="s">
        <v>3534</v>
      </c>
      <c r="E1652" s="3" t="s">
        <v>28</v>
      </c>
      <c r="F1652" s="3" t="s">
        <v>102</v>
      </c>
      <c r="G1652" s="3" t="s">
        <v>103</v>
      </c>
      <c r="H1652" s="3" t="s">
        <v>45</v>
      </c>
      <c r="I1652" s="3" t="s">
        <v>32</v>
      </c>
      <c r="J1652" s="3" t="s">
        <v>148</v>
      </c>
      <c r="K1652" s="3" t="s">
        <v>78</v>
      </c>
      <c r="L1652" s="3" t="s">
        <v>59</v>
      </c>
      <c r="M1652" s="3" t="s">
        <v>105</v>
      </c>
      <c r="N1652" s="3" t="s">
        <v>49</v>
      </c>
      <c r="O1652" s="3" t="s">
        <v>106</v>
      </c>
      <c r="P1652" s="3" t="s">
        <v>107</v>
      </c>
      <c r="Q1652" s="5" t="n">
        <v>103.03</v>
      </c>
      <c r="R1652" s="3" t="n">
        <v>1</v>
      </c>
      <c r="S1652" s="6" t="n">
        <v>0.2</v>
      </c>
      <c r="T1652" s="5" t="n">
        <v>21.01</v>
      </c>
      <c r="U1652" s="3" t="str">
        <f aca="false">IF(T1652&lt;0,"Loss",IF(T1652=0,"Break-even","Profit"))</f>
        <v>Profit</v>
      </c>
      <c r="V1652" s="3" t="str">
        <f aca="false">IF(Q1652&lt;100,"Low",IF(Q1652&lt;=500,"Medium","High"))</f>
        <v>Medium</v>
      </c>
      <c r="W1652" s="3" t="n">
        <f aca="false">D1652-C1652</f>
        <v>5</v>
      </c>
      <c r="X1652" s="3" t="str">
        <f aca="false">TEXT(C1652,"mmmm")</f>
        <v>March</v>
      </c>
      <c r="Y1652" s="3" t="str">
        <f aca="false">LEFT(G1652,1)&amp;MID(G1652,FIND(" ",G1652)+1,1)</f>
        <v>LA</v>
      </c>
    </row>
    <row r="1653" customFormat="false" ht="15" hidden="false" customHeight="false" outlineLevel="0" collapsed="false">
      <c r="A1653" s="3" t="n">
        <v>1652</v>
      </c>
      <c r="B1653" s="3" t="s">
        <v>3535</v>
      </c>
      <c r="C1653" s="4" t="s">
        <v>3525</v>
      </c>
      <c r="D1653" s="4" t="s">
        <v>3536</v>
      </c>
      <c r="E1653" s="3" t="s">
        <v>42</v>
      </c>
      <c r="F1653" s="3" t="s">
        <v>1748</v>
      </c>
      <c r="G1653" s="3" t="s">
        <v>1749</v>
      </c>
      <c r="H1653" s="3" t="s">
        <v>45</v>
      </c>
      <c r="I1653" s="3" t="s">
        <v>32</v>
      </c>
      <c r="J1653" s="3" t="s">
        <v>306</v>
      </c>
      <c r="K1653" s="3" t="s">
        <v>307</v>
      </c>
      <c r="L1653" s="3" t="s">
        <v>69</v>
      </c>
      <c r="M1653" s="3" t="s">
        <v>149</v>
      </c>
      <c r="N1653" s="3" t="s">
        <v>49</v>
      </c>
      <c r="O1653" s="3" t="s">
        <v>150</v>
      </c>
      <c r="P1653" s="3" t="s">
        <v>151</v>
      </c>
      <c r="Q1653" s="5" t="n">
        <v>636.74</v>
      </c>
      <c r="R1653" s="3" t="n">
        <v>8</v>
      </c>
      <c r="S1653" s="6" t="n">
        <v>0.3</v>
      </c>
      <c r="T1653" s="5" t="n">
        <v>48</v>
      </c>
      <c r="U1653" s="3" t="str">
        <f aca="false">IF(T1653&lt;0,"Loss",IF(T1653=0,"Break-even","Profit"))</f>
        <v>Profit</v>
      </c>
      <c r="V1653" s="3" t="str">
        <f aca="false">IF(Q1653&lt;100,"Low",IF(Q1653&lt;=500,"Medium","High"))</f>
        <v>High</v>
      </c>
      <c r="W1653" s="3" t="n">
        <f aca="false">D1653-C1653</f>
        <v>1</v>
      </c>
      <c r="X1653" s="3" t="str">
        <f aca="false">TEXT(C1653,"mmmm")</f>
        <v>March</v>
      </c>
      <c r="Y1653" s="3" t="str">
        <f aca="false">LEFT(G1653,1)&amp;MID(G1653,FIND(" ",G1653)+1,1)</f>
        <v>MN</v>
      </c>
    </row>
    <row r="1654" customFormat="false" ht="15" hidden="false" customHeight="false" outlineLevel="0" collapsed="false">
      <c r="A1654" s="3" t="n">
        <v>1653</v>
      </c>
      <c r="B1654" s="3" t="s">
        <v>3537</v>
      </c>
      <c r="C1654" s="4" t="s">
        <v>3525</v>
      </c>
      <c r="D1654" s="4" t="s">
        <v>3532</v>
      </c>
      <c r="E1654" s="3" t="s">
        <v>84</v>
      </c>
      <c r="F1654" s="3" t="s">
        <v>928</v>
      </c>
      <c r="G1654" s="3" t="s">
        <v>929</v>
      </c>
      <c r="H1654" s="3" t="s">
        <v>45</v>
      </c>
      <c r="I1654" s="3" t="s">
        <v>32</v>
      </c>
      <c r="J1654" s="3" t="s">
        <v>67</v>
      </c>
      <c r="K1654" s="3" t="s">
        <v>68</v>
      </c>
      <c r="L1654" s="3" t="s">
        <v>69</v>
      </c>
      <c r="M1654" s="3" t="s">
        <v>127</v>
      </c>
      <c r="N1654" s="3" t="s">
        <v>49</v>
      </c>
      <c r="O1654" s="3" t="s">
        <v>61</v>
      </c>
      <c r="P1654" s="3" t="s">
        <v>128</v>
      </c>
      <c r="Q1654" s="5" t="n">
        <v>262.89</v>
      </c>
      <c r="R1654" s="3" t="n">
        <v>7</v>
      </c>
      <c r="S1654" s="6" t="n">
        <v>0.4</v>
      </c>
      <c r="T1654" s="5" t="n">
        <v>-52.58</v>
      </c>
      <c r="U1654" s="3" t="str">
        <f aca="false">IF(T1654&lt;0,"Loss",IF(T1654=0,"Break-even","Profit"))</f>
        <v>Loss</v>
      </c>
      <c r="V1654" s="3" t="str">
        <f aca="false">IF(Q1654&lt;100,"Low",IF(Q1654&lt;=500,"Medium","High"))</f>
        <v>Medium</v>
      </c>
      <c r="W1654" s="3" t="n">
        <f aca="false">D1654-C1654</f>
        <v>2</v>
      </c>
      <c r="X1654" s="3" t="str">
        <f aca="false">TEXT(C1654,"mmmm")</f>
        <v>March</v>
      </c>
      <c r="Y1654" s="3" t="str">
        <f aca="false">LEFT(G1654,1)&amp;MID(G1654,FIND(" ",G1654)+1,1)</f>
        <v>RA</v>
      </c>
    </row>
    <row r="1655" customFormat="false" ht="15" hidden="false" customHeight="false" outlineLevel="0" collapsed="false">
      <c r="A1655" s="3" t="n">
        <v>1654</v>
      </c>
      <c r="B1655" s="3" t="s">
        <v>3538</v>
      </c>
      <c r="C1655" s="4" t="s">
        <v>3536</v>
      </c>
      <c r="D1655" s="4" t="s">
        <v>3539</v>
      </c>
      <c r="E1655" s="3" t="s">
        <v>28</v>
      </c>
      <c r="F1655" s="3" t="s">
        <v>2608</v>
      </c>
      <c r="G1655" s="3" t="s">
        <v>2609</v>
      </c>
      <c r="H1655" s="3" t="s">
        <v>56</v>
      </c>
      <c r="I1655" s="3" t="s">
        <v>32</v>
      </c>
      <c r="J1655" s="3" t="s">
        <v>386</v>
      </c>
      <c r="K1655" s="3" t="s">
        <v>387</v>
      </c>
      <c r="L1655" s="3" t="s">
        <v>35</v>
      </c>
      <c r="M1655" s="3" t="s">
        <v>105</v>
      </c>
      <c r="N1655" s="3" t="s">
        <v>49</v>
      </c>
      <c r="O1655" s="3" t="s">
        <v>106</v>
      </c>
      <c r="P1655" s="3" t="s">
        <v>107</v>
      </c>
      <c r="Q1655" s="5" t="n">
        <v>535.58</v>
      </c>
      <c r="R1655" s="3" t="n">
        <v>5</v>
      </c>
      <c r="S1655" s="6" t="n">
        <v>0.2</v>
      </c>
      <c r="T1655" s="5" t="n">
        <v>101.54</v>
      </c>
      <c r="U1655" s="3" t="str">
        <f aca="false">IF(T1655&lt;0,"Loss",IF(T1655=0,"Break-even","Profit"))</f>
        <v>Profit</v>
      </c>
      <c r="V1655" s="3" t="str">
        <f aca="false">IF(Q1655&lt;100,"Low",IF(Q1655&lt;=500,"Medium","High"))</f>
        <v>High</v>
      </c>
      <c r="W1655" s="3" t="n">
        <f aca="false">D1655-C1655</f>
        <v>5</v>
      </c>
      <c r="X1655" s="3" t="str">
        <f aca="false">TEXT(C1655,"mmmm")</f>
        <v>March</v>
      </c>
      <c r="Y1655" s="3" t="str">
        <f aca="false">LEFT(G1655,1)&amp;MID(G1655,FIND(" ",G1655)+1,1)</f>
        <v>MK</v>
      </c>
    </row>
    <row r="1656" customFormat="false" ht="15" hidden="false" customHeight="false" outlineLevel="0" collapsed="false">
      <c r="A1656" s="3" t="n">
        <v>1655</v>
      </c>
      <c r="B1656" s="3" t="s">
        <v>3540</v>
      </c>
      <c r="C1656" s="4" t="s">
        <v>3530</v>
      </c>
      <c r="D1656" s="4" t="s">
        <v>3541</v>
      </c>
      <c r="E1656" s="3" t="s">
        <v>28</v>
      </c>
      <c r="F1656" s="3" t="s">
        <v>1459</v>
      </c>
      <c r="G1656" s="3" t="s">
        <v>1460</v>
      </c>
      <c r="H1656" s="3" t="s">
        <v>56</v>
      </c>
      <c r="I1656" s="3" t="s">
        <v>32</v>
      </c>
      <c r="J1656" s="3" t="s">
        <v>814</v>
      </c>
      <c r="K1656" s="3" t="s">
        <v>156</v>
      </c>
      <c r="L1656" s="3" t="s">
        <v>157</v>
      </c>
      <c r="M1656" s="3" t="s">
        <v>135</v>
      </c>
      <c r="N1656" s="3" t="s">
        <v>37</v>
      </c>
      <c r="O1656" s="3" t="s">
        <v>136</v>
      </c>
      <c r="P1656" s="3" t="s">
        <v>137</v>
      </c>
      <c r="Q1656" s="5" t="n">
        <v>3130.43</v>
      </c>
      <c r="R1656" s="3" t="n">
        <v>2</v>
      </c>
      <c r="S1656" s="6" t="n">
        <v>0.3</v>
      </c>
      <c r="T1656" s="5" t="n">
        <v>-587.37</v>
      </c>
      <c r="U1656" s="3" t="str">
        <f aca="false">IF(T1656&lt;0,"Loss",IF(T1656=0,"Break-even","Profit"))</f>
        <v>Loss</v>
      </c>
      <c r="V1656" s="3" t="str">
        <f aca="false">IF(Q1656&lt;100,"Low",IF(Q1656&lt;=500,"Medium","High"))</f>
        <v>High</v>
      </c>
      <c r="W1656" s="3" t="n">
        <f aca="false">D1656-C1656</f>
        <v>6</v>
      </c>
      <c r="X1656" s="3" t="str">
        <f aca="false">TEXT(C1656,"mmmm")</f>
        <v>March</v>
      </c>
      <c r="Y1656" s="3" t="str">
        <f aca="false">LEFT(G1656,1)&amp;MID(G1656,FIND(" ",G1656)+1,1)</f>
        <v>AS</v>
      </c>
    </row>
    <row r="1657" customFormat="false" ht="15" hidden="false" customHeight="false" outlineLevel="0" collapsed="false">
      <c r="A1657" s="3" t="n">
        <v>1656</v>
      </c>
      <c r="B1657" s="3" t="s">
        <v>3542</v>
      </c>
      <c r="C1657" s="4" t="s">
        <v>3530</v>
      </c>
      <c r="D1657" s="4" t="s">
        <v>3539</v>
      </c>
      <c r="E1657" s="3" t="s">
        <v>84</v>
      </c>
      <c r="F1657" s="3" t="s">
        <v>332</v>
      </c>
      <c r="G1657" s="3" t="s">
        <v>333</v>
      </c>
      <c r="H1657" s="3" t="s">
        <v>45</v>
      </c>
      <c r="I1657" s="3" t="s">
        <v>32</v>
      </c>
      <c r="J1657" s="3" t="s">
        <v>299</v>
      </c>
      <c r="K1657" s="3" t="s">
        <v>189</v>
      </c>
      <c r="L1657" s="3" t="s">
        <v>59</v>
      </c>
      <c r="M1657" s="3" t="s">
        <v>48</v>
      </c>
      <c r="N1657" s="3" t="s">
        <v>49</v>
      </c>
      <c r="O1657" s="3" t="s">
        <v>50</v>
      </c>
      <c r="P1657" s="3" t="s">
        <v>51</v>
      </c>
      <c r="Q1657" s="5" t="n">
        <v>8.44</v>
      </c>
      <c r="R1657" s="3" t="n">
        <v>2</v>
      </c>
      <c r="S1657" s="6" t="n">
        <v>0.1</v>
      </c>
      <c r="T1657" s="5" t="n">
        <v>-0.2</v>
      </c>
      <c r="U1657" s="3" t="str">
        <f aca="false">IF(T1657&lt;0,"Loss",IF(T1657=0,"Break-even","Profit"))</f>
        <v>Loss</v>
      </c>
      <c r="V1657" s="3" t="str">
        <f aca="false">IF(Q1657&lt;100,"Low",IF(Q1657&lt;=500,"Medium","High"))</f>
        <v>Low</v>
      </c>
      <c r="W1657" s="3" t="n">
        <f aca="false">D1657-C1657</f>
        <v>2</v>
      </c>
      <c r="X1657" s="3" t="str">
        <f aca="false">TEXT(C1657,"mmmm")</f>
        <v>March</v>
      </c>
      <c r="Y1657" s="3" t="str">
        <f aca="false">LEFT(G1657,1)&amp;MID(G1657,FIND(" ",G1657)+1,1)</f>
        <v>AM</v>
      </c>
    </row>
    <row r="1658" customFormat="false" ht="15" hidden="false" customHeight="false" outlineLevel="0" collapsed="false">
      <c r="A1658" s="3" t="n">
        <v>1657</v>
      </c>
      <c r="B1658" s="3" t="s">
        <v>3543</v>
      </c>
      <c r="C1658" s="4" t="s">
        <v>3530</v>
      </c>
      <c r="D1658" s="4" t="s">
        <v>3544</v>
      </c>
      <c r="E1658" s="3" t="s">
        <v>84</v>
      </c>
      <c r="F1658" s="3" t="s">
        <v>342</v>
      </c>
      <c r="G1658" s="3" t="s">
        <v>343</v>
      </c>
      <c r="H1658" s="3" t="s">
        <v>56</v>
      </c>
      <c r="I1658" s="3" t="s">
        <v>32</v>
      </c>
      <c r="J1658" s="3" t="s">
        <v>679</v>
      </c>
      <c r="K1658" s="3" t="s">
        <v>202</v>
      </c>
      <c r="L1658" s="3" t="s">
        <v>35</v>
      </c>
      <c r="M1658" s="3" t="s">
        <v>334</v>
      </c>
      <c r="N1658" s="3" t="s">
        <v>37</v>
      </c>
      <c r="O1658" s="3" t="s">
        <v>136</v>
      </c>
      <c r="P1658" s="3" t="s">
        <v>335</v>
      </c>
      <c r="Q1658" s="5" t="n">
        <v>334.56</v>
      </c>
      <c r="R1658" s="3" t="n">
        <v>1</v>
      </c>
      <c r="S1658" s="6" t="n">
        <v>0</v>
      </c>
      <c r="T1658" s="5" t="n">
        <v>-46.59</v>
      </c>
      <c r="U1658" s="3" t="str">
        <f aca="false">IF(T1658&lt;0,"Loss",IF(T1658=0,"Break-even","Profit"))</f>
        <v>Loss</v>
      </c>
      <c r="V1658" s="3" t="str">
        <f aca="false">IF(Q1658&lt;100,"Low",IF(Q1658&lt;=500,"Medium","High"))</f>
        <v>Medium</v>
      </c>
      <c r="W1658" s="3" t="n">
        <f aca="false">D1658-C1658</f>
        <v>4</v>
      </c>
      <c r="X1658" s="3" t="str">
        <f aca="false">TEXT(C1658,"mmmm")</f>
        <v>March</v>
      </c>
      <c r="Y1658" s="3" t="str">
        <f aca="false">LEFT(G1658,1)&amp;MID(G1658,FIND(" ",G1658)+1,1)</f>
        <v>JN</v>
      </c>
    </row>
    <row r="1659" customFormat="false" ht="15" hidden="false" customHeight="false" outlineLevel="0" collapsed="false">
      <c r="A1659" s="3" t="n">
        <v>1658</v>
      </c>
      <c r="B1659" s="3" t="s">
        <v>3545</v>
      </c>
      <c r="C1659" s="4" t="s">
        <v>3534</v>
      </c>
      <c r="D1659" s="4" t="s">
        <v>3546</v>
      </c>
      <c r="E1659" s="3" t="s">
        <v>28</v>
      </c>
      <c r="F1659" s="3" t="s">
        <v>2144</v>
      </c>
      <c r="G1659" s="3" t="s">
        <v>2145</v>
      </c>
      <c r="H1659" s="3" t="s">
        <v>56</v>
      </c>
      <c r="I1659" s="3" t="s">
        <v>32</v>
      </c>
      <c r="J1659" s="3" t="s">
        <v>57</v>
      </c>
      <c r="K1659" s="3" t="s">
        <v>58</v>
      </c>
      <c r="L1659" s="3" t="s">
        <v>59</v>
      </c>
      <c r="M1659" s="3" t="s">
        <v>322</v>
      </c>
      <c r="N1659" s="3" t="s">
        <v>89</v>
      </c>
      <c r="O1659" s="3" t="s">
        <v>323</v>
      </c>
      <c r="P1659" s="3" t="s">
        <v>324</v>
      </c>
      <c r="Q1659" s="5" t="n">
        <v>4548.34</v>
      </c>
      <c r="R1659" s="3" t="n">
        <v>13</v>
      </c>
      <c r="S1659" s="6" t="n">
        <v>0</v>
      </c>
      <c r="T1659" s="5" t="n">
        <v>-947.21</v>
      </c>
      <c r="U1659" s="3" t="str">
        <f aca="false">IF(T1659&lt;0,"Loss",IF(T1659=0,"Break-even","Profit"))</f>
        <v>Loss</v>
      </c>
      <c r="V1659" s="3" t="str">
        <f aca="false">IF(Q1659&lt;100,"Low",IF(Q1659&lt;=500,"Medium","High"))</f>
        <v>High</v>
      </c>
      <c r="W1659" s="3" t="n">
        <f aca="false">D1659-C1659</f>
        <v>4</v>
      </c>
      <c r="X1659" s="3" t="str">
        <f aca="false">TEXT(C1659,"mmmm")</f>
        <v>March</v>
      </c>
      <c r="Y1659" s="3" t="str">
        <f aca="false">LEFT(G1659,1)&amp;MID(G1659,FIND(" ",G1659)+1,1)</f>
        <v>LW</v>
      </c>
    </row>
    <row r="1660" customFormat="false" ht="15" hidden="false" customHeight="false" outlineLevel="0" collapsed="false">
      <c r="A1660" s="3" t="n">
        <v>1659</v>
      </c>
      <c r="B1660" s="3" t="s">
        <v>3547</v>
      </c>
      <c r="C1660" s="4" t="s">
        <v>3534</v>
      </c>
      <c r="D1660" s="4" t="s">
        <v>3546</v>
      </c>
      <c r="E1660" s="3" t="s">
        <v>28</v>
      </c>
      <c r="F1660" s="3" t="s">
        <v>1355</v>
      </c>
      <c r="G1660" s="3" t="s">
        <v>1356</v>
      </c>
      <c r="H1660" s="3" t="s">
        <v>56</v>
      </c>
      <c r="I1660" s="3" t="s">
        <v>32</v>
      </c>
      <c r="J1660" s="3" t="s">
        <v>243</v>
      </c>
      <c r="K1660" s="3" t="s">
        <v>244</v>
      </c>
      <c r="L1660" s="3" t="s">
        <v>157</v>
      </c>
      <c r="M1660" s="3" t="s">
        <v>142</v>
      </c>
      <c r="N1660" s="3" t="s">
        <v>49</v>
      </c>
      <c r="O1660" s="3" t="s">
        <v>143</v>
      </c>
      <c r="P1660" s="3" t="s">
        <v>144</v>
      </c>
      <c r="Q1660" s="5" t="n">
        <v>86.5</v>
      </c>
      <c r="R1660" s="3" t="n">
        <v>6</v>
      </c>
      <c r="S1660" s="6" t="n">
        <v>0</v>
      </c>
      <c r="T1660" s="5" t="n">
        <v>1.78</v>
      </c>
      <c r="U1660" s="3" t="str">
        <f aca="false">IF(T1660&lt;0,"Loss",IF(T1660=0,"Break-even","Profit"))</f>
        <v>Profit</v>
      </c>
      <c r="V1660" s="3" t="str">
        <f aca="false">IF(Q1660&lt;100,"Low",IF(Q1660&lt;=500,"Medium","High"))</f>
        <v>Low</v>
      </c>
      <c r="W1660" s="3" t="n">
        <f aca="false">D1660-C1660</f>
        <v>4</v>
      </c>
      <c r="X1660" s="3" t="str">
        <f aca="false">TEXT(C1660,"mmmm")</f>
        <v>March</v>
      </c>
      <c r="Y1660" s="3" t="str">
        <f aca="false">LEFT(G1660,1)&amp;MID(G1660,FIND(" ",G1660)+1,1)</f>
        <v>FB</v>
      </c>
    </row>
    <row r="1661" customFormat="false" ht="15" hidden="false" customHeight="false" outlineLevel="0" collapsed="false">
      <c r="A1661" s="3" t="n">
        <v>1660</v>
      </c>
      <c r="B1661" s="3" t="s">
        <v>3548</v>
      </c>
      <c r="C1661" s="4" t="s">
        <v>3539</v>
      </c>
      <c r="D1661" s="4" t="s">
        <v>3549</v>
      </c>
      <c r="E1661" s="3" t="s">
        <v>28</v>
      </c>
      <c r="F1661" s="3" t="s">
        <v>565</v>
      </c>
      <c r="G1661" s="3" t="s">
        <v>566</v>
      </c>
      <c r="H1661" s="3" t="s">
        <v>45</v>
      </c>
      <c r="I1661" s="3" t="s">
        <v>32</v>
      </c>
      <c r="J1661" s="3" t="s">
        <v>188</v>
      </c>
      <c r="K1661" s="3" t="s">
        <v>189</v>
      </c>
      <c r="L1661" s="3" t="s">
        <v>59</v>
      </c>
      <c r="M1661" s="3" t="s">
        <v>280</v>
      </c>
      <c r="N1661" s="3" t="s">
        <v>89</v>
      </c>
      <c r="O1661" s="3" t="s">
        <v>166</v>
      </c>
      <c r="P1661" s="3" t="s">
        <v>281</v>
      </c>
      <c r="Q1661" s="5" t="n">
        <v>4523.1</v>
      </c>
      <c r="R1661" s="3" t="n">
        <v>8</v>
      </c>
      <c r="S1661" s="6" t="n">
        <v>0</v>
      </c>
      <c r="T1661" s="5" t="n">
        <v>-801.26</v>
      </c>
      <c r="U1661" s="3" t="str">
        <f aca="false">IF(T1661&lt;0,"Loss",IF(T1661=0,"Break-even","Profit"))</f>
        <v>Loss</v>
      </c>
      <c r="V1661" s="3" t="str">
        <f aca="false">IF(Q1661&lt;100,"Low",IF(Q1661&lt;=500,"Medium","High"))</f>
        <v>High</v>
      </c>
      <c r="W1661" s="3" t="n">
        <f aca="false">D1661-C1661</f>
        <v>5</v>
      </c>
      <c r="X1661" s="3" t="str">
        <f aca="false">TEXT(C1661,"mmmm")</f>
        <v>March</v>
      </c>
      <c r="Y1661" s="3" t="str">
        <f aca="false">LEFT(G1661,1)&amp;MID(G1661,FIND(" ",G1661)+1,1)</f>
        <v>CS</v>
      </c>
    </row>
    <row r="1662" customFormat="false" ht="15" hidden="false" customHeight="false" outlineLevel="0" collapsed="false">
      <c r="A1662" s="3" t="n">
        <v>1661</v>
      </c>
      <c r="B1662" s="3" t="s">
        <v>3550</v>
      </c>
      <c r="C1662" s="4" t="s">
        <v>3551</v>
      </c>
      <c r="D1662" s="4" t="s">
        <v>3544</v>
      </c>
      <c r="E1662" s="3" t="s">
        <v>42</v>
      </c>
      <c r="F1662" s="3" t="s">
        <v>943</v>
      </c>
      <c r="G1662" s="3" t="s">
        <v>944</v>
      </c>
      <c r="H1662" s="3" t="s">
        <v>31</v>
      </c>
      <c r="I1662" s="3" t="s">
        <v>32</v>
      </c>
      <c r="J1662" s="3" t="s">
        <v>112</v>
      </c>
      <c r="K1662" s="3" t="s">
        <v>113</v>
      </c>
      <c r="L1662" s="3" t="s">
        <v>69</v>
      </c>
      <c r="M1662" s="3" t="s">
        <v>105</v>
      </c>
      <c r="N1662" s="3" t="s">
        <v>49</v>
      </c>
      <c r="O1662" s="3" t="s">
        <v>106</v>
      </c>
      <c r="P1662" s="3" t="s">
        <v>107</v>
      </c>
      <c r="Q1662" s="5" t="n">
        <v>286.44</v>
      </c>
      <c r="R1662" s="3" t="n">
        <v>5</v>
      </c>
      <c r="S1662" s="6" t="n">
        <v>0.4</v>
      </c>
      <c r="T1662" s="5" t="n">
        <v>72.26</v>
      </c>
      <c r="U1662" s="3" t="str">
        <f aca="false">IF(T1662&lt;0,"Loss",IF(T1662=0,"Break-even","Profit"))</f>
        <v>Profit</v>
      </c>
      <c r="V1662" s="3" t="str">
        <f aca="false">IF(Q1662&lt;100,"Low",IF(Q1662&lt;=500,"Medium","High"))</f>
        <v>Medium</v>
      </c>
      <c r="W1662" s="3" t="n">
        <f aca="false">D1662-C1662</f>
        <v>1</v>
      </c>
      <c r="X1662" s="3" t="str">
        <f aca="false">TEXT(C1662,"mmmm")</f>
        <v>March</v>
      </c>
      <c r="Y1662" s="3" t="str">
        <f aca="false">LEFT(G1662,1)&amp;MID(G1662,FIND(" ",G1662)+1,1)</f>
        <v>AW</v>
      </c>
    </row>
    <row r="1663" customFormat="false" ht="15" hidden="false" customHeight="false" outlineLevel="0" collapsed="false">
      <c r="A1663" s="3" t="n">
        <v>1662</v>
      </c>
      <c r="B1663" s="3" t="s">
        <v>3552</v>
      </c>
      <c r="C1663" s="4" t="s">
        <v>3544</v>
      </c>
      <c r="D1663" s="4" t="s">
        <v>3553</v>
      </c>
      <c r="E1663" s="3" t="s">
        <v>28</v>
      </c>
      <c r="F1663" s="3" t="s">
        <v>1385</v>
      </c>
      <c r="G1663" s="3" t="s">
        <v>1386</v>
      </c>
      <c r="H1663" s="3" t="s">
        <v>56</v>
      </c>
      <c r="I1663" s="3" t="s">
        <v>32</v>
      </c>
      <c r="J1663" s="3" t="s">
        <v>179</v>
      </c>
      <c r="K1663" s="3" t="s">
        <v>47</v>
      </c>
      <c r="L1663" s="3" t="s">
        <v>35</v>
      </c>
      <c r="M1663" s="3" t="s">
        <v>683</v>
      </c>
      <c r="N1663" s="3" t="s">
        <v>37</v>
      </c>
      <c r="O1663" s="3" t="s">
        <v>136</v>
      </c>
      <c r="P1663" s="3" t="s">
        <v>684</v>
      </c>
      <c r="Q1663" s="5" t="n">
        <v>11937.27</v>
      </c>
      <c r="R1663" s="3" t="n">
        <v>13</v>
      </c>
      <c r="S1663" s="6" t="n">
        <v>0</v>
      </c>
      <c r="T1663" s="5" t="n">
        <v>-1798.19</v>
      </c>
      <c r="U1663" s="3" t="str">
        <f aca="false">IF(T1663&lt;0,"Loss",IF(T1663=0,"Break-even","Profit"))</f>
        <v>Loss</v>
      </c>
      <c r="V1663" s="3" t="str">
        <f aca="false">IF(Q1663&lt;100,"Low",IF(Q1663&lt;=500,"Medium","High"))</f>
        <v>High</v>
      </c>
      <c r="W1663" s="3" t="n">
        <f aca="false">D1663-C1663</f>
        <v>7</v>
      </c>
      <c r="X1663" s="3" t="str">
        <f aca="false">TEXT(C1663,"mmmm")</f>
        <v>March</v>
      </c>
      <c r="Y1663" s="3" t="str">
        <f aca="false">LEFT(G1663,1)&amp;MID(G1663,FIND(" ",G1663)+1,1)</f>
        <v>PS</v>
      </c>
    </row>
    <row r="1664" customFormat="false" ht="15" hidden="false" customHeight="false" outlineLevel="0" collapsed="false">
      <c r="A1664" s="3" t="n">
        <v>1663</v>
      </c>
      <c r="B1664" s="3" t="s">
        <v>3554</v>
      </c>
      <c r="C1664" s="4" t="s">
        <v>3544</v>
      </c>
      <c r="D1664" s="4" t="s">
        <v>3549</v>
      </c>
      <c r="E1664" s="3" t="s">
        <v>84</v>
      </c>
      <c r="F1664" s="3" t="s">
        <v>1288</v>
      </c>
      <c r="G1664" s="3" t="s">
        <v>1289</v>
      </c>
      <c r="H1664" s="3" t="s">
        <v>45</v>
      </c>
      <c r="I1664" s="3" t="s">
        <v>32</v>
      </c>
      <c r="J1664" s="3" t="s">
        <v>171</v>
      </c>
      <c r="K1664" s="3" t="s">
        <v>172</v>
      </c>
      <c r="L1664" s="3" t="s">
        <v>157</v>
      </c>
      <c r="M1664" s="3" t="s">
        <v>259</v>
      </c>
      <c r="N1664" s="3" t="s">
        <v>89</v>
      </c>
      <c r="O1664" s="3" t="s">
        <v>174</v>
      </c>
      <c r="P1664" s="3" t="s">
        <v>260</v>
      </c>
      <c r="Q1664" s="5" t="n">
        <v>2765.52</v>
      </c>
      <c r="R1664" s="3" t="n">
        <v>4</v>
      </c>
      <c r="S1664" s="6" t="n">
        <v>0</v>
      </c>
      <c r="T1664" s="5" t="n">
        <v>-183.94</v>
      </c>
      <c r="U1664" s="3" t="str">
        <f aca="false">IF(T1664&lt;0,"Loss",IF(T1664=0,"Break-even","Profit"))</f>
        <v>Loss</v>
      </c>
      <c r="V1664" s="3" t="str">
        <f aca="false">IF(Q1664&lt;100,"Low",IF(Q1664&lt;=500,"Medium","High"))</f>
        <v>High</v>
      </c>
      <c r="W1664" s="3" t="n">
        <f aca="false">D1664-C1664</f>
        <v>3</v>
      </c>
      <c r="X1664" s="3" t="str">
        <f aca="false">TEXT(C1664,"mmmm")</f>
        <v>March</v>
      </c>
      <c r="Y1664" s="3" t="str">
        <f aca="false">LEFT(G1664,1)&amp;MID(G1664,FIND(" ",G1664)+1,1)</f>
        <v>LT</v>
      </c>
    </row>
    <row r="1665" customFormat="false" ht="15" hidden="false" customHeight="false" outlineLevel="0" collapsed="false">
      <c r="A1665" s="3" t="n">
        <v>1664</v>
      </c>
      <c r="B1665" s="3" t="s">
        <v>3555</v>
      </c>
      <c r="C1665" s="4" t="s">
        <v>3544</v>
      </c>
      <c r="D1665" s="4" t="s">
        <v>3541</v>
      </c>
      <c r="E1665" s="3" t="s">
        <v>42</v>
      </c>
      <c r="F1665" s="3" t="s">
        <v>641</v>
      </c>
      <c r="G1665" s="3" t="s">
        <v>642</v>
      </c>
      <c r="H1665" s="3" t="s">
        <v>31</v>
      </c>
      <c r="I1665" s="3" t="s">
        <v>32</v>
      </c>
      <c r="J1665" s="3" t="s">
        <v>179</v>
      </c>
      <c r="K1665" s="3" t="s">
        <v>47</v>
      </c>
      <c r="L1665" s="3" t="s">
        <v>35</v>
      </c>
      <c r="M1665" s="3" t="s">
        <v>322</v>
      </c>
      <c r="N1665" s="3" t="s">
        <v>89</v>
      </c>
      <c r="O1665" s="3" t="s">
        <v>323</v>
      </c>
      <c r="P1665" s="3" t="s">
        <v>324</v>
      </c>
      <c r="Q1665" s="5" t="n">
        <v>1379.42</v>
      </c>
      <c r="R1665" s="3" t="n">
        <v>9</v>
      </c>
      <c r="S1665" s="6" t="n">
        <v>0</v>
      </c>
      <c r="T1665" s="5" t="n">
        <v>174.87</v>
      </c>
      <c r="U1665" s="3" t="str">
        <f aca="false">IF(T1665&lt;0,"Loss",IF(T1665=0,"Break-even","Profit"))</f>
        <v>Profit</v>
      </c>
      <c r="V1665" s="3" t="str">
        <f aca="false">IF(Q1665&lt;100,"Low",IF(Q1665&lt;=500,"Medium","High"))</f>
        <v>High</v>
      </c>
      <c r="W1665" s="3" t="n">
        <f aca="false">D1665-C1665</f>
        <v>2</v>
      </c>
      <c r="X1665" s="3" t="str">
        <f aca="false">TEXT(C1665,"mmmm")</f>
        <v>March</v>
      </c>
      <c r="Y1665" s="3" t="str">
        <f aca="false">LEFT(G1665,1)&amp;MID(G1665,FIND(" ",G1665)+1,1)</f>
        <v>PC</v>
      </c>
    </row>
    <row r="1666" customFormat="false" ht="15" hidden="false" customHeight="false" outlineLevel="0" collapsed="false">
      <c r="A1666" s="3" t="n">
        <v>1665</v>
      </c>
      <c r="B1666" s="3" t="s">
        <v>3556</v>
      </c>
      <c r="C1666" s="4" t="s">
        <v>3544</v>
      </c>
      <c r="D1666" s="4" t="s">
        <v>3541</v>
      </c>
      <c r="E1666" s="3" t="s">
        <v>84</v>
      </c>
      <c r="F1666" s="3" t="s">
        <v>177</v>
      </c>
      <c r="G1666" s="3" t="s">
        <v>178</v>
      </c>
      <c r="H1666" s="3" t="s">
        <v>45</v>
      </c>
      <c r="I1666" s="3" t="s">
        <v>32</v>
      </c>
      <c r="J1666" s="3" t="s">
        <v>329</v>
      </c>
      <c r="K1666" s="3" t="s">
        <v>156</v>
      </c>
      <c r="L1666" s="3" t="s">
        <v>157</v>
      </c>
      <c r="M1666" s="3" t="s">
        <v>158</v>
      </c>
      <c r="N1666" s="3" t="s">
        <v>49</v>
      </c>
      <c r="O1666" s="3" t="s">
        <v>159</v>
      </c>
      <c r="P1666" s="3" t="s">
        <v>160</v>
      </c>
      <c r="Q1666" s="5" t="n">
        <v>176.37</v>
      </c>
      <c r="R1666" s="3" t="n">
        <v>2</v>
      </c>
      <c r="S1666" s="6" t="n">
        <v>0</v>
      </c>
      <c r="T1666" s="5" t="n">
        <v>19.56</v>
      </c>
      <c r="U1666" s="3" t="str">
        <f aca="false">IF(T1666&lt;0,"Loss",IF(T1666=0,"Break-even","Profit"))</f>
        <v>Profit</v>
      </c>
      <c r="V1666" s="3" t="str">
        <f aca="false">IF(Q1666&lt;100,"Low",IF(Q1666&lt;=500,"Medium","High"))</f>
        <v>Medium</v>
      </c>
      <c r="W1666" s="3" t="n">
        <f aca="false">D1666-C1666</f>
        <v>2</v>
      </c>
      <c r="X1666" s="3" t="str">
        <f aca="false">TEXT(C1666,"mmmm")</f>
        <v>March</v>
      </c>
      <c r="Y1666" s="3" t="str">
        <f aca="false">LEFT(G1666,1)&amp;MID(G1666,FIND(" ",G1666)+1,1)</f>
        <v>RB</v>
      </c>
    </row>
    <row r="1667" customFormat="false" ht="15" hidden="false" customHeight="false" outlineLevel="0" collapsed="false">
      <c r="A1667" s="3" t="n">
        <v>1666</v>
      </c>
      <c r="B1667" s="3" t="s">
        <v>3485</v>
      </c>
      <c r="C1667" s="4" t="s">
        <v>3546</v>
      </c>
      <c r="D1667" s="4" t="s">
        <v>3557</v>
      </c>
      <c r="E1667" s="3" t="s">
        <v>84</v>
      </c>
      <c r="F1667" s="3" t="s">
        <v>2514</v>
      </c>
      <c r="G1667" s="3" t="s">
        <v>2515</v>
      </c>
      <c r="H1667" s="3" t="s">
        <v>56</v>
      </c>
      <c r="I1667" s="3" t="s">
        <v>32</v>
      </c>
      <c r="J1667" s="3" t="s">
        <v>208</v>
      </c>
      <c r="K1667" s="3" t="s">
        <v>134</v>
      </c>
      <c r="L1667" s="3" t="s">
        <v>69</v>
      </c>
      <c r="M1667" s="3" t="s">
        <v>142</v>
      </c>
      <c r="N1667" s="3" t="s">
        <v>49</v>
      </c>
      <c r="O1667" s="3" t="s">
        <v>143</v>
      </c>
      <c r="P1667" s="3" t="s">
        <v>144</v>
      </c>
      <c r="Q1667" s="5" t="n">
        <v>85.88</v>
      </c>
      <c r="R1667" s="3" t="n">
        <v>6</v>
      </c>
      <c r="S1667" s="6" t="n">
        <v>0.2</v>
      </c>
      <c r="T1667" s="5" t="n">
        <v>-4.87</v>
      </c>
      <c r="U1667" s="3" t="str">
        <f aca="false">IF(T1667&lt;0,"Loss",IF(T1667=0,"Break-even","Profit"))</f>
        <v>Loss</v>
      </c>
      <c r="V1667" s="3" t="str">
        <f aca="false">IF(Q1667&lt;100,"Low",IF(Q1667&lt;=500,"Medium","High"))</f>
        <v>Low</v>
      </c>
      <c r="W1667" s="3" t="n">
        <f aca="false">D1667-C1667</f>
        <v>3</v>
      </c>
      <c r="X1667" s="3" t="str">
        <f aca="false">TEXT(C1667,"mmmm")</f>
        <v>March</v>
      </c>
      <c r="Y1667" s="3" t="str">
        <f aca="false">LEFT(G1667,1)&amp;MID(G1667,FIND(" ",G1667)+1,1)</f>
        <v>WB</v>
      </c>
    </row>
    <row r="1668" customFormat="false" ht="15" hidden="false" customHeight="false" outlineLevel="0" collapsed="false">
      <c r="A1668" s="3" t="n">
        <v>1667</v>
      </c>
      <c r="B1668" s="3" t="s">
        <v>3558</v>
      </c>
      <c r="C1668" s="4" t="s">
        <v>3541</v>
      </c>
      <c r="D1668" s="4" t="s">
        <v>3559</v>
      </c>
      <c r="E1668" s="3" t="s">
        <v>28</v>
      </c>
      <c r="F1668" s="3" t="s">
        <v>699</v>
      </c>
      <c r="G1668" s="3" t="s">
        <v>700</v>
      </c>
      <c r="H1668" s="3" t="s">
        <v>45</v>
      </c>
      <c r="I1668" s="3" t="s">
        <v>32</v>
      </c>
      <c r="J1668" s="3" t="s">
        <v>386</v>
      </c>
      <c r="K1668" s="3" t="s">
        <v>387</v>
      </c>
      <c r="L1668" s="3" t="s">
        <v>35</v>
      </c>
      <c r="M1668" s="3" t="s">
        <v>165</v>
      </c>
      <c r="N1668" s="3" t="s">
        <v>89</v>
      </c>
      <c r="O1668" s="3" t="s">
        <v>166</v>
      </c>
      <c r="P1668" s="3" t="s">
        <v>167</v>
      </c>
      <c r="Q1668" s="5" t="n">
        <v>2177.04</v>
      </c>
      <c r="R1668" s="3" t="n">
        <v>5</v>
      </c>
      <c r="S1668" s="6" t="n">
        <v>0.4</v>
      </c>
      <c r="T1668" s="5" t="n">
        <v>455.5</v>
      </c>
      <c r="U1668" s="3" t="str">
        <f aca="false">IF(T1668&lt;0,"Loss",IF(T1668=0,"Break-even","Profit"))</f>
        <v>Profit</v>
      </c>
      <c r="V1668" s="3" t="str">
        <f aca="false">IF(Q1668&lt;100,"Low",IF(Q1668&lt;=500,"Medium","High"))</f>
        <v>High</v>
      </c>
      <c r="W1668" s="3" t="n">
        <f aca="false">D1668-C1668</f>
        <v>3</v>
      </c>
      <c r="X1668" s="3" t="str">
        <f aca="false">TEXT(C1668,"mmmm")</f>
        <v>March</v>
      </c>
      <c r="Y1668" s="3" t="str">
        <f aca="false">LEFT(G1668,1)&amp;MID(G1668,FIND(" ",G1668)+1,1)</f>
        <v>RJ</v>
      </c>
    </row>
    <row r="1669" customFormat="false" ht="15" hidden="false" customHeight="false" outlineLevel="0" collapsed="false">
      <c r="A1669" s="3" t="n">
        <v>1668</v>
      </c>
      <c r="B1669" s="3" t="s">
        <v>3560</v>
      </c>
      <c r="C1669" s="4" t="s">
        <v>3541</v>
      </c>
      <c r="D1669" s="4" t="s">
        <v>3561</v>
      </c>
      <c r="E1669" s="3" t="s">
        <v>28</v>
      </c>
      <c r="F1669" s="3" t="s">
        <v>1253</v>
      </c>
      <c r="G1669" s="3" t="s">
        <v>1254</v>
      </c>
      <c r="H1669" s="3" t="s">
        <v>56</v>
      </c>
      <c r="I1669" s="3" t="s">
        <v>32</v>
      </c>
      <c r="J1669" s="3" t="s">
        <v>215</v>
      </c>
      <c r="K1669" s="3" t="s">
        <v>34</v>
      </c>
      <c r="L1669" s="3" t="s">
        <v>35</v>
      </c>
      <c r="M1669" s="3" t="s">
        <v>121</v>
      </c>
      <c r="N1669" s="3" t="s">
        <v>49</v>
      </c>
      <c r="O1669" s="3" t="s">
        <v>50</v>
      </c>
      <c r="P1669" s="3" t="s">
        <v>122</v>
      </c>
      <c r="Q1669" s="5" t="n">
        <v>426.61</v>
      </c>
      <c r="R1669" s="3" t="n">
        <v>6</v>
      </c>
      <c r="S1669" s="6" t="n">
        <v>0</v>
      </c>
      <c r="T1669" s="5" t="n">
        <v>-44.09</v>
      </c>
      <c r="U1669" s="3" t="str">
        <f aca="false">IF(T1669&lt;0,"Loss",IF(T1669=0,"Break-even","Profit"))</f>
        <v>Loss</v>
      </c>
      <c r="V1669" s="3" t="str">
        <f aca="false">IF(Q1669&lt;100,"Low",IF(Q1669&lt;=500,"Medium","High"))</f>
        <v>Medium</v>
      </c>
      <c r="W1669" s="3" t="n">
        <f aca="false">D1669-C1669</f>
        <v>4</v>
      </c>
      <c r="X1669" s="3" t="str">
        <f aca="false">TEXT(C1669,"mmmm")</f>
        <v>March</v>
      </c>
      <c r="Y1669" s="3" t="str">
        <f aca="false">LEFT(G1669,1)&amp;MID(G1669,FIND(" ",G1669)+1,1)</f>
        <v>AN</v>
      </c>
    </row>
    <row r="1670" customFormat="false" ht="15" hidden="false" customHeight="false" outlineLevel="0" collapsed="false">
      <c r="A1670" s="3" t="n">
        <v>1669</v>
      </c>
      <c r="B1670" s="3" t="s">
        <v>3562</v>
      </c>
      <c r="C1670" s="4" t="s">
        <v>3541</v>
      </c>
      <c r="D1670" s="4" t="s">
        <v>3559</v>
      </c>
      <c r="E1670" s="3" t="s">
        <v>84</v>
      </c>
      <c r="F1670" s="3" t="s">
        <v>848</v>
      </c>
      <c r="G1670" s="3" t="s">
        <v>849</v>
      </c>
      <c r="H1670" s="3" t="s">
        <v>45</v>
      </c>
      <c r="I1670" s="3" t="s">
        <v>32</v>
      </c>
      <c r="J1670" s="3" t="s">
        <v>95</v>
      </c>
      <c r="K1670" s="3" t="s">
        <v>96</v>
      </c>
      <c r="L1670" s="3" t="s">
        <v>59</v>
      </c>
      <c r="M1670" s="3" t="s">
        <v>114</v>
      </c>
      <c r="N1670" s="3" t="s">
        <v>49</v>
      </c>
      <c r="O1670" s="3" t="s">
        <v>61</v>
      </c>
      <c r="P1670" s="3" t="s">
        <v>115</v>
      </c>
      <c r="Q1670" s="5" t="n">
        <v>327.28</v>
      </c>
      <c r="R1670" s="3" t="n">
        <v>4</v>
      </c>
      <c r="S1670" s="6" t="n">
        <v>0.3</v>
      </c>
      <c r="T1670" s="5" t="n">
        <v>15.13</v>
      </c>
      <c r="U1670" s="3" t="str">
        <f aca="false">IF(T1670&lt;0,"Loss",IF(T1670=0,"Break-even","Profit"))</f>
        <v>Profit</v>
      </c>
      <c r="V1670" s="3" t="str">
        <f aca="false">IF(Q1670&lt;100,"Low",IF(Q1670&lt;=500,"Medium","High"))</f>
        <v>Medium</v>
      </c>
      <c r="W1670" s="3" t="n">
        <f aca="false">D1670-C1670</f>
        <v>3</v>
      </c>
      <c r="X1670" s="3" t="str">
        <f aca="false">TEXT(C1670,"mmmm")</f>
        <v>March</v>
      </c>
      <c r="Y1670" s="3" t="str">
        <f aca="false">LEFT(G1670,1)&amp;MID(G1670,FIND(" ",G1670)+1,1)</f>
        <v>JS</v>
      </c>
    </row>
    <row r="1671" customFormat="false" ht="15" hidden="false" customHeight="false" outlineLevel="0" collapsed="false">
      <c r="A1671" s="3" t="n">
        <v>1670</v>
      </c>
      <c r="B1671" s="3" t="s">
        <v>3563</v>
      </c>
      <c r="C1671" s="4" t="s">
        <v>3559</v>
      </c>
      <c r="D1671" s="4" t="s">
        <v>3561</v>
      </c>
      <c r="E1671" s="3" t="s">
        <v>42</v>
      </c>
      <c r="F1671" s="3" t="s">
        <v>1318</v>
      </c>
      <c r="G1671" s="3" t="s">
        <v>1319</v>
      </c>
      <c r="H1671" s="3" t="s">
        <v>56</v>
      </c>
      <c r="I1671" s="3" t="s">
        <v>32</v>
      </c>
      <c r="J1671" s="3" t="s">
        <v>87</v>
      </c>
      <c r="K1671" s="3" t="s">
        <v>68</v>
      </c>
      <c r="L1671" s="3" t="s">
        <v>69</v>
      </c>
      <c r="M1671" s="3" t="s">
        <v>334</v>
      </c>
      <c r="N1671" s="3" t="s">
        <v>37</v>
      </c>
      <c r="O1671" s="3" t="s">
        <v>136</v>
      </c>
      <c r="P1671" s="3" t="s">
        <v>335</v>
      </c>
      <c r="Q1671" s="5" t="n">
        <v>8209.62</v>
      </c>
      <c r="R1671" s="3" t="n">
        <v>10</v>
      </c>
      <c r="S1671" s="6" t="n">
        <v>0.1</v>
      </c>
      <c r="T1671" s="5" t="n">
        <v>129.26</v>
      </c>
      <c r="U1671" s="3" t="str">
        <f aca="false">IF(T1671&lt;0,"Loss",IF(T1671=0,"Break-even","Profit"))</f>
        <v>Profit</v>
      </c>
      <c r="V1671" s="3" t="str">
        <f aca="false">IF(Q1671&lt;100,"Low",IF(Q1671&lt;=500,"Medium","High"))</f>
        <v>High</v>
      </c>
      <c r="W1671" s="3" t="n">
        <f aca="false">D1671-C1671</f>
        <v>1</v>
      </c>
      <c r="X1671" s="3" t="str">
        <f aca="false">TEXT(C1671,"mmmm")</f>
        <v>March</v>
      </c>
      <c r="Y1671" s="3" t="str">
        <f aca="false">LEFT(G1671,1)&amp;MID(G1671,FIND(" ",G1671)+1,1)</f>
        <v>WK</v>
      </c>
    </row>
    <row r="1672" customFormat="false" ht="15" hidden="false" customHeight="false" outlineLevel="0" collapsed="false">
      <c r="A1672" s="3" t="n">
        <v>1671</v>
      </c>
      <c r="B1672" s="3" t="s">
        <v>3564</v>
      </c>
      <c r="C1672" s="4" t="s">
        <v>3561</v>
      </c>
      <c r="D1672" s="4" t="s">
        <v>3565</v>
      </c>
      <c r="E1672" s="3" t="s">
        <v>84</v>
      </c>
      <c r="F1672" s="3" t="s">
        <v>118</v>
      </c>
      <c r="G1672" s="3" t="s">
        <v>119</v>
      </c>
      <c r="H1672" s="3" t="s">
        <v>45</v>
      </c>
      <c r="I1672" s="3" t="s">
        <v>32</v>
      </c>
      <c r="J1672" s="3" t="s">
        <v>381</v>
      </c>
      <c r="K1672" s="3" t="s">
        <v>58</v>
      </c>
      <c r="L1672" s="3" t="s">
        <v>59</v>
      </c>
      <c r="M1672" s="3" t="s">
        <v>209</v>
      </c>
      <c r="N1672" s="3" t="s">
        <v>49</v>
      </c>
      <c r="O1672" s="3" t="s">
        <v>106</v>
      </c>
      <c r="P1672" s="3" t="s">
        <v>210</v>
      </c>
      <c r="Q1672" s="5" t="n">
        <v>154.28</v>
      </c>
      <c r="R1672" s="3" t="n">
        <v>2</v>
      </c>
      <c r="S1672" s="6" t="n">
        <v>0.1</v>
      </c>
      <c r="T1672" s="5" t="n">
        <v>-39.74</v>
      </c>
      <c r="U1672" s="3" t="str">
        <f aca="false">IF(T1672&lt;0,"Loss",IF(T1672=0,"Break-even","Profit"))</f>
        <v>Loss</v>
      </c>
      <c r="V1672" s="3" t="str">
        <f aca="false">IF(Q1672&lt;100,"Low",IF(Q1672&lt;=500,"Medium","High"))</f>
        <v>Medium</v>
      </c>
      <c r="W1672" s="3" t="n">
        <f aca="false">D1672-C1672</f>
        <v>2</v>
      </c>
      <c r="X1672" s="3" t="str">
        <f aca="false">TEXT(C1672,"mmmm")</f>
        <v>March</v>
      </c>
      <c r="Y1672" s="3" t="str">
        <f aca="false">LEFT(G1672,1)&amp;MID(G1672,FIND(" ",G1672)+1,1)</f>
        <v>LN</v>
      </c>
    </row>
    <row r="1673" customFormat="false" ht="15" hidden="false" customHeight="false" outlineLevel="0" collapsed="false">
      <c r="A1673" s="3" t="n">
        <v>1672</v>
      </c>
      <c r="B1673" s="3" t="s">
        <v>3566</v>
      </c>
      <c r="C1673" s="4" t="s">
        <v>3553</v>
      </c>
      <c r="D1673" s="4" t="s">
        <v>3567</v>
      </c>
      <c r="E1673" s="3" t="s">
        <v>84</v>
      </c>
      <c r="F1673" s="3" t="s">
        <v>454</v>
      </c>
      <c r="G1673" s="3" t="s">
        <v>455</v>
      </c>
      <c r="H1673" s="3" t="s">
        <v>56</v>
      </c>
      <c r="I1673" s="3" t="s">
        <v>32</v>
      </c>
      <c r="J1673" s="3" t="s">
        <v>57</v>
      </c>
      <c r="K1673" s="3" t="s">
        <v>58</v>
      </c>
      <c r="L1673" s="3" t="s">
        <v>59</v>
      </c>
      <c r="M1673" s="3" t="s">
        <v>347</v>
      </c>
      <c r="N1673" s="3" t="s">
        <v>49</v>
      </c>
      <c r="O1673" s="3" t="s">
        <v>220</v>
      </c>
      <c r="P1673" s="3" t="s">
        <v>348</v>
      </c>
      <c r="Q1673" s="5" t="n">
        <v>324.09</v>
      </c>
      <c r="R1673" s="3" t="n">
        <v>8</v>
      </c>
      <c r="S1673" s="6" t="n">
        <v>0</v>
      </c>
      <c r="T1673" s="5" t="n">
        <v>21.34</v>
      </c>
      <c r="U1673" s="3" t="str">
        <f aca="false">IF(T1673&lt;0,"Loss",IF(T1673=0,"Break-even","Profit"))</f>
        <v>Profit</v>
      </c>
      <c r="V1673" s="3" t="str">
        <f aca="false">IF(Q1673&lt;100,"Low",IF(Q1673&lt;=500,"Medium","High"))</f>
        <v>Medium</v>
      </c>
      <c r="W1673" s="3" t="n">
        <f aca="false">D1673-C1673</f>
        <v>3</v>
      </c>
      <c r="X1673" s="3" t="str">
        <f aca="false">TEXT(C1673,"mmmm")</f>
        <v>March</v>
      </c>
      <c r="Y1673" s="3" t="str">
        <f aca="false">LEFT(G1673,1)&amp;MID(G1673,FIND(" ",G1673)+1,1)</f>
        <v>OD</v>
      </c>
    </row>
    <row r="1674" customFormat="false" ht="15" hidden="false" customHeight="false" outlineLevel="0" collapsed="false">
      <c r="A1674" s="3" t="n">
        <v>1673</v>
      </c>
      <c r="B1674" s="3" t="s">
        <v>3568</v>
      </c>
      <c r="C1674" s="4" t="s">
        <v>3565</v>
      </c>
      <c r="D1674" s="4" t="s">
        <v>3569</v>
      </c>
      <c r="E1674" s="3" t="s">
        <v>28</v>
      </c>
      <c r="F1674" s="3" t="s">
        <v>1206</v>
      </c>
      <c r="G1674" s="3" t="s">
        <v>1207</v>
      </c>
      <c r="H1674" s="3" t="s">
        <v>45</v>
      </c>
      <c r="I1674" s="3" t="s">
        <v>32</v>
      </c>
      <c r="J1674" s="3" t="s">
        <v>120</v>
      </c>
      <c r="K1674" s="3" t="s">
        <v>113</v>
      </c>
      <c r="L1674" s="3" t="s">
        <v>69</v>
      </c>
      <c r="M1674" s="3" t="s">
        <v>269</v>
      </c>
      <c r="N1674" s="3" t="s">
        <v>89</v>
      </c>
      <c r="O1674" s="3" t="s">
        <v>174</v>
      </c>
      <c r="P1674" s="3" t="s">
        <v>270</v>
      </c>
      <c r="Q1674" s="5" t="n">
        <v>627.28</v>
      </c>
      <c r="R1674" s="3" t="n">
        <v>11</v>
      </c>
      <c r="S1674" s="6" t="n">
        <v>0.2</v>
      </c>
      <c r="T1674" s="5" t="n">
        <v>94.69</v>
      </c>
      <c r="U1674" s="3" t="str">
        <f aca="false">IF(T1674&lt;0,"Loss",IF(T1674=0,"Break-even","Profit"))</f>
        <v>Profit</v>
      </c>
      <c r="V1674" s="3" t="str">
        <f aca="false">IF(Q1674&lt;100,"Low",IF(Q1674&lt;=500,"Medium","High"))</f>
        <v>High</v>
      </c>
      <c r="W1674" s="3" t="n">
        <f aca="false">D1674-C1674</f>
        <v>5</v>
      </c>
      <c r="X1674" s="3" t="str">
        <f aca="false">TEXT(C1674,"mmmm")</f>
        <v>March</v>
      </c>
      <c r="Y1674" s="3" t="str">
        <f aca="false">LEFT(G1674,1)&amp;MID(G1674,FIND(" ",G1674)+1,1)</f>
        <v>LN</v>
      </c>
    </row>
    <row r="1675" customFormat="false" ht="15" hidden="false" customHeight="false" outlineLevel="0" collapsed="false">
      <c r="A1675" s="3" t="n">
        <v>1674</v>
      </c>
      <c r="B1675" s="3" t="s">
        <v>3570</v>
      </c>
      <c r="C1675" s="4" t="s">
        <v>3571</v>
      </c>
      <c r="D1675" s="4" t="s">
        <v>3572</v>
      </c>
      <c r="E1675" s="3" t="s">
        <v>28</v>
      </c>
      <c r="F1675" s="3" t="s">
        <v>2166</v>
      </c>
      <c r="G1675" s="3" t="s">
        <v>2167</v>
      </c>
      <c r="H1675" s="3" t="s">
        <v>56</v>
      </c>
      <c r="I1675" s="3" t="s">
        <v>32</v>
      </c>
      <c r="J1675" s="3" t="s">
        <v>133</v>
      </c>
      <c r="K1675" s="3" t="s">
        <v>134</v>
      </c>
      <c r="L1675" s="3" t="s">
        <v>69</v>
      </c>
      <c r="M1675" s="3" t="s">
        <v>190</v>
      </c>
      <c r="N1675" s="3" t="s">
        <v>49</v>
      </c>
      <c r="O1675" s="3" t="s">
        <v>150</v>
      </c>
      <c r="P1675" s="3" t="s">
        <v>191</v>
      </c>
      <c r="Q1675" s="5" t="n">
        <v>1466.59</v>
      </c>
      <c r="R1675" s="3" t="n">
        <v>14</v>
      </c>
      <c r="S1675" s="6" t="n">
        <v>0.4</v>
      </c>
      <c r="T1675" s="5" t="n">
        <v>53.7</v>
      </c>
      <c r="U1675" s="3" t="str">
        <f aca="false">IF(T1675&lt;0,"Loss",IF(T1675=0,"Break-even","Profit"))</f>
        <v>Profit</v>
      </c>
      <c r="V1675" s="3" t="str">
        <f aca="false">IF(Q1675&lt;100,"Low",IF(Q1675&lt;=500,"Medium","High"))</f>
        <v>High</v>
      </c>
      <c r="W1675" s="3" t="n">
        <f aca="false">D1675-C1675</f>
        <v>6</v>
      </c>
      <c r="X1675" s="3" t="str">
        <f aca="false">TEXT(C1675,"mmmm")</f>
        <v>March</v>
      </c>
      <c r="Y1675" s="3" t="str">
        <f aca="false">LEFT(G1675,1)&amp;MID(G1675,FIND(" ",G1675)+1,1)</f>
        <v>JR</v>
      </c>
    </row>
    <row r="1676" customFormat="false" ht="15" hidden="false" customHeight="false" outlineLevel="0" collapsed="false">
      <c r="A1676" s="3" t="n">
        <v>1675</v>
      </c>
      <c r="B1676" s="3" t="s">
        <v>3573</v>
      </c>
      <c r="C1676" s="4" t="s">
        <v>3574</v>
      </c>
      <c r="D1676" s="4" t="s">
        <v>3575</v>
      </c>
      <c r="E1676" s="3" t="s">
        <v>28</v>
      </c>
      <c r="F1676" s="3" t="s">
        <v>1565</v>
      </c>
      <c r="G1676" s="3" t="s">
        <v>1566</v>
      </c>
      <c r="H1676" s="3" t="s">
        <v>56</v>
      </c>
      <c r="I1676" s="3" t="s">
        <v>32</v>
      </c>
      <c r="J1676" s="3" t="s">
        <v>381</v>
      </c>
      <c r="K1676" s="3" t="s">
        <v>58</v>
      </c>
      <c r="L1676" s="3" t="s">
        <v>59</v>
      </c>
      <c r="M1676" s="3" t="s">
        <v>149</v>
      </c>
      <c r="N1676" s="3" t="s">
        <v>49</v>
      </c>
      <c r="O1676" s="3" t="s">
        <v>150</v>
      </c>
      <c r="P1676" s="3" t="s">
        <v>151</v>
      </c>
      <c r="Q1676" s="5" t="n">
        <v>465.9</v>
      </c>
      <c r="R1676" s="3" t="n">
        <v>7</v>
      </c>
      <c r="S1676" s="6" t="n">
        <v>0</v>
      </c>
      <c r="T1676" s="5" t="n">
        <v>59.41</v>
      </c>
      <c r="U1676" s="3" t="str">
        <f aca="false">IF(T1676&lt;0,"Loss",IF(T1676=0,"Break-even","Profit"))</f>
        <v>Profit</v>
      </c>
      <c r="V1676" s="3" t="str">
        <f aca="false">IF(Q1676&lt;100,"Low",IF(Q1676&lt;=500,"Medium","High"))</f>
        <v>Medium</v>
      </c>
      <c r="W1676" s="3" t="n">
        <f aca="false">D1676-C1676</f>
        <v>5</v>
      </c>
      <c r="X1676" s="3" t="str">
        <f aca="false">TEXT(C1676,"mmmm")</f>
        <v>March</v>
      </c>
      <c r="Y1676" s="3" t="str">
        <f aca="false">LEFT(G1676,1)&amp;MID(G1676,FIND(" ",G1676)+1,1)</f>
        <v>RB</v>
      </c>
    </row>
    <row r="1677" customFormat="false" ht="15" hidden="false" customHeight="false" outlineLevel="0" collapsed="false">
      <c r="A1677" s="3" t="n">
        <v>1676</v>
      </c>
      <c r="B1677" s="3" t="s">
        <v>3576</v>
      </c>
      <c r="C1677" s="4" t="s">
        <v>3574</v>
      </c>
      <c r="D1677" s="4" t="s">
        <v>3572</v>
      </c>
      <c r="E1677" s="3" t="s">
        <v>84</v>
      </c>
      <c r="F1677" s="3" t="s">
        <v>2039</v>
      </c>
      <c r="G1677" s="3" t="s">
        <v>2040</v>
      </c>
      <c r="H1677" s="3" t="s">
        <v>56</v>
      </c>
      <c r="I1677" s="3" t="s">
        <v>32</v>
      </c>
      <c r="J1677" s="3" t="s">
        <v>188</v>
      </c>
      <c r="K1677" s="3" t="s">
        <v>189</v>
      </c>
      <c r="L1677" s="3" t="s">
        <v>59</v>
      </c>
      <c r="M1677" s="3" t="s">
        <v>173</v>
      </c>
      <c r="N1677" s="3" t="s">
        <v>89</v>
      </c>
      <c r="O1677" s="3" t="s">
        <v>174</v>
      </c>
      <c r="P1677" s="3" t="s">
        <v>175</v>
      </c>
      <c r="Q1677" s="5" t="n">
        <v>479.8</v>
      </c>
      <c r="R1677" s="3" t="n">
        <v>3</v>
      </c>
      <c r="S1677" s="6" t="n">
        <v>0.4</v>
      </c>
      <c r="T1677" s="5" t="n">
        <v>-143.31</v>
      </c>
      <c r="U1677" s="3" t="str">
        <f aca="false">IF(T1677&lt;0,"Loss",IF(T1677=0,"Break-even","Profit"))</f>
        <v>Loss</v>
      </c>
      <c r="V1677" s="3" t="str">
        <f aca="false">IF(Q1677&lt;100,"Low",IF(Q1677&lt;=500,"Medium","High"))</f>
        <v>Medium</v>
      </c>
      <c r="W1677" s="3" t="n">
        <f aca="false">D1677-C1677</f>
        <v>4</v>
      </c>
      <c r="X1677" s="3" t="str">
        <f aca="false">TEXT(C1677,"mmmm")</f>
        <v>March</v>
      </c>
      <c r="Y1677" s="3" t="str">
        <f aca="false">LEFT(G1677,1)&amp;MID(G1677,FIND(" ",G1677)+1,1)</f>
        <v>OJ</v>
      </c>
    </row>
    <row r="1678" customFormat="false" ht="15" hidden="false" customHeight="false" outlineLevel="0" collapsed="false">
      <c r="A1678" s="3" t="n">
        <v>1677</v>
      </c>
      <c r="B1678" s="3" t="s">
        <v>3577</v>
      </c>
      <c r="C1678" s="4" t="s">
        <v>3578</v>
      </c>
      <c r="D1678" s="4" t="s">
        <v>3578</v>
      </c>
      <c r="E1678" s="3" t="s">
        <v>53</v>
      </c>
      <c r="F1678" s="3" t="s">
        <v>423</v>
      </c>
      <c r="G1678" s="3" t="s">
        <v>424</v>
      </c>
      <c r="H1678" s="3" t="s">
        <v>45</v>
      </c>
      <c r="I1678" s="3" t="s">
        <v>32</v>
      </c>
      <c r="J1678" s="3" t="s">
        <v>112</v>
      </c>
      <c r="K1678" s="3" t="s">
        <v>113</v>
      </c>
      <c r="L1678" s="3" t="s">
        <v>69</v>
      </c>
      <c r="M1678" s="3" t="s">
        <v>300</v>
      </c>
      <c r="N1678" s="3" t="s">
        <v>49</v>
      </c>
      <c r="O1678" s="3" t="s">
        <v>143</v>
      </c>
      <c r="P1678" s="3" t="s">
        <v>301</v>
      </c>
      <c r="Q1678" s="5" t="n">
        <v>239.75</v>
      </c>
      <c r="R1678" s="3" t="n">
        <v>10</v>
      </c>
      <c r="S1678" s="6" t="n">
        <v>0.1</v>
      </c>
      <c r="T1678" s="5" t="n">
        <v>-60.05</v>
      </c>
      <c r="U1678" s="3" t="str">
        <f aca="false">IF(T1678&lt;0,"Loss",IF(T1678=0,"Break-even","Profit"))</f>
        <v>Loss</v>
      </c>
      <c r="V1678" s="3" t="str">
        <f aca="false">IF(Q1678&lt;100,"Low",IF(Q1678&lt;=500,"Medium","High"))</f>
        <v>Medium</v>
      </c>
      <c r="W1678" s="3" t="n">
        <f aca="false">D1678-C1678</f>
        <v>0</v>
      </c>
      <c r="X1678" s="3" t="str">
        <f aca="false">TEXT(C1678,"mmmm")</f>
        <v>March</v>
      </c>
      <c r="Y1678" s="3" t="str">
        <f aca="false">LEFT(G1678,1)&amp;MID(G1678,FIND(" ",G1678)+1,1)</f>
        <v>MC</v>
      </c>
    </row>
    <row r="1679" customFormat="false" ht="15" hidden="false" customHeight="false" outlineLevel="0" collapsed="false">
      <c r="A1679" s="3" t="n">
        <v>1678</v>
      </c>
      <c r="B1679" s="3" t="s">
        <v>3579</v>
      </c>
      <c r="C1679" s="4" t="s">
        <v>3569</v>
      </c>
      <c r="D1679" s="4" t="s">
        <v>3580</v>
      </c>
      <c r="E1679" s="3" t="s">
        <v>28</v>
      </c>
      <c r="F1679" s="3" t="s">
        <v>637</v>
      </c>
      <c r="G1679" s="3" t="s">
        <v>638</v>
      </c>
      <c r="H1679" s="3" t="s">
        <v>31</v>
      </c>
      <c r="I1679" s="3" t="s">
        <v>32</v>
      </c>
      <c r="J1679" s="3" t="s">
        <v>208</v>
      </c>
      <c r="K1679" s="3" t="s">
        <v>134</v>
      </c>
      <c r="L1679" s="3" t="s">
        <v>69</v>
      </c>
      <c r="M1679" s="3" t="s">
        <v>195</v>
      </c>
      <c r="N1679" s="3" t="s">
        <v>37</v>
      </c>
      <c r="O1679" s="3" t="s">
        <v>196</v>
      </c>
      <c r="P1679" s="3" t="s">
        <v>197</v>
      </c>
      <c r="Q1679" s="5" t="n">
        <v>2049.5</v>
      </c>
      <c r="R1679" s="3" t="n">
        <v>2</v>
      </c>
      <c r="S1679" s="6" t="n">
        <v>0.4</v>
      </c>
      <c r="T1679" s="5" t="n">
        <v>181.8</v>
      </c>
      <c r="U1679" s="3" t="str">
        <f aca="false">IF(T1679&lt;0,"Loss",IF(T1679=0,"Break-even","Profit"))</f>
        <v>Profit</v>
      </c>
      <c r="V1679" s="3" t="str">
        <f aca="false">IF(Q1679&lt;100,"Low",IF(Q1679&lt;=500,"Medium","High"))</f>
        <v>High</v>
      </c>
      <c r="W1679" s="3" t="n">
        <f aca="false">D1679-C1679</f>
        <v>4</v>
      </c>
      <c r="X1679" s="3" t="str">
        <f aca="false">TEXT(C1679,"mmmm")</f>
        <v>March</v>
      </c>
      <c r="Y1679" s="3" t="str">
        <f aca="false">LEFT(G1679,1)&amp;MID(G1679,FIND(" ",G1679)+1,1)</f>
        <v>JM</v>
      </c>
    </row>
    <row r="1680" customFormat="false" ht="15" hidden="false" customHeight="false" outlineLevel="0" collapsed="false">
      <c r="A1680" s="3" t="n">
        <v>1679</v>
      </c>
      <c r="B1680" s="3" t="s">
        <v>3581</v>
      </c>
      <c r="C1680" s="4" t="s">
        <v>3569</v>
      </c>
      <c r="D1680" s="4" t="s">
        <v>3582</v>
      </c>
      <c r="E1680" s="3" t="s">
        <v>28</v>
      </c>
      <c r="F1680" s="3" t="s">
        <v>1853</v>
      </c>
      <c r="G1680" s="3" t="s">
        <v>1854</v>
      </c>
      <c r="H1680" s="3" t="s">
        <v>56</v>
      </c>
      <c r="I1680" s="3" t="s">
        <v>32</v>
      </c>
      <c r="J1680" s="3" t="s">
        <v>179</v>
      </c>
      <c r="K1680" s="3" t="s">
        <v>47</v>
      </c>
      <c r="L1680" s="3" t="s">
        <v>35</v>
      </c>
      <c r="M1680" s="3" t="s">
        <v>79</v>
      </c>
      <c r="N1680" s="3" t="s">
        <v>49</v>
      </c>
      <c r="O1680" s="3" t="s">
        <v>80</v>
      </c>
      <c r="P1680" s="3" t="s">
        <v>81</v>
      </c>
      <c r="Q1680" s="5" t="n">
        <v>1355.05</v>
      </c>
      <c r="R1680" s="3" t="n">
        <v>13</v>
      </c>
      <c r="S1680" s="6" t="n">
        <v>0.3</v>
      </c>
      <c r="T1680" s="5" t="n">
        <v>-72.58</v>
      </c>
      <c r="U1680" s="3" t="str">
        <f aca="false">IF(T1680&lt;0,"Loss",IF(T1680=0,"Break-even","Profit"))</f>
        <v>Loss</v>
      </c>
      <c r="V1680" s="3" t="str">
        <f aca="false">IF(Q1680&lt;100,"Low",IF(Q1680&lt;=500,"Medium","High"))</f>
        <v>High</v>
      </c>
      <c r="W1680" s="3" t="n">
        <f aca="false">D1680-C1680</f>
        <v>6</v>
      </c>
      <c r="X1680" s="3" t="str">
        <f aca="false">TEXT(C1680,"mmmm")</f>
        <v>March</v>
      </c>
      <c r="Y1680" s="3" t="str">
        <f aca="false">LEFT(G1680,1)&amp;MID(G1680,FIND(" ",G1680)+1,1)</f>
        <v>OT</v>
      </c>
    </row>
    <row r="1681" customFormat="false" ht="15" hidden="false" customHeight="false" outlineLevel="0" collapsed="false">
      <c r="A1681" s="3" t="n">
        <v>1680</v>
      </c>
      <c r="B1681" s="3" t="s">
        <v>3583</v>
      </c>
      <c r="C1681" s="4" t="s">
        <v>3584</v>
      </c>
      <c r="D1681" s="4" t="s">
        <v>3585</v>
      </c>
      <c r="E1681" s="3" t="s">
        <v>84</v>
      </c>
      <c r="F1681" s="3" t="s">
        <v>665</v>
      </c>
      <c r="G1681" s="3" t="s">
        <v>666</v>
      </c>
      <c r="H1681" s="3" t="s">
        <v>31</v>
      </c>
      <c r="I1681" s="3" t="s">
        <v>32</v>
      </c>
      <c r="J1681" s="3" t="s">
        <v>299</v>
      </c>
      <c r="K1681" s="3" t="s">
        <v>189</v>
      </c>
      <c r="L1681" s="3" t="s">
        <v>59</v>
      </c>
      <c r="M1681" s="3" t="s">
        <v>659</v>
      </c>
      <c r="N1681" s="3" t="s">
        <v>89</v>
      </c>
      <c r="O1681" s="3" t="s">
        <v>323</v>
      </c>
      <c r="P1681" s="3" t="s">
        <v>660</v>
      </c>
      <c r="Q1681" s="5" t="n">
        <v>4222.96</v>
      </c>
      <c r="R1681" s="3" t="n">
        <v>6</v>
      </c>
      <c r="S1681" s="6" t="n">
        <v>0.1</v>
      </c>
      <c r="T1681" s="5" t="n">
        <v>548.65</v>
      </c>
      <c r="U1681" s="3" t="str">
        <f aca="false">IF(T1681&lt;0,"Loss",IF(T1681=0,"Break-even","Profit"))</f>
        <v>Profit</v>
      </c>
      <c r="V1681" s="3" t="str">
        <f aca="false">IF(Q1681&lt;100,"Low",IF(Q1681&lt;=500,"Medium","High"))</f>
        <v>High</v>
      </c>
      <c r="W1681" s="3" t="n">
        <f aca="false">D1681-C1681</f>
        <v>4</v>
      </c>
      <c r="X1681" s="3" t="str">
        <f aca="false">TEXT(C1681,"mmmm")</f>
        <v>March</v>
      </c>
      <c r="Y1681" s="3" t="str">
        <f aca="false">LEFT(G1681,1)&amp;MID(G1681,FIND(" ",G1681)+1,1)</f>
        <v>EM</v>
      </c>
    </row>
    <row r="1682" customFormat="false" ht="15" hidden="false" customHeight="false" outlineLevel="0" collapsed="false">
      <c r="A1682" s="3" t="n">
        <v>1681</v>
      </c>
      <c r="B1682" s="3" t="s">
        <v>3586</v>
      </c>
      <c r="C1682" s="4" t="s">
        <v>3575</v>
      </c>
      <c r="D1682" s="4" t="s">
        <v>3587</v>
      </c>
      <c r="E1682" s="3" t="s">
        <v>28</v>
      </c>
      <c r="F1682" s="3" t="s">
        <v>1333</v>
      </c>
      <c r="G1682" s="3" t="s">
        <v>1334</v>
      </c>
      <c r="H1682" s="3" t="s">
        <v>31</v>
      </c>
      <c r="I1682" s="3" t="s">
        <v>32</v>
      </c>
      <c r="J1682" s="3" t="s">
        <v>663</v>
      </c>
      <c r="K1682" s="3" t="s">
        <v>307</v>
      </c>
      <c r="L1682" s="3" t="s">
        <v>69</v>
      </c>
      <c r="M1682" s="3" t="s">
        <v>158</v>
      </c>
      <c r="N1682" s="3" t="s">
        <v>49</v>
      </c>
      <c r="O1682" s="3" t="s">
        <v>159</v>
      </c>
      <c r="P1682" s="3" t="s">
        <v>160</v>
      </c>
      <c r="Q1682" s="5" t="n">
        <v>549.36</v>
      </c>
      <c r="R1682" s="3" t="n">
        <v>6</v>
      </c>
      <c r="S1682" s="6" t="n">
        <v>0</v>
      </c>
      <c r="T1682" s="5" t="n">
        <v>-29.37</v>
      </c>
      <c r="U1682" s="3" t="str">
        <f aca="false">IF(T1682&lt;0,"Loss",IF(T1682=0,"Break-even","Profit"))</f>
        <v>Loss</v>
      </c>
      <c r="V1682" s="3" t="str">
        <f aca="false">IF(Q1682&lt;100,"Low",IF(Q1682&lt;=500,"Medium","High"))</f>
        <v>High</v>
      </c>
      <c r="W1682" s="3" t="n">
        <f aca="false">D1682-C1682</f>
        <v>7</v>
      </c>
      <c r="X1682" s="3" t="str">
        <f aca="false">TEXT(C1682,"mmmm")</f>
        <v>March</v>
      </c>
      <c r="Y1682" s="3" t="str">
        <f aca="false">LEFT(G1682,1)&amp;MID(G1682,FIND(" ",G1682)+1,1)</f>
        <v>MN</v>
      </c>
    </row>
    <row r="1683" customFormat="false" ht="15" hidden="false" customHeight="false" outlineLevel="0" collapsed="false">
      <c r="A1683" s="3" t="n">
        <v>1682</v>
      </c>
      <c r="B1683" s="3" t="s">
        <v>3588</v>
      </c>
      <c r="C1683" s="4" t="s">
        <v>3580</v>
      </c>
      <c r="D1683" s="4" t="s">
        <v>3589</v>
      </c>
      <c r="E1683" s="3" t="s">
        <v>28</v>
      </c>
      <c r="F1683" s="3" t="s">
        <v>776</v>
      </c>
      <c r="G1683" s="3" t="s">
        <v>777</v>
      </c>
      <c r="H1683" s="3" t="s">
        <v>31</v>
      </c>
      <c r="I1683" s="3" t="s">
        <v>32</v>
      </c>
      <c r="J1683" s="3" t="s">
        <v>77</v>
      </c>
      <c r="K1683" s="3" t="s">
        <v>78</v>
      </c>
      <c r="L1683" s="3" t="s">
        <v>59</v>
      </c>
      <c r="M1683" s="3" t="s">
        <v>237</v>
      </c>
      <c r="N1683" s="3" t="s">
        <v>49</v>
      </c>
      <c r="O1683" s="3" t="s">
        <v>220</v>
      </c>
      <c r="P1683" s="3" t="s">
        <v>238</v>
      </c>
      <c r="Q1683" s="5" t="n">
        <v>272.83</v>
      </c>
      <c r="R1683" s="3" t="n">
        <v>7</v>
      </c>
      <c r="S1683" s="6" t="n">
        <v>0</v>
      </c>
      <c r="T1683" s="5" t="n">
        <v>16.16</v>
      </c>
      <c r="U1683" s="3" t="str">
        <f aca="false">IF(T1683&lt;0,"Loss",IF(T1683=0,"Break-even","Profit"))</f>
        <v>Profit</v>
      </c>
      <c r="V1683" s="3" t="str">
        <f aca="false">IF(Q1683&lt;100,"Low",IF(Q1683&lt;=500,"Medium","High"))</f>
        <v>Medium</v>
      </c>
      <c r="W1683" s="3" t="n">
        <f aca="false">D1683-C1683</f>
        <v>3</v>
      </c>
      <c r="X1683" s="3" t="str">
        <f aca="false">TEXT(C1683,"mmmm")</f>
        <v>March</v>
      </c>
      <c r="Y1683" s="3" t="str">
        <f aca="false">LEFT(G1683,1)&amp;MID(G1683,FIND(" ",G1683)+1,1)</f>
        <v>AM</v>
      </c>
    </row>
    <row r="1684" customFormat="false" ht="15" hidden="false" customHeight="false" outlineLevel="0" collapsed="false">
      <c r="A1684" s="3" t="n">
        <v>1683</v>
      </c>
      <c r="B1684" s="3" t="s">
        <v>3590</v>
      </c>
      <c r="C1684" s="4" t="s">
        <v>3580</v>
      </c>
      <c r="D1684" s="4" t="s">
        <v>3589</v>
      </c>
      <c r="E1684" s="3" t="s">
        <v>28</v>
      </c>
      <c r="F1684" s="3" t="s">
        <v>677</v>
      </c>
      <c r="G1684" s="3" t="s">
        <v>678</v>
      </c>
      <c r="H1684" s="3" t="s">
        <v>31</v>
      </c>
      <c r="I1684" s="3" t="s">
        <v>32</v>
      </c>
      <c r="J1684" s="3" t="s">
        <v>148</v>
      </c>
      <c r="K1684" s="3" t="s">
        <v>78</v>
      </c>
      <c r="L1684" s="3" t="s">
        <v>59</v>
      </c>
      <c r="M1684" s="3" t="s">
        <v>88</v>
      </c>
      <c r="N1684" s="3" t="s">
        <v>89</v>
      </c>
      <c r="O1684" s="3" t="s">
        <v>90</v>
      </c>
      <c r="P1684" s="3" t="s">
        <v>91</v>
      </c>
      <c r="Q1684" s="5" t="n">
        <v>440.76</v>
      </c>
      <c r="R1684" s="3" t="n">
        <v>2</v>
      </c>
      <c r="S1684" s="6" t="n">
        <v>0</v>
      </c>
      <c r="T1684" s="5" t="n">
        <v>-26.15</v>
      </c>
      <c r="U1684" s="3" t="str">
        <f aca="false">IF(T1684&lt;0,"Loss",IF(T1684=0,"Break-even","Profit"))</f>
        <v>Loss</v>
      </c>
      <c r="V1684" s="3" t="str">
        <f aca="false">IF(Q1684&lt;100,"Low",IF(Q1684&lt;=500,"Medium","High"))</f>
        <v>Medium</v>
      </c>
      <c r="W1684" s="3" t="n">
        <f aca="false">D1684-C1684</f>
        <v>3</v>
      </c>
      <c r="X1684" s="3" t="str">
        <f aca="false">TEXT(C1684,"mmmm")</f>
        <v>March</v>
      </c>
      <c r="Y1684" s="3" t="str">
        <f aca="false">LEFT(G1684,1)&amp;MID(G1684,FIND(" ",G1684)+1,1)</f>
        <v>FR</v>
      </c>
    </row>
    <row r="1685" customFormat="false" ht="15" hidden="false" customHeight="false" outlineLevel="0" collapsed="false">
      <c r="A1685" s="3" t="n">
        <v>1684</v>
      </c>
      <c r="B1685" s="3" t="s">
        <v>3591</v>
      </c>
      <c r="C1685" s="4" t="s">
        <v>3580</v>
      </c>
      <c r="D1685" s="4" t="s">
        <v>3587</v>
      </c>
      <c r="E1685" s="3" t="s">
        <v>28</v>
      </c>
      <c r="F1685" s="3" t="s">
        <v>217</v>
      </c>
      <c r="G1685" s="3" t="s">
        <v>218</v>
      </c>
      <c r="H1685" s="3" t="s">
        <v>56</v>
      </c>
      <c r="I1685" s="3" t="s">
        <v>32</v>
      </c>
      <c r="J1685" s="3" t="s">
        <v>476</v>
      </c>
      <c r="K1685" s="3" t="s">
        <v>366</v>
      </c>
      <c r="L1685" s="3" t="s">
        <v>157</v>
      </c>
      <c r="M1685" s="3" t="s">
        <v>334</v>
      </c>
      <c r="N1685" s="3" t="s">
        <v>37</v>
      </c>
      <c r="O1685" s="3" t="s">
        <v>136</v>
      </c>
      <c r="P1685" s="3" t="s">
        <v>335</v>
      </c>
      <c r="Q1685" s="5" t="n">
        <v>7719.14</v>
      </c>
      <c r="R1685" s="3" t="n">
        <v>8</v>
      </c>
      <c r="S1685" s="6" t="n">
        <v>0.4</v>
      </c>
      <c r="T1685" s="5" t="n">
        <v>-174.63</v>
      </c>
      <c r="U1685" s="3" t="str">
        <f aca="false">IF(T1685&lt;0,"Loss",IF(T1685=0,"Break-even","Profit"))</f>
        <v>Loss</v>
      </c>
      <c r="V1685" s="3" t="str">
        <f aca="false">IF(Q1685&lt;100,"Low",IF(Q1685&lt;=500,"Medium","High"))</f>
        <v>High</v>
      </c>
      <c r="W1685" s="3" t="n">
        <f aca="false">D1685-C1685</f>
        <v>6</v>
      </c>
      <c r="X1685" s="3" t="str">
        <f aca="false">TEXT(C1685,"mmmm")</f>
        <v>March</v>
      </c>
      <c r="Y1685" s="3" t="str">
        <f aca="false">LEFT(G1685,1)&amp;MID(G1685,FIND(" ",G1685)+1,1)</f>
        <v>SM</v>
      </c>
    </row>
    <row r="1686" customFormat="false" ht="15" hidden="false" customHeight="false" outlineLevel="0" collapsed="false">
      <c r="A1686" s="3" t="n">
        <v>1685</v>
      </c>
      <c r="B1686" s="3" t="s">
        <v>3592</v>
      </c>
      <c r="C1686" s="4" t="s">
        <v>3585</v>
      </c>
      <c r="D1686" s="4" t="s">
        <v>3593</v>
      </c>
      <c r="E1686" s="3" t="s">
        <v>28</v>
      </c>
      <c r="F1686" s="3" t="s">
        <v>2678</v>
      </c>
      <c r="G1686" s="3" t="s">
        <v>2679</v>
      </c>
      <c r="H1686" s="3" t="s">
        <v>56</v>
      </c>
      <c r="I1686" s="3" t="s">
        <v>32</v>
      </c>
      <c r="J1686" s="3" t="s">
        <v>215</v>
      </c>
      <c r="K1686" s="3" t="s">
        <v>34</v>
      </c>
      <c r="L1686" s="3" t="s">
        <v>35</v>
      </c>
      <c r="M1686" s="3" t="s">
        <v>300</v>
      </c>
      <c r="N1686" s="3" t="s">
        <v>49</v>
      </c>
      <c r="O1686" s="3" t="s">
        <v>143</v>
      </c>
      <c r="P1686" s="3" t="s">
        <v>301</v>
      </c>
      <c r="Q1686" s="5" t="n">
        <v>335.49</v>
      </c>
      <c r="R1686" s="3" t="n">
        <v>6</v>
      </c>
      <c r="S1686" s="6" t="n">
        <v>0.3</v>
      </c>
      <c r="T1686" s="5" t="n">
        <v>-85.73</v>
      </c>
      <c r="U1686" s="3" t="str">
        <f aca="false">IF(T1686&lt;0,"Loss",IF(T1686=0,"Break-even","Profit"))</f>
        <v>Loss</v>
      </c>
      <c r="V1686" s="3" t="str">
        <f aca="false">IF(Q1686&lt;100,"Low",IF(Q1686&lt;=500,"Medium","High"))</f>
        <v>Medium</v>
      </c>
      <c r="W1686" s="3" t="n">
        <f aca="false">D1686-C1686</f>
        <v>4</v>
      </c>
      <c r="X1686" s="3" t="str">
        <f aca="false">TEXT(C1686,"mmmm")</f>
        <v>March</v>
      </c>
      <c r="Y1686" s="3" t="str">
        <f aca="false">LEFT(G1686,1)&amp;MID(G1686,FIND(" ",G1686)+1,1)</f>
        <v>EM</v>
      </c>
    </row>
    <row r="1687" customFormat="false" ht="15" hidden="false" customHeight="false" outlineLevel="0" collapsed="false">
      <c r="A1687" s="3" t="n">
        <v>1686</v>
      </c>
      <c r="B1687" s="3" t="s">
        <v>3594</v>
      </c>
      <c r="C1687" s="4" t="s">
        <v>3585</v>
      </c>
      <c r="D1687" s="4" t="s">
        <v>3587</v>
      </c>
      <c r="E1687" s="3" t="s">
        <v>28</v>
      </c>
      <c r="F1687" s="3" t="s">
        <v>2275</v>
      </c>
      <c r="G1687" s="3" t="s">
        <v>2276</v>
      </c>
      <c r="H1687" s="3" t="s">
        <v>56</v>
      </c>
      <c r="I1687" s="3" t="s">
        <v>32</v>
      </c>
      <c r="J1687" s="3" t="s">
        <v>548</v>
      </c>
      <c r="K1687" s="3" t="s">
        <v>244</v>
      </c>
      <c r="L1687" s="3" t="s">
        <v>157</v>
      </c>
      <c r="M1687" s="3" t="s">
        <v>225</v>
      </c>
      <c r="N1687" s="3" t="s">
        <v>37</v>
      </c>
      <c r="O1687" s="3" t="s">
        <v>196</v>
      </c>
      <c r="P1687" s="3" t="s">
        <v>226</v>
      </c>
      <c r="Q1687" s="5" t="n">
        <v>9148.22</v>
      </c>
      <c r="R1687" s="3" t="n">
        <v>12</v>
      </c>
      <c r="S1687" s="6" t="n">
        <v>0</v>
      </c>
      <c r="T1687" s="5" t="n">
        <v>-1139.59</v>
      </c>
      <c r="U1687" s="3" t="str">
        <f aca="false">IF(T1687&lt;0,"Loss",IF(T1687=0,"Break-even","Profit"))</f>
        <v>Loss</v>
      </c>
      <c r="V1687" s="3" t="str">
        <f aca="false">IF(Q1687&lt;100,"Low",IF(Q1687&lt;=500,"Medium","High"))</f>
        <v>High</v>
      </c>
      <c r="W1687" s="3" t="n">
        <f aca="false">D1687-C1687</f>
        <v>5</v>
      </c>
      <c r="X1687" s="3" t="str">
        <f aca="false">TEXT(C1687,"mmmm")</f>
        <v>March</v>
      </c>
      <c r="Y1687" s="3" t="str">
        <f aca="false">LEFT(G1687,1)&amp;MID(G1687,FIND(" ",G1687)+1,1)</f>
        <v>JB</v>
      </c>
    </row>
    <row r="1688" customFormat="false" ht="15" hidden="false" customHeight="false" outlineLevel="0" collapsed="false">
      <c r="A1688" s="3" t="n">
        <v>1687</v>
      </c>
      <c r="B1688" s="3" t="s">
        <v>3595</v>
      </c>
      <c r="C1688" s="4" t="s">
        <v>3582</v>
      </c>
      <c r="D1688" s="4" t="s">
        <v>3596</v>
      </c>
      <c r="E1688" s="3" t="s">
        <v>28</v>
      </c>
      <c r="F1688" s="3" t="s">
        <v>1631</v>
      </c>
      <c r="G1688" s="3" t="s">
        <v>1632</v>
      </c>
      <c r="H1688" s="3" t="s">
        <v>56</v>
      </c>
      <c r="I1688" s="3" t="s">
        <v>32</v>
      </c>
      <c r="J1688" s="3" t="s">
        <v>215</v>
      </c>
      <c r="K1688" s="3" t="s">
        <v>34</v>
      </c>
      <c r="L1688" s="3" t="s">
        <v>35</v>
      </c>
      <c r="M1688" s="3" t="s">
        <v>127</v>
      </c>
      <c r="N1688" s="3" t="s">
        <v>49</v>
      </c>
      <c r="O1688" s="3" t="s">
        <v>61</v>
      </c>
      <c r="P1688" s="3" t="s">
        <v>128</v>
      </c>
      <c r="Q1688" s="5" t="n">
        <v>108.7</v>
      </c>
      <c r="R1688" s="3" t="n">
        <v>7</v>
      </c>
      <c r="S1688" s="6" t="n">
        <v>0</v>
      </c>
      <c r="T1688" s="5" t="n">
        <v>-17.78</v>
      </c>
      <c r="U1688" s="3" t="str">
        <f aca="false">IF(T1688&lt;0,"Loss",IF(T1688=0,"Break-even","Profit"))</f>
        <v>Loss</v>
      </c>
      <c r="V1688" s="3" t="str">
        <f aca="false">IF(Q1688&lt;100,"Low",IF(Q1688&lt;=500,"Medium","High"))</f>
        <v>Medium</v>
      </c>
      <c r="W1688" s="3" t="n">
        <f aca="false">D1688-C1688</f>
        <v>7</v>
      </c>
      <c r="X1688" s="3" t="str">
        <f aca="false">TEXT(C1688,"mmmm")</f>
        <v>April</v>
      </c>
      <c r="Y1688" s="3" t="str">
        <f aca="false">LEFT(G1688,1)&amp;MID(G1688,FIND(" ",G1688)+1,1)</f>
        <v>AK</v>
      </c>
    </row>
    <row r="1689" customFormat="false" ht="15" hidden="false" customHeight="false" outlineLevel="0" collapsed="false">
      <c r="A1689" s="3" t="n">
        <v>1688</v>
      </c>
      <c r="B1689" s="3" t="s">
        <v>3597</v>
      </c>
      <c r="C1689" s="4" t="s">
        <v>3582</v>
      </c>
      <c r="D1689" s="4" t="s">
        <v>3587</v>
      </c>
      <c r="E1689" s="3" t="s">
        <v>28</v>
      </c>
      <c r="F1689" s="3" t="s">
        <v>1077</v>
      </c>
      <c r="G1689" s="3" t="s">
        <v>1078</v>
      </c>
      <c r="H1689" s="3" t="s">
        <v>31</v>
      </c>
      <c r="I1689" s="3" t="s">
        <v>32</v>
      </c>
      <c r="J1689" s="3" t="s">
        <v>57</v>
      </c>
      <c r="K1689" s="3" t="s">
        <v>58</v>
      </c>
      <c r="L1689" s="3" t="s">
        <v>59</v>
      </c>
      <c r="M1689" s="3" t="s">
        <v>209</v>
      </c>
      <c r="N1689" s="3" t="s">
        <v>49</v>
      </c>
      <c r="O1689" s="3" t="s">
        <v>106</v>
      </c>
      <c r="P1689" s="3" t="s">
        <v>210</v>
      </c>
      <c r="Q1689" s="5" t="n">
        <v>57.08</v>
      </c>
      <c r="R1689" s="3" t="n">
        <v>1</v>
      </c>
      <c r="S1689" s="6" t="n">
        <v>0.5</v>
      </c>
      <c r="T1689" s="5" t="n">
        <v>-0.08</v>
      </c>
      <c r="U1689" s="3" t="str">
        <f aca="false">IF(T1689&lt;0,"Loss",IF(T1689=0,"Break-even","Profit"))</f>
        <v>Loss</v>
      </c>
      <c r="V1689" s="3" t="str">
        <f aca="false">IF(Q1689&lt;100,"Low",IF(Q1689&lt;=500,"Medium","High"))</f>
        <v>Low</v>
      </c>
      <c r="W1689" s="3" t="n">
        <f aca="false">D1689-C1689</f>
        <v>4</v>
      </c>
      <c r="X1689" s="3" t="str">
        <f aca="false">TEXT(C1689,"mmmm")</f>
        <v>April</v>
      </c>
      <c r="Y1689" s="3" t="str">
        <f aca="false">LEFT(G1689,1)&amp;MID(G1689,FIND(" ",G1689)+1,1)</f>
        <v>FN</v>
      </c>
    </row>
    <row r="1690" customFormat="false" ht="15" hidden="false" customHeight="false" outlineLevel="0" collapsed="false">
      <c r="A1690" s="3" t="n">
        <v>1689</v>
      </c>
      <c r="B1690" s="3" t="s">
        <v>3598</v>
      </c>
      <c r="C1690" s="4" t="s">
        <v>3589</v>
      </c>
      <c r="D1690" s="4" t="s">
        <v>3599</v>
      </c>
      <c r="E1690" s="3" t="s">
        <v>28</v>
      </c>
      <c r="F1690" s="3" t="s">
        <v>2921</v>
      </c>
      <c r="G1690" s="3" t="s">
        <v>2922</v>
      </c>
      <c r="H1690" s="3" t="s">
        <v>56</v>
      </c>
      <c r="I1690" s="3" t="s">
        <v>32</v>
      </c>
      <c r="J1690" s="3" t="s">
        <v>306</v>
      </c>
      <c r="K1690" s="3" t="s">
        <v>307</v>
      </c>
      <c r="L1690" s="3" t="s">
        <v>69</v>
      </c>
      <c r="M1690" s="3" t="s">
        <v>36</v>
      </c>
      <c r="N1690" s="3" t="s">
        <v>37</v>
      </c>
      <c r="O1690" s="3" t="s">
        <v>38</v>
      </c>
      <c r="P1690" s="3" t="s">
        <v>39</v>
      </c>
      <c r="Q1690" s="5" t="n">
        <v>5259.71</v>
      </c>
      <c r="R1690" s="3" t="n">
        <v>3</v>
      </c>
      <c r="S1690" s="6" t="n">
        <v>0</v>
      </c>
      <c r="T1690" s="5" t="n">
        <v>-639.53</v>
      </c>
      <c r="U1690" s="3" t="str">
        <f aca="false">IF(T1690&lt;0,"Loss",IF(T1690=0,"Break-even","Profit"))</f>
        <v>Loss</v>
      </c>
      <c r="V1690" s="3" t="str">
        <f aca="false">IF(Q1690&lt;100,"Low",IF(Q1690&lt;=500,"Medium","High"))</f>
        <v>High</v>
      </c>
      <c r="W1690" s="3" t="n">
        <f aca="false">D1690-C1690</f>
        <v>7</v>
      </c>
      <c r="X1690" s="3" t="str">
        <f aca="false">TEXT(C1690,"mmmm")</f>
        <v>April</v>
      </c>
      <c r="Y1690" s="3" t="str">
        <f aca="false">LEFT(G1690,1)&amp;MID(G1690,FIND(" ",G1690)+1,1)</f>
        <v>MM</v>
      </c>
    </row>
    <row r="1691" customFormat="false" ht="15" hidden="false" customHeight="false" outlineLevel="0" collapsed="false">
      <c r="A1691" s="3" t="n">
        <v>1690</v>
      </c>
      <c r="B1691" s="3" t="s">
        <v>3600</v>
      </c>
      <c r="C1691" s="4" t="s">
        <v>3601</v>
      </c>
      <c r="D1691" s="4" t="s">
        <v>3602</v>
      </c>
      <c r="E1691" s="3" t="s">
        <v>28</v>
      </c>
      <c r="F1691" s="3" t="s">
        <v>1221</v>
      </c>
      <c r="G1691" s="3" t="s">
        <v>1222</v>
      </c>
      <c r="H1691" s="3" t="s">
        <v>31</v>
      </c>
      <c r="I1691" s="3" t="s">
        <v>32</v>
      </c>
      <c r="J1691" s="3" t="s">
        <v>87</v>
      </c>
      <c r="K1691" s="3" t="s">
        <v>68</v>
      </c>
      <c r="L1691" s="3" t="s">
        <v>69</v>
      </c>
      <c r="M1691" s="3" t="s">
        <v>209</v>
      </c>
      <c r="N1691" s="3" t="s">
        <v>49</v>
      </c>
      <c r="O1691" s="3" t="s">
        <v>106</v>
      </c>
      <c r="P1691" s="3" t="s">
        <v>210</v>
      </c>
      <c r="Q1691" s="5" t="n">
        <v>690.87</v>
      </c>
      <c r="R1691" s="3" t="n">
        <v>8</v>
      </c>
      <c r="S1691" s="6" t="n">
        <v>0.1</v>
      </c>
      <c r="T1691" s="5" t="n">
        <v>154.35</v>
      </c>
      <c r="U1691" s="3" t="str">
        <f aca="false">IF(T1691&lt;0,"Loss",IF(T1691=0,"Break-even","Profit"))</f>
        <v>Profit</v>
      </c>
      <c r="V1691" s="3" t="str">
        <f aca="false">IF(Q1691&lt;100,"Low",IF(Q1691&lt;=500,"Medium","High"))</f>
        <v>High</v>
      </c>
      <c r="W1691" s="3" t="n">
        <f aca="false">D1691-C1691</f>
        <v>7</v>
      </c>
      <c r="X1691" s="3" t="str">
        <f aca="false">TEXT(C1691,"mmmm")</f>
        <v>April</v>
      </c>
      <c r="Y1691" s="3" t="str">
        <f aca="false">LEFT(G1691,1)&amp;MID(G1691,FIND(" ",G1691)+1,1)</f>
        <v>MD</v>
      </c>
    </row>
    <row r="1692" customFormat="false" ht="15" hidden="false" customHeight="false" outlineLevel="0" collapsed="false">
      <c r="A1692" s="3" t="n">
        <v>1691</v>
      </c>
      <c r="B1692" s="3" t="s">
        <v>3603</v>
      </c>
      <c r="C1692" s="4" t="s">
        <v>3604</v>
      </c>
      <c r="D1692" s="4" t="s">
        <v>3605</v>
      </c>
      <c r="E1692" s="3" t="s">
        <v>28</v>
      </c>
      <c r="F1692" s="3" t="s">
        <v>821</v>
      </c>
      <c r="G1692" s="3" t="s">
        <v>822</v>
      </c>
      <c r="H1692" s="3" t="s">
        <v>31</v>
      </c>
      <c r="I1692" s="3" t="s">
        <v>32</v>
      </c>
      <c r="J1692" s="3" t="s">
        <v>814</v>
      </c>
      <c r="K1692" s="3" t="s">
        <v>156</v>
      </c>
      <c r="L1692" s="3" t="s">
        <v>157</v>
      </c>
      <c r="M1692" s="3" t="s">
        <v>60</v>
      </c>
      <c r="N1692" s="3" t="s">
        <v>49</v>
      </c>
      <c r="O1692" s="3" t="s">
        <v>61</v>
      </c>
      <c r="P1692" s="3" t="s">
        <v>62</v>
      </c>
      <c r="Q1692" s="5" t="n">
        <v>117</v>
      </c>
      <c r="R1692" s="3" t="n">
        <v>3</v>
      </c>
      <c r="S1692" s="6" t="n">
        <v>0</v>
      </c>
      <c r="T1692" s="5" t="n">
        <v>-20.9</v>
      </c>
      <c r="U1692" s="3" t="str">
        <f aca="false">IF(T1692&lt;0,"Loss",IF(T1692=0,"Break-even","Profit"))</f>
        <v>Loss</v>
      </c>
      <c r="V1692" s="3" t="str">
        <f aca="false">IF(Q1692&lt;100,"Low",IF(Q1692&lt;=500,"Medium","High"))</f>
        <v>Medium</v>
      </c>
      <c r="W1692" s="3" t="n">
        <f aca="false">D1692-C1692</f>
        <v>7</v>
      </c>
      <c r="X1692" s="3" t="str">
        <f aca="false">TEXT(C1692,"mmmm")</f>
        <v>April</v>
      </c>
      <c r="Y1692" s="3" t="str">
        <f aca="false">LEFT(G1692,1)&amp;MID(G1692,FIND(" ",G1692)+1,1)</f>
        <v>SM</v>
      </c>
    </row>
    <row r="1693" customFormat="false" ht="15" hidden="false" customHeight="false" outlineLevel="0" collapsed="false">
      <c r="A1693" s="3" t="n">
        <v>1692</v>
      </c>
      <c r="B1693" s="3" t="s">
        <v>3606</v>
      </c>
      <c r="C1693" s="4" t="s">
        <v>3604</v>
      </c>
      <c r="D1693" s="4" t="s">
        <v>3596</v>
      </c>
      <c r="E1693" s="3" t="s">
        <v>84</v>
      </c>
      <c r="F1693" s="3" t="s">
        <v>232</v>
      </c>
      <c r="G1693" s="3" t="s">
        <v>233</v>
      </c>
      <c r="H1693" s="3" t="s">
        <v>56</v>
      </c>
      <c r="I1693" s="3" t="s">
        <v>32</v>
      </c>
      <c r="J1693" s="3" t="s">
        <v>112</v>
      </c>
      <c r="K1693" s="3" t="s">
        <v>113</v>
      </c>
      <c r="L1693" s="3" t="s">
        <v>69</v>
      </c>
      <c r="M1693" s="3" t="s">
        <v>121</v>
      </c>
      <c r="N1693" s="3" t="s">
        <v>49</v>
      </c>
      <c r="O1693" s="3" t="s">
        <v>50</v>
      </c>
      <c r="P1693" s="3" t="s">
        <v>122</v>
      </c>
      <c r="Q1693" s="5" t="n">
        <v>825.29</v>
      </c>
      <c r="R1693" s="3" t="n">
        <v>10</v>
      </c>
      <c r="S1693" s="6" t="n">
        <v>0.2</v>
      </c>
      <c r="T1693" s="5" t="n">
        <v>205.59</v>
      </c>
      <c r="U1693" s="3" t="str">
        <f aca="false">IF(T1693&lt;0,"Loss",IF(T1693=0,"Break-even","Profit"))</f>
        <v>Profit</v>
      </c>
      <c r="V1693" s="3" t="str">
        <f aca="false">IF(Q1693&lt;100,"Low",IF(Q1693&lt;=500,"Medium","High"))</f>
        <v>High</v>
      </c>
      <c r="W1693" s="3" t="n">
        <f aca="false">D1693-C1693</f>
        <v>2</v>
      </c>
      <c r="X1693" s="3" t="str">
        <f aca="false">TEXT(C1693,"mmmm")</f>
        <v>April</v>
      </c>
      <c r="Y1693" s="3" t="str">
        <f aca="false">LEFT(G1693,1)&amp;MID(G1693,FIND(" ",G1693)+1,1)</f>
        <v>PN</v>
      </c>
    </row>
    <row r="1694" customFormat="false" ht="15" hidden="false" customHeight="false" outlineLevel="0" collapsed="false">
      <c r="A1694" s="3" t="n">
        <v>1693</v>
      </c>
      <c r="B1694" s="3" t="s">
        <v>3607</v>
      </c>
      <c r="C1694" s="4" t="s">
        <v>3608</v>
      </c>
      <c r="D1694" s="4" t="s">
        <v>3602</v>
      </c>
      <c r="E1694" s="3" t="s">
        <v>84</v>
      </c>
      <c r="F1694" s="3" t="s">
        <v>776</v>
      </c>
      <c r="G1694" s="3" t="s">
        <v>777</v>
      </c>
      <c r="H1694" s="3" t="s">
        <v>56</v>
      </c>
      <c r="I1694" s="3" t="s">
        <v>32</v>
      </c>
      <c r="J1694" s="3" t="s">
        <v>737</v>
      </c>
      <c r="K1694" s="3" t="s">
        <v>307</v>
      </c>
      <c r="L1694" s="3" t="s">
        <v>69</v>
      </c>
      <c r="M1694" s="3" t="s">
        <v>97</v>
      </c>
      <c r="N1694" s="3" t="s">
        <v>89</v>
      </c>
      <c r="O1694" s="3" t="s">
        <v>90</v>
      </c>
      <c r="P1694" s="3" t="s">
        <v>98</v>
      </c>
      <c r="Q1694" s="5" t="n">
        <v>1590.23</v>
      </c>
      <c r="R1694" s="3" t="n">
        <v>12</v>
      </c>
      <c r="S1694" s="6" t="n">
        <v>0.2</v>
      </c>
      <c r="T1694" s="5" t="n">
        <v>-252.09</v>
      </c>
      <c r="U1694" s="3" t="str">
        <f aca="false">IF(T1694&lt;0,"Loss",IF(T1694=0,"Break-even","Profit"))</f>
        <v>Loss</v>
      </c>
      <c r="V1694" s="3" t="str">
        <f aca="false">IF(Q1694&lt;100,"Low",IF(Q1694&lt;=500,"Medium","High"))</f>
        <v>High</v>
      </c>
      <c r="W1694" s="3" t="n">
        <f aca="false">D1694-C1694</f>
        <v>3</v>
      </c>
      <c r="X1694" s="3" t="str">
        <f aca="false">TEXT(C1694,"mmmm")</f>
        <v>April</v>
      </c>
      <c r="Y1694" s="3" t="str">
        <f aca="false">LEFT(G1694,1)&amp;MID(G1694,FIND(" ",G1694)+1,1)</f>
        <v>AM</v>
      </c>
    </row>
    <row r="1695" customFormat="false" ht="15" hidden="false" customHeight="false" outlineLevel="0" collapsed="false">
      <c r="A1695" s="3" t="n">
        <v>1694</v>
      </c>
      <c r="B1695" s="3" t="s">
        <v>3609</v>
      </c>
      <c r="C1695" s="4" t="s">
        <v>3608</v>
      </c>
      <c r="D1695" s="4" t="s">
        <v>3599</v>
      </c>
      <c r="E1695" s="3" t="s">
        <v>84</v>
      </c>
      <c r="F1695" s="3" t="s">
        <v>2385</v>
      </c>
      <c r="G1695" s="3" t="s">
        <v>2386</v>
      </c>
      <c r="H1695" s="3" t="s">
        <v>45</v>
      </c>
      <c r="I1695" s="3" t="s">
        <v>32</v>
      </c>
      <c r="J1695" s="3" t="s">
        <v>33</v>
      </c>
      <c r="K1695" s="3" t="s">
        <v>34</v>
      </c>
      <c r="L1695" s="3" t="s">
        <v>35</v>
      </c>
      <c r="M1695" s="3" t="s">
        <v>195</v>
      </c>
      <c r="N1695" s="3" t="s">
        <v>37</v>
      </c>
      <c r="O1695" s="3" t="s">
        <v>196</v>
      </c>
      <c r="P1695" s="3" t="s">
        <v>197</v>
      </c>
      <c r="Q1695" s="5" t="n">
        <v>14285.93</v>
      </c>
      <c r="R1695" s="3" t="n">
        <v>11</v>
      </c>
      <c r="S1695" s="6" t="n">
        <v>0.4</v>
      </c>
      <c r="T1695" s="5" t="n">
        <v>986.4</v>
      </c>
      <c r="U1695" s="3" t="str">
        <f aca="false">IF(T1695&lt;0,"Loss",IF(T1695=0,"Break-even","Profit"))</f>
        <v>Profit</v>
      </c>
      <c r="V1695" s="3" t="str">
        <f aca="false">IF(Q1695&lt;100,"Low",IF(Q1695&lt;=500,"Medium","High"))</f>
        <v>High</v>
      </c>
      <c r="W1695" s="3" t="n">
        <f aca="false">D1695-C1695</f>
        <v>2</v>
      </c>
      <c r="X1695" s="3" t="str">
        <f aca="false">TEXT(C1695,"mmmm")</f>
        <v>April</v>
      </c>
      <c r="Y1695" s="3" t="str">
        <f aca="false">LEFT(G1695,1)&amp;MID(G1695,FIND(" ",G1695)+1,1)</f>
        <v>SN</v>
      </c>
    </row>
    <row r="1696" customFormat="false" ht="15" hidden="false" customHeight="false" outlineLevel="0" collapsed="false">
      <c r="A1696" s="3" t="n">
        <v>1695</v>
      </c>
      <c r="B1696" s="3" t="s">
        <v>3610</v>
      </c>
      <c r="C1696" s="4" t="s">
        <v>3608</v>
      </c>
      <c r="D1696" s="4" t="s">
        <v>3605</v>
      </c>
      <c r="E1696" s="3" t="s">
        <v>28</v>
      </c>
      <c r="F1696" s="3" t="s">
        <v>699</v>
      </c>
      <c r="G1696" s="3" t="s">
        <v>700</v>
      </c>
      <c r="H1696" s="3" t="s">
        <v>56</v>
      </c>
      <c r="I1696" s="3" t="s">
        <v>32</v>
      </c>
      <c r="J1696" s="3" t="s">
        <v>148</v>
      </c>
      <c r="K1696" s="3" t="s">
        <v>78</v>
      </c>
      <c r="L1696" s="3" t="s">
        <v>59</v>
      </c>
      <c r="M1696" s="3" t="s">
        <v>683</v>
      </c>
      <c r="N1696" s="3" t="s">
        <v>37</v>
      </c>
      <c r="O1696" s="3" t="s">
        <v>136</v>
      </c>
      <c r="P1696" s="3" t="s">
        <v>684</v>
      </c>
      <c r="Q1696" s="5" t="n">
        <v>12275.39</v>
      </c>
      <c r="R1696" s="3" t="n">
        <v>13</v>
      </c>
      <c r="S1696" s="6" t="n">
        <v>0.1</v>
      </c>
      <c r="T1696" s="5" t="n">
        <v>1213.23</v>
      </c>
      <c r="U1696" s="3" t="str">
        <f aca="false">IF(T1696&lt;0,"Loss",IF(T1696=0,"Break-even","Profit"))</f>
        <v>Profit</v>
      </c>
      <c r="V1696" s="3" t="str">
        <f aca="false">IF(Q1696&lt;100,"Low",IF(Q1696&lt;=500,"Medium","High"))</f>
        <v>High</v>
      </c>
      <c r="W1696" s="3" t="n">
        <f aca="false">D1696-C1696</f>
        <v>6</v>
      </c>
      <c r="X1696" s="3" t="str">
        <f aca="false">TEXT(C1696,"mmmm")</f>
        <v>April</v>
      </c>
      <c r="Y1696" s="3" t="str">
        <f aca="false">LEFT(G1696,1)&amp;MID(G1696,FIND(" ",G1696)+1,1)</f>
        <v>RJ</v>
      </c>
    </row>
    <row r="1697" customFormat="false" ht="15" hidden="false" customHeight="false" outlineLevel="0" collapsed="false">
      <c r="A1697" s="3" t="n">
        <v>1696</v>
      </c>
      <c r="B1697" s="3" t="s">
        <v>3611</v>
      </c>
      <c r="C1697" s="4" t="s">
        <v>3596</v>
      </c>
      <c r="D1697" s="4" t="s">
        <v>3612</v>
      </c>
      <c r="E1697" s="3" t="s">
        <v>28</v>
      </c>
      <c r="F1697" s="3" t="s">
        <v>1318</v>
      </c>
      <c r="G1697" s="3" t="s">
        <v>1319</v>
      </c>
      <c r="H1697" s="3" t="s">
        <v>45</v>
      </c>
      <c r="I1697" s="3" t="s">
        <v>32</v>
      </c>
      <c r="J1697" s="3" t="s">
        <v>120</v>
      </c>
      <c r="K1697" s="3" t="s">
        <v>113</v>
      </c>
      <c r="L1697" s="3" t="s">
        <v>69</v>
      </c>
      <c r="M1697" s="3" t="s">
        <v>559</v>
      </c>
      <c r="N1697" s="3" t="s">
        <v>37</v>
      </c>
      <c r="O1697" s="3" t="s">
        <v>38</v>
      </c>
      <c r="P1697" s="3" t="s">
        <v>560</v>
      </c>
      <c r="Q1697" s="5" t="n">
        <v>4856.51</v>
      </c>
      <c r="R1697" s="3" t="n">
        <v>6</v>
      </c>
      <c r="S1697" s="6" t="n">
        <v>0.4</v>
      </c>
      <c r="T1697" s="5" t="n">
        <v>-1398.3</v>
      </c>
      <c r="U1697" s="3" t="str">
        <f aca="false">IF(T1697&lt;0,"Loss",IF(T1697=0,"Break-even","Profit"))</f>
        <v>Loss</v>
      </c>
      <c r="V1697" s="3" t="str">
        <f aca="false">IF(Q1697&lt;100,"Low",IF(Q1697&lt;=500,"Medium","High"))</f>
        <v>High</v>
      </c>
      <c r="W1697" s="3" t="n">
        <f aca="false">D1697-C1697</f>
        <v>3</v>
      </c>
      <c r="X1697" s="3" t="str">
        <f aca="false">TEXT(C1697,"mmmm")</f>
        <v>April</v>
      </c>
      <c r="Y1697" s="3" t="str">
        <f aca="false">LEFT(G1697,1)&amp;MID(G1697,FIND(" ",G1697)+1,1)</f>
        <v>WK</v>
      </c>
    </row>
    <row r="1698" customFormat="false" ht="15" hidden="false" customHeight="false" outlineLevel="0" collapsed="false">
      <c r="A1698" s="3" t="n">
        <v>1697</v>
      </c>
      <c r="B1698" s="3" t="s">
        <v>3613</v>
      </c>
      <c r="C1698" s="4" t="s">
        <v>3599</v>
      </c>
      <c r="D1698" s="4" t="s">
        <v>3614</v>
      </c>
      <c r="E1698" s="3" t="s">
        <v>84</v>
      </c>
      <c r="F1698" s="3" t="s">
        <v>1812</v>
      </c>
      <c r="G1698" s="3" t="s">
        <v>1813</v>
      </c>
      <c r="H1698" s="3" t="s">
        <v>45</v>
      </c>
      <c r="I1698" s="3" t="s">
        <v>32</v>
      </c>
      <c r="J1698" s="3" t="s">
        <v>148</v>
      </c>
      <c r="K1698" s="3" t="s">
        <v>78</v>
      </c>
      <c r="L1698" s="3" t="s">
        <v>59</v>
      </c>
      <c r="M1698" s="3" t="s">
        <v>219</v>
      </c>
      <c r="N1698" s="3" t="s">
        <v>49</v>
      </c>
      <c r="O1698" s="3" t="s">
        <v>220</v>
      </c>
      <c r="P1698" s="3" t="s">
        <v>221</v>
      </c>
      <c r="Q1698" s="5" t="n">
        <v>1239.9</v>
      </c>
      <c r="R1698" s="3" t="n">
        <v>14</v>
      </c>
      <c r="S1698" s="6" t="n">
        <v>0.2</v>
      </c>
      <c r="T1698" s="5" t="n">
        <v>123.94</v>
      </c>
      <c r="U1698" s="3" t="str">
        <f aca="false">IF(T1698&lt;0,"Loss",IF(T1698=0,"Break-even","Profit"))</f>
        <v>Profit</v>
      </c>
      <c r="V1698" s="3" t="str">
        <f aca="false">IF(Q1698&lt;100,"Low",IF(Q1698&lt;=500,"Medium","High"))</f>
        <v>High</v>
      </c>
      <c r="W1698" s="3" t="n">
        <f aca="false">D1698-C1698</f>
        <v>3</v>
      </c>
      <c r="X1698" s="3" t="str">
        <f aca="false">TEXT(C1698,"mmmm")</f>
        <v>April</v>
      </c>
      <c r="Y1698" s="3" t="str">
        <f aca="false">LEFT(G1698,1)&amp;MID(G1698,FIND(" ",G1698)+1,1)</f>
        <v>FG</v>
      </c>
    </row>
    <row r="1699" customFormat="false" ht="15" hidden="false" customHeight="false" outlineLevel="0" collapsed="false">
      <c r="A1699" s="3" t="n">
        <v>1698</v>
      </c>
      <c r="B1699" s="3" t="s">
        <v>3615</v>
      </c>
      <c r="C1699" s="4" t="s">
        <v>3599</v>
      </c>
      <c r="D1699" s="4" t="s">
        <v>3605</v>
      </c>
      <c r="E1699" s="3" t="s">
        <v>84</v>
      </c>
      <c r="F1699" s="3" t="s">
        <v>518</v>
      </c>
      <c r="G1699" s="3" t="s">
        <v>519</v>
      </c>
      <c r="H1699" s="3" t="s">
        <v>45</v>
      </c>
      <c r="I1699" s="3" t="s">
        <v>32</v>
      </c>
      <c r="J1699" s="3" t="s">
        <v>208</v>
      </c>
      <c r="K1699" s="3" t="s">
        <v>134</v>
      </c>
      <c r="L1699" s="3" t="s">
        <v>69</v>
      </c>
      <c r="M1699" s="3" t="s">
        <v>105</v>
      </c>
      <c r="N1699" s="3" t="s">
        <v>49</v>
      </c>
      <c r="O1699" s="3" t="s">
        <v>106</v>
      </c>
      <c r="P1699" s="3" t="s">
        <v>107</v>
      </c>
      <c r="Q1699" s="5" t="n">
        <v>975.35</v>
      </c>
      <c r="R1699" s="3" t="n">
        <v>11</v>
      </c>
      <c r="S1699" s="6" t="n">
        <v>0.2</v>
      </c>
      <c r="T1699" s="5" t="n">
        <v>206.25</v>
      </c>
      <c r="U1699" s="3" t="str">
        <f aca="false">IF(T1699&lt;0,"Loss",IF(T1699=0,"Break-even","Profit"))</f>
        <v>Profit</v>
      </c>
      <c r="V1699" s="3" t="str">
        <f aca="false">IF(Q1699&lt;100,"Low",IF(Q1699&lt;=500,"Medium","High"))</f>
        <v>High</v>
      </c>
      <c r="W1699" s="3" t="n">
        <f aca="false">D1699-C1699</f>
        <v>4</v>
      </c>
      <c r="X1699" s="3" t="str">
        <f aca="false">TEXT(C1699,"mmmm")</f>
        <v>April</v>
      </c>
      <c r="Y1699" s="3" t="str">
        <f aca="false">LEFT(G1699,1)&amp;MID(G1699,FIND(" ",G1699)+1,1)</f>
        <v>RW</v>
      </c>
    </row>
    <row r="1700" customFormat="false" ht="15" hidden="false" customHeight="false" outlineLevel="0" collapsed="false">
      <c r="A1700" s="3" t="n">
        <v>1699</v>
      </c>
      <c r="B1700" s="3" t="s">
        <v>3616</v>
      </c>
      <c r="C1700" s="4" t="s">
        <v>3602</v>
      </c>
      <c r="D1700" s="4" t="s">
        <v>3614</v>
      </c>
      <c r="E1700" s="3" t="s">
        <v>42</v>
      </c>
      <c r="F1700" s="3" t="s">
        <v>412</v>
      </c>
      <c r="G1700" s="3" t="s">
        <v>413</v>
      </c>
      <c r="H1700" s="3" t="s">
        <v>31</v>
      </c>
      <c r="I1700" s="3" t="s">
        <v>32</v>
      </c>
      <c r="J1700" s="3" t="s">
        <v>77</v>
      </c>
      <c r="K1700" s="3" t="s">
        <v>78</v>
      </c>
      <c r="L1700" s="3" t="s">
        <v>59</v>
      </c>
      <c r="M1700" s="3" t="s">
        <v>659</v>
      </c>
      <c r="N1700" s="3" t="s">
        <v>89</v>
      </c>
      <c r="O1700" s="3" t="s">
        <v>323</v>
      </c>
      <c r="P1700" s="3" t="s">
        <v>660</v>
      </c>
      <c r="Q1700" s="5" t="n">
        <v>1998.6</v>
      </c>
      <c r="R1700" s="3" t="n">
        <v>7</v>
      </c>
      <c r="S1700" s="6" t="n">
        <v>0.2</v>
      </c>
      <c r="T1700" s="5" t="n">
        <v>-77.95</v>
      </c>
      <c r="U1700" s="3" t="str">
        <f aca="false">IF(T1700&lt;0,"Loss",IF(T1700=0,"Break-even","Profit"))</f>
        <v>Loss</v>
      </c>
      <c r="V1700" s="3" t="str">
        <f aca="false">IF(Q1700&lt;100,"Low",IF(Q1700&lt;=500,"Medium","High"))</f>
        <v>High</v>
      </c>
      <c r="W1700" s="3" t="n">
        <f aca="false">D1700-C1700</f>
        <v>2</v>
      </c>
      <c r="X1700" s="3" t="str">
        <f aca="false">TEXT(C1700,"mmmm")</f>
        <v>April</v>
      </c>
      <c r="Y1700" s="3" t="str">
        <f aca="false">LEFT(G1700,1)&amp;MID(G1700,FIND(" ",G1700)+1,1)</f>
        <v>LS</v>
      </c>
    </row>
    <row r="1701" customFormat="false" ht="15" hidden="false" customHeight="false" outlineLevel="0" collapsed="false">
      <c r="A1701" s="3" t="n">
        <v>1700</v>
      </c>
      <c r="B1701" s="3" t="s">
        <v>3617</v>
      </c>
      <c r="C1701" s="4" t="s">
        <v>3605</v>
      </c>
      <c r="D1701" s="4" t="s">
        <v>3618</v>
      </c>
      <c r="E1701" s="3" t="s">
        <v>28</v>
      </c>
      <c r="F1701" s="3" t="s">
        <v>1870</v>
      </c>
      <c r="G1701" s="3" t="s">
        <v>1871</v>
      </c>
      <c r="H1701" s="3" t="s">
        <v>31</v>
      </c>
      <c r="I1701" s="3" t="s">
        <v>32</v>
      </c>
      <c r="J1701" s="3" t="s">
        <v>252</v>
      </c>
      <c r="K1701" s="3" t="s">
        <v>172</v>
      </c>
      <c r="L1701" s="3" t="s">
        <v>157</v>
      </c>
      <c r="M1701" s="3" t="s">
        <v>142</v>
      </c>
      <c r="N1701" s="3" t="s">
        <v>49</v>
      </c>
      <c r="O1701" s="3" t="s">
        <v>143</v>
      </c>
      <c r="P1701" s="3" t="s">
        <v>144</v>
      </c>
      <c r="Q1701" s="5" t="n">
        <v>597.08</v>
      </c>
      <c r="R1701" s="3" t="n">
        <v>10</v>
      </c>
      <c r="S1701" s="6" t="n">
        <v>0</v>
      </c>
      <c r="T1701" s="5" t="n">
        <v>43.59</v>
      </c>
      <c r="U1701" s="3" t="str">
        <f aca="false">IF(T1701&lt;0,"Loss",IF(T1701=0,"Break-even","Profit"))</f>
        <v>Profit</v>
      </c>
      <c r="V1701" s="3" t="str">
        <f aca="false">IF(Q1701&lt;100,"Low",IF(Q1701&lt;=500,"Medium","High"))</f>
        <v>High</v>
      </c>
      <c r="W1701" s="3" t="n">
        <f aca="false">D1701-C1701</f>
        <v>4</v>
      </c>
      <c r="X1701" s="3" t="str">
        <f aca="false">TEXT(C1701,"mmmm")</f>
        <v>April</v>
      </c>
      <c r="Y1701" s="3" t="str">
        <f aca="false">LEFT(G1701,1)&amp;MID(G1701,FIND(" ",G1701)+1,1)</f>
        <v>PK</v>
      </c>
    </row>
    <row r="1702" customFormat="false" ht="15" hidden="false" customHeight="false" outlineLevel="0" collapsed="false">
      <c r="A1702" s="3" t="n">
        <v>1701</v>
      </c>
      <c r="B1702" s="3" t="s">
        <v>3619</v>
      </c>
      <c r="C1702" s="4" t="s">
        <v>3605</v>
      </c>
      <c r="D1702" s="4" t="s">
        <v>3620</v>
      </c>
      <c r="E1702" s="3" t="s">
        <v>42</v>
      </c>
      <c r="F1702" s="3" t="s">
        <v>542</v>
      </c>
      <c r="G1702" s="3" t="s">
        <v>543</v>
      </c>
      <c r="H1702" s="3" t="s">
        <v>45</v>
      </c>
      <c r="I1702" s="3" t="s">
        <v>32</v>
      </c>
      <c r="J1702" s="3" t="s">
        <v>104</v>
      </c>
      <c r="K1702" s="3" t="s">
        <v>96</v>
      </c>
      <c r="L1702" s="3" t="s">
        <v>59</v>
      </c>
      <c r="M1702" s="3" t="s">
        <v>559</v>
      </c>
      <c r="N1702" s="3" t="s">
        <v>37</v>
      </c>
      <c r="O1702" s="3" t="s">
        <v>38</v>
      </c>
      <c r="P1702" s="3" t="s">
        <v>560</v>
      </c>
      <c r="Q1702" s="5" t="n">
        <v>7794.02</v>
      </c>
      <c r="R1702" s="3" t="n">
        <v>10</v>
      </c>
      <c r="S1702" s="6" t="n">
        <v>0.2</v>
      </c>
      <c r="T1702" s="5" t="n">
        <v>-335.02</v>
      </c>
      <c r="U1702" s="3" t="str">
        <f aca="false">IF(T1702&lt;0,"Loss",IF(T1702=0,"Break-even","Profit"))</f>
        <v>Loss</v>
      </c>
      <c r="V1702" s="3" t="str">
        <f aca="false">IF(Q1702&lt;100,"Low",IF(Q1702&lt;=500,"Medium","High"))</f>
        <v>High</v>
      </c>
      <c r="W1702" s="3" t="n">
        <f aca="false">D1702-C1702</f>
        <v>2</v>
      </c>
      <c r="X1702" s="3" t="str">
        <f aca="false">TEXT(C1702,"mmmm")</f>
        <v>April</v>
      </c>
      <c r="Y1702" s="3" t="str">
        <f aca="false">LEFT(G1702,1)&amp;MID(G1702,FIND(" ",G1702)+1,1)</f>
        <v>WM</v>
      </c>
    </row>
    <row r="1703" customFormat="false" ht="15" hidden="false" customHeight="false" outlineLevel="0" collapsed="false">
      <c r="A1703" s="3" t="n">
        <v>1702</v>
      </c>
      <c r="B1703" s="3" t="s">
        <v>3621</v>
      </c>
      <c r="C1703" s="4" t="s">
        <v>3622</v>
      </c>
      <c r="D1703" s="4" t="s">
        <v>3618</v>
      </c>
      <c r="E1703" s="3" t="s">
        <v>28</v>
      </c>
      <c r="F1703" s="3" t="s">
        <v>297</v>
      </c>
      <c r="G1703" s="3" t="s">
        <v>298</v>
      </c>
      <c r="H1703" s="3" t="s">
        <v>56</v>
      </c>
      <c r="I1703" s="3" t="s">
        <v>32</v>
      </c>
      <c r="J1703" s="3" t="s">
        <v>104</v>
      </c>
      <c r="K1703" s="3" t="s">
        <v>96</v>
      </c>
      <c r="L1703" s="3" t="s">
        <v>59</v>
      </c>
      <c r="M1703" s="3" t="s">
        <v>36</v>
      </c>
      <c r="N1703" s="3" t="s">
        <v>37</v>
      </c>
      <c r="O1703" s="3" t="s">
        <v>38</v>
      </c>
      <c r="P1703" s="3" t="s">
        <v>39</v>
      </c>
      <c r="Q1703" s="5" t="n">
        <v>6454.81</v>
      </c>
      <c r="R1703" s="3" t="n">
        <v>7</v>
      </c>
      <c r="S1703" s="6" t="n">
        <v>0</v>
      </c>
      <c r="T1703" s="5" t="n">
        <v>-482.29</v>
      </c>
      <c r="U1703" s="3" t="str">
        <f aca="false">IF(T1703&lt;0,"Loss",IF(T1703=0,"Break-even","Profit"))</f>
        <v>Loss</v>
      </c>
      <c r="V1703" s="3" t="str">
        <f aca="false">IF(Q1703&lt;100,"Low",IF(Q1703&lt;=500,"Medium","High"))</f>
        <v>High</v>
      </c>
      <c r="W1703" s="3" t="n">
        <f aca="false">D1703-C1703</f>
        <v>3</v>
      </c>
      <c r="X1703" s="3" t="str">
        <f aca="false">TEXT(C1703,"mmmm")</f>
        <v>April</v>
      </c>
      <c r="Y1703" s="3" t="str">
        <f aca="false">LEFT(G1703,1)&amp;MID(G1703,FIND(" ",G1703)+1,1)</f>
        <v>PK</v>
      </c>
    </row>
    <row r="1704" customFormat="false" ht="15" hidden="false" customHeight="false" outlineLevel="0" collapsed="false">
      <c r="A1704" s="3" t="n">
        <v>1703</v>
      </c>
      <c r="B1704" s="3" t="s">
        <v>3623</v>
      </c>
      <c r="C1704" s="4" t="s">
        <v>3620</v>
      </c>
      <c r="D1704" s="4" t="s">
        <v>3624</v>
      </c>
      <c r="E1704" s="3" t="s">
        <v>28</v>
      </c>
      <c r="F1704" s="3" t="s">
        <v>177</v>
      </c>
      <c r="G1704" s="3" t="s">
        <v>178</v>
      </c>
      <c r="H1704" s="3" t="s">
        <v>31</v>
      </c>
      <c r="I1704" s="3" t="s">
        <v>32</v>
      </c>
      <c r="J1704" s="3" t="s">
        <v>46</v>
      </c>
      <c r="K1704" s="3" t="s">
        <v>47</v>
      </c>
      <c r="L1704" s="3" t="s">
        <v>35</v>
      </c>
      <c r="M1704" s="3" t="s">
        <v>121</v>
      </c>
      <c r="N1704" s="3" t="s">
        <v>49</v>
      </c>
      <c r="O1704" s="3" t="s">
        <v>50</v>
      </c>
      <c r="P1704" s="3" t="s">
        <v>122</v>
      </c>
      <c r="Q1704" s="5" t="n">
        <v>158.28</v>
      </c>
      <c r="R1704" s="3" t="n">
        <v>12</v>
      </c>
      <c r="S1704" s="6" t="n">
        <v>0.4</v>
      </c>
      <c r="T1704" s="5" t="n">
        <v>-22.41</v>
      </c>
      <c r="U1704" s="3" t="str">
        <f aca="false">IF(T1704&lt;0,"Loss",IF(T1704=0,"Break-even","Profit"))</f>
        <v>Loss</v>
      </c>
      <c r="V1704" s="3" t="str">
        <f aca="false">IF(Q1704&lt;100,"Low",IF(Q1704&lt;=500,"Medium","High"))</f>
        <v>Medium</v>
      </c>
      <c r="W1704" s="3" t="n">
        <f aca="false">D1704-C1704</f>
        <v>5</v>
      </c>
      <c r="X1704" s="3" t="str">
        <f aca="false">TEXT(C1704,"mmmm")</f>
        <v>April</v>
      </c>
      <c r="Y1704" s="3" t="str">
        <f aca="false">LEFT(G1704,1)&amp;MID(G1704,FIND(" ",G1704)+1,1)</f>
        <v>RB</v>
      </c>
    </row>
    <row r="1705" customFormat="false" ht="15" hidden="false" customHeight="false" outlineLevel="0" collapsed="false">
      <c r="A1705" s="3" t="n">
        <v>1704</v>
      </c>
      <c r="B1705" s="3" t="s">
        <v>3625</v>
      </c>
      <c r="C1705" s="4" t="s">
        <v>3620</v>
      </c>
      <c r="D1705" s="4" t="s">
        <v>3626</v>
      </c>
      <c r="E1705" s="3" t="s">
        <v>28</v>
      </c>
      <c r="F1705" s="3" t="s">
        <v>1870</v>
      </c>
      <c r="G1705" s="3" t="s">
        <v>1871</v>
      </c>
      <c r="H1705" s="3" t="s">
        <v>56</v>
      </c>
      <c r="I1705" s="3" t="s">
        <v>32</v>
      </c>
      <c r="J1705" s="3" t="s">
        <v>57</v>
      </c>
      <c r="K1705" s="3" t="s">
        <v>58</v>
      </c>
      <c r="L1705" s="3" t="s">
        <v>59</v>
      </c>
      <c r="M1705" s="3" t="s">
        <v>70</v>
      </c>
      <c r="N1705" s="3" t="s">
        <v>37</v>
      </c>
      <c r="O1705" s="3" t="s">
        <v>71</v>
      </c>
      <c r="P1705" s="3" t="s">
        <v>72</v>
      </c>
      <c r="Q1705" s="5" t="n">
        <v>9233.95</v>
      </c>
      <c r="R1705" s="3" t="n">
        <v>7</v>
      </c>
      <c r="S1705" s="6" t="n">
        <v>0.4</v>
      </c>
      <c r="T1705" s="5" t="n">
        <v>228.05</v>
      </c>
      <c r="U1705" s="3" t="str">
        <f aca="false">IF(T1705&lt;0,"Loss",IF(T1705=0,"Break-even","Profit"))</f>
        <v>Profit</v>
      </c>
      <c r="V1705" s="3" t="str">
        <f aca="false">IF(Q1705&lt;100,"Low",IF(Q1705&lt;=500,"Medium","High"))</f>
        <v>High</v>
      </c>
      <c r="W1705" s="3" t="n">
        <f aca="false">D1705-C1705</f>
        <v>7</v>
      </c>
      <c r="X1705" s="3" t="str">
        <f aca="false">TEXT(C1705,"mmmm")</f>
        <v>April</v>
      </c>
      <c r="Y1705" s="3" t="str">
        <f aca="false">LEFT(G1705,1)&amp;MID(G1705,FIND(" ",G1705)+1,1)</f>
        <v>PK</v>
      </c>
    </row>
    <row r="1706" customFormat="false" ht="15" hidden="false" customHeight="false" outlineLevel="0" collapsed="false">
      <c r="A1706" s="3" t="n">
        <v>1705</v>
      </c>
      <c r="B1706" s="3" t="s">
        <v>3627</v>
      </c>
      <c r="C1706" s="4" t="s">
        <v>3620</v>
      </c>
      <c r="D1706" s="4" t="s">
        <v>3628</v>
      </c>
      <c r="E1706" s="3" t="s">
        <v>84</v>
      </c>
      <c r="F1706" s="3" t="s">
        <v>960</v>
      </c>
      <c r="G1706" s="3" t="s">
        <v>961</v>
      </c>
      <c r="H1706" s="3" t="s">
        <v>56</v>
      </c>
      <c r="I1706" s="3" t="s">
        <v>32</v>
      </c>
      <c r="J1706" s="3" t="s">
        <v>476</v>
      </c>
      <c r="K1706" s="3" t="s">
        <v>366</v>
      </c>
      <c r="L1706" s="3" t="s">
        <v>157</v>
      </c>
      <c r="M1706" s="3" t="s">
        <v>173</v>
      </c>
      <c r="N1706" s="3" t="s">
        <v>89</v>
      </c>
      <c r="O1706" s="3" t="s">
        <v>174</v>
      </c>
      <c r="P1706" s="3" t="s">
        <v>175</v>
      </c>
      <c r="Q1706" s="5" t="n">
        <v>7733.22</v>
      </c>
      <c r="R1706" s="3" t="n">
        <v>9</v>
      </c>
      <c r="S1706" s="6" t="n">
        <v>0</v>
      </c>
      <c r="T1706" s="5" t="n">
        <v>1837.31</v>
      </c>
      <c r="U1706" s="3" t="str">
        <f aca="false">IF(T1706&lt;0,"Loss",IF(T1706=0,"Break-even","Profit"))</f>
        <v>Profit</v>
      </c>
      <c r="V1706" s="3" t="str">
        <f aca="false">IF(Q1706&lt;100,"Low",IF(Q1706&lt;=500,"Medium","High"))</f>
        <v>High</v>
      </c>
      <c r="W1706" s="3" t="n">
        <f aca="false">D1706-C1706</f>
        <v>4</v>
      </c>
      <c r="X1706" s="3" t="str">
        <f aca="false">TEXT(C1706,"mmmm")</f>
        <v>April</v>
      </c>
      <c r="Y1706" s="3" t="str">
        <f aca="false">LEFT(G1706,1)&amp;MID(G1706,FIND(" ",G1706)+1,1)</f>
        <v>JD</v>
      </c>
    </row>
    <row r="1707" customFormat="false" ht="15" hidden="false" customHeight="false" outlineLevel="0" collapsed="false">
      <c r="A1707" s="3" t="n">
        <v>1706</v>
      </c>
      <c r="B1707" s="3" t="s">
        <v>3629</v>
      </c>
      <c r="C1707" s="4" t="s">
        <v>3620</v>
      </c>
      <c r="D1707" s="4" t="s">
        <v>3630</v>
      </c>
      <c r="E1707" s="3" t="s">
        <v>28</v>
      </c>
      <c r="F1707" s="3" t="s">
        <v>817</v>
      </c>
      <c r="G1707" s="3" t="s">
        <v>818</v>
      </c>
      <c r="H1707" s="3" t="s">
        <v>56</v>
      </c>
      <c r="I1707" s="3" t="s">
        <v>32</v>
      </c>
      <c r="J1707" s="3" t="s">
        <v>46</v>
      </c>
      <c r="K1707" s="3" t="s">
        <v>47</v>
      </c>
      <c r="L1707" s="3" t="s">
        <v>35</v>
      </c>
      <c r="M1707" s="3" t="s">
        <v>300</v>
      </c>
      <c r="N1707" s="3" t="s">
        <v>49</v>
      </c>
      <c r="O1707" s="3" t="s">
        <v>143</v>
      </c>
      <c r="P1707" s="3" t="s">
        <v>301</v>
      </c>
      <c r="Q1707" s="5" t="n">
        <v>6.17</v>
      </c>
      <c r="R1707" s="3" t="n">
        <v>3</v>
      </c>
      <c r="S1707" s="6" t="n">
        <v>0.2</v>
      </c>
      <c r="T1707" s="5" t="n">
        <v>0.15</v>
      </c>
      <c r="U1707" s="3" t="str">
        <f aca="false">IF(T1707&lt;0,"Loss",IF(T1707=0,"Break-even","Profit"))</f>
        <v>Profit</v>
      </c>
      <c r="V1707" s="3" t="str">
        <f aca="false">IF(Q1707&lt;100,"Low",IF(Q1707&lt;=500,"Medium","High"))</f>
        <v>Low</v>
      </c>
      <c r="W1707" s="3" t="n">
        <f aca="false">D1707-C1707</f>
        <v>3</v>
      </c>
      <c r="X1707" s="3" t="str">
        <f aca="false">TEXT(C1707,"mmmm")</f>
        <v>April</v>
      </c>
      <c r="Y1707" s="3" t="str">
        <f aca="false">LEFT(G1707,1)&amp;MID(G1707,FIND(" ",G1707)+1,1)</f>
        <v>ES</v>
      </c>
    </row>
    <row r="1708" customFormat="false" ht="15" hidden="false" customHeight="false" outlineLevel="0" collapsed="false">
      <c r="A1708" s="3" t="n">
        <v>1707</v>
      </c>
      <c r="B1708" s="3" t="s">
        <v>3631</v>
      </c>
      <c r="C1708" s="4" t="s">
        <v>3618</v>
      </c>
      <c r="D1708" s="4" t="s">
        <v>3624</v>
      </c>
      <c r="E1708" s="3" t="s">
        <v>28</v>
      </c>
      <c r="F1708" s="3" t="s">
        <v>928</v>
      </c>
      <c r="G1708" s="3" t="s">
        <v>929</v>
      </c>
      <c r="H1708" s="3" t="s">
        <v>45</v>
      </c>
      <c r="I1708" s="3" t="s">
        <v>32</v>
      </c>
      <c r="J1708" s="3" t="s">
        <v>33</v>
      </c>
      <c r="K1708" s="3" t="s">
        <v>34</v>
      </c>
      <c r="L1708" s="3" t="s">
        <v>35</v>
      </c>
      <c r="M1708" s="3" t="s">
        <v>209</v>
      </c>
      <c r="N1708" s="3" t="s">
        <v>49</v>
      </c>
      <c r="O1708" s="3" t="s">
        <v>106</v>
      </c>
      <c r="P1708" s="3" t="s">
        <v>210</v>
      </c>
      <c r="Q1708" s="5" t="n">
        <v>303.29</v>
      </c>
      <c r="R1708" s="3" t="n">
        <v>9</v>
      </c>
      <c r="S1708" s="6" t="n">
        <v>0.1</v>
      </c>
      <c r="T1708" s="5" t="n">
        <v>-44.91</v>
      </c>
      <c r="U1708" s="3" t="str">
        <f aca="false">IF(T1708&lt;0,"Loss",IF(T1708=0,"Break-even","Profit"))</f>
        <v>Loss</v>
      </c>
      <c r="V1708" s="3" t="str">
        <f aca="false">IF(Q1708&lt;100,"Low",IF(Q1708&lt;=500,"Medium","High"))</f>
        <v>Medium</v>
      </c>
      <c r="W1708" s="3" t="n">
        <f aca="false">D1708-C1708</f>
        <v>3</v>
      </c>
      <c r="X1708" s="3" t="str">
        <f aca="false">TEXT(C1708,"mmmm")</f>
        <v>April</v>
      </c>
      <c r="Y1708" s="3" t="str">
        <f aca="false">LEFT(G1708,1)&amp;MID(G1708,FIND(" ",G1708)+1,1)</f>
        <v>RA</v>
      </c>
    </row>
    <row r="1709" customFormat="false" ht="15" hidden="false" customHeight="false" outlineLevel="0" collapsed="false">
      <c r="A1709" s="3" t="n">
        <v>1708</v>
      </c>
      <c r="B1709" s="3" t="s">
        <v>3632</v>
      </c>
      <c r="C1709" s="4" t="s">
        <v>3618</v>
      </c>
      <c r="D1709" s="4" t="s">
        <v>3626</v>
      </c>
      <c r="E1709" s="3" t="s">
        <v>28</v>
      </c>
      <c r="F1709" s="3" t="s">
        <v>1047</v>
      </c>
      <c r="G1709" s="3" t="s">
        <v>1048</v>
      </c>
      <c r="H1709" s="3" t="s">
        <v>56</v>
      </c>
      <c r="I1709" s="3" t="s">
        <v>32</v>
      </c>
      <c r="J1709" s="3" t="s">
        <v>285</v>
      </c>
      <c r="K1709" s="3" t="s">
        <v>202</v>
      </c>
      <c r="L1709" s="3" t="s">
        <v>35</v>
      </c>
      <c r="M1709" s="3" t="s">
        <v>259</v>
      </c>
      <c r="N1709" s="3" t="s">
        <v>89</v>
      </c>
      <c r="O1709" s="3" t="s">
        <v>174</v>
      </c>
      <c r="P1709" s="3" t="s">
        <v>260</v>
      </c>
      <c r="Q1709" s="5" t="n">
        <v>7410.87</v>
      </c>
      <c r="R1709" s="3" t="n">
        <v>12</v>
      </c>
      <c r="S1709" s="6" t="n">
        <v>0</v>
      </c>
      <c r="T1709" s="5" t="n">
        <v>204.41</v>
      </c>
      <c r="U1709" s="3" t="str">
        <f aca="false">IF(T1709&lt;0,"Loss",IF(T1709=0,"Break-even","Profit"))</f>
        <v>Profit</v>
      </c>
      <c r="V1709" s="3" t="str">
        <f aca="false">IF(Q1709&lt;100,"Low",IF(Q1709&lt;=500,"Medium","High"))</f>
        <v>High</v>
      </c>
      <c r="W1709" s="3" t="n">
        <f aca="false">D1709-C1709</f>
        <v>5</v>
      </c>
      <c r="X1709" s="3" t="str">
        <f aca="false">TEXT(C1709,"mmmm")</f>
        <v>April</v>
      </c>
      <c r="Y1709" s="3" t="str">
        <f aca="false">LEFT(G1709,1)&amp;MID(G1709,FIND(" ",G1709)+1,1)</f>
        <v>AJ</v>
      </c>
    </row>
    <row r="1710" customFormat="false" ht="15" hidden="false" customHeight="false" outlineLevel="0" collapsed="false">
      <c r="A1710" s="3" t="n">
        <v>1709</v>
      </c>
      <c r="B1710" s="3" t="s">
        <v>3633</v>
      </c>
      <c r="C1710" s="4" t="s">
        <v>3618</v>
      </c>
      <c r="D1710" s="4" t="s">
        <v>3626</v>
      </c>
      <c r="E1710" s="3" t="s">
        <v>28</v>
      </c>
      <c r="F1710" s="3" t="s">
        <v>1571</v>
      </c>
      <c r="G1710" s="3" t="s">
        <v>1572</v>
      </c>
      <c r="H1710" s="3" t="s">
        <v>45</v>
      </c>
      <c r="I1710" s="3" t="s">
        <v>32</v>
      </c>
      <c r="J1710" s="3" t="s">
        <v>112</v>
      </c>
      <c r="K1710" s="3" t="s">
        <v>113</v>
      </c>
      <c r="L1710" s="3" t="s">
        <v>69</v>
      </c>
      <c r="M1710" s="3" t="s">
        <v>470</v>
      </c>
      <c r="N1710" s="3" t="s">
        <v>49</v>
      </c>
      <c r="O1710" s="3" t="s">
        <v>159</v>
      </c>
      <c r="P1710" s="3" t="s">
        <v>471</v>
      </c>
      <c r="Q1710" s="5" t="n">
        <v>385.3</v>
      </c>
      <c r="R1710" s="3" t="n">
        <v>9</v>
      </c>
      <c r="S1710" s="6" t="n">
        <v>0</v>
      </c>
      <c r="T1710" s="5" t="n">
        <v>-78.75</v>
      </c>
      <c r="U1710" s="3" t="str">
        <f aca="false">IF(T1710&lt;0,"Loss",IF(T1710=0,"Break-even","Profit"))</f>
        <v>Loss</v>
      </c>
      <c r="V1710" s="3" t="str">
        <f aca="false">IF(Q1710&lt;100,"Low",IF(Q1710&lt;=500,"Medium","High"))</f>
        <v>Medium</v>
      </c>
      <c r="W1710" s="3" t="n">
        <f aca="false">D1710-C1710</f>
        <v>5</v>
      </c>
      <c r="X1710" s="3" t="str">
        <f aca="false">TEXT(C1710,"mmmm")</f>
        <v>April</v>
      </c>
      <c r="Y1710" s="3" t="str">
        <f aca="false">LEFT(G1710,1)&amp;MID(G1710,FIND(" ",G1710)+1,1)</f>
        <v>JW</v>
      </c>
    </row>
    <row r="1711" customFormat="false" ht="15" hidden="false" customHeight="false" outlineLevel="0" collapsed="false">
      <c r="A1711" s="3" t="n">
        <v>1710</v>
      </c>
      <c r="B1711" s="3" t="s">
        <v>3634</v>
      </c>
      <c r="C1711" s="4" t="s">
        <v>3630</v>
      </c>
      <c r="D1711" s="4" t="s">
        <v>3624</v>
      </c>
      <c r="E1711" s="3" t="s">
        <v>84</v>
      </c>
      <c r="F1711" s="3" t="s">
        <v>1509</v>
      </c>
      <c r="G1711" s="3" t="s">
        <v>1510</v>
      </c>
      <c r="H1711" s="3" t="s">
        <v>31</v>
      </c>
      <c r="I1711" s="3" t="s">
        <v>32</v>
      </c>
      <c r="J1711" s="3" t="s">
        <v>252</v>
      </c>
      <c r="K1711" s="3" t="s">
        <v>172</v>
      </c>
      <c r="L1711" s="3" t="s">
        <v>157</v>
      </c>
      <c r="M1711" s="3" t="s">
        <v>461</v>
      </c>
      <c r="N1711" s="3" t="s">
        <v>37</v>
      </c>
      <c r="O1711" s="3" t="s">
        <v>71</v>
      </c>
      <c r="P1711" s="3" t="s">
        <v>462</v>
      </c>
      <c r="Q1711" s="5" t="n">
        <v>3184.59</v>
      </c>
      <c r="R1711" s="3" t="n">
        <v>2</v>
      </c>
      <c r="S1711" s="6" t="n">
        <v>0</v>
      </c>
      <c r="T1711" s="5" t="n">
        <v>-422.07</v>
      </c>
      <c r="U1711" s="3" t="str">
        <f aca="false">IF(T1711&lt;0,"Loss",IF(T1711=0,"Break-even","Profit"))</f>
        <v>Loss</v>
      </c>
      <c r="V1711" s="3" t="str">
        <f aca="false">IF(Q1711&lt;100,"Low",IF(Q1711&lt;=500,"Medium","High"))</f>
        <v>High</v>
      </c>
      <c r="W1711" s="3" t="n">
        <f aca="false">D1711-C1711</f>
        <v>2</v>
      </c>
      <c r="X1711" s="3" t="str">
        <f aca="false">TEXT(C1711,"mmmm")</f>
        <v>April</v>
      </c>
      <c r="Y1711" s="3" t="str">
        <f aca="false">LEFT(G1711,1)&amp;MID(G1711,FIND(" ",G1711)+1,1)</f>
        <v>EC</v>
      </c>
    </row>
    <row r="1712" customFormat="false" ht="15" hidden="false" customHeight="false" outlineLevel="0" collapsed="false">
      <c r="A1712" s="3" t="n">
        <v>1711</v>
      </c>
      <c r="B1712" s="3" t="s">
        <v>3635</v>
      </c>
      <c r="C1712" s="4" t="s">
        <v>3624</v>
      </c>
      <c r="D1712" s="4" t="s">
        <v>3636</v>
      </c>
      <c r="E1712" s="3" t="s">
        <v>42</v>
      </c>
      <c r="F1712" s="3" t="s">
        <v>2742</v>
      </c>
      <c r="G1712" s="3" t="s">
        <v>2743</v>
      </c>
      <c r="H1712" s="3" t="s">
        <v>56</v>
      </c>
      <c r="I1712" s="3" t="s">
        <v>32</v>
      </c>
      <c r="J1712" s="3" t="s">
        <v>306</v>
      </c>
      <c r="K1712" s="3" t="s">
        <v>307</v>
      </c>
      <c r="L1712" s="3" t="s">
        <v>69</v>
      </c>
      <c r="M1712" s="3" t="s">
        <v>135</v>
      </c>
      <c r="N1712" s="3" t="s">
        <v>37</v>
      </c>
      <c r="O1712" s="3" t="s">
        <v>136</v>
      </c>
      <c r="P1712" s="3" t="s">
        <v>137</v>
      </c>
      <c r="Q1712" s="5" t="n">
        <v>112.62</v>
      </c>
      <c r="R1712" s="3" t="n">
        <v>3</v>
      </c>
      <c r="S1712" s="6" t="n">
        <v>0.3</v>
      </c>
      <c r="T1712" s="5" t="n">
        <v>20.3</v>
      </c>
      <c r="U1712" s="3" t="str">
        <f aca="false">IF(T1712&lt;0,"Loss",IF(T1712=0,"Break-even","Profit"))</f>
        <v>Profit</v>
      </c>
      <c r="V1712" s="3" t="str">
        <f aca="false">IF(Q1712&lt;100,"Low",IF(Q1712&lt;=500,"Medium","High"))</f>
        <v>Medium</v>
      </c>
      <c r="W1712" s="3" t="n">
        <f aca="false">D1712-C1712</f>
        <v>1</v>
      </c>
      <c r="X1712" s="3" t="str">
        <f aca="false">TEXT(C1712,"mmmm")</f>
        <v>April</v>
      </c>
      <c r="Y1712" s="3" t="str">
        <f aca="false">LEFT(G1712,1)&amp;MID(G1712,FIND(" ",G1712)+1,1)</f>
        <v>DA</v>
      </c>
    </row>
    <row r="1713" customFormat="false" ht="15" hidden="false" customHeight="false" outlineLevel="0" collapsed="false">
      <c r="A1713" s="3" t="n">
        <v>1712</v>
      </c>
      <c r="B1713" s="3" t="s">
        <v>3637</v>
      </c>
      <c r="C1713" s="4" t="s">
        <v>3624</v>
      </c>
      <c r="D1713" s="4" t="s">
        <v>3636</v>
      </c>
      <c r="E1713" s="3" t="s">
        <v>42</v>
      </c>
      <c r="F1713" s="3" t="s">
        <v>1053</v>
      </c>
      <c r="G1713" s="3" t="s">
        <v>1054</v>
      </c>
      <c r="H1713" s="3" t="s">
        <v>45</v>
      </c>
      <c r="I1713" s="3" t="s">
        <v>32</v>
      </c>
      <c r="J1713" s="3" t="s">
        <v>133</v>
      </c>
      <c r="K1713" s="3" t="s">
        <v>134</v>
      </c>
      <c r="L1713" s="3" t="s">
        <v>69</v>
      </c>
      <c r="M1713" s="3" t="s">
        <v>316</v>
      </c>
      <c r="N1713" s="3" t="s">
        <v>49</v>
      </c>
      <c r="O1713" s="3" t="s">
        <v>143</v>
      </c>
      <c r="P1713" s="3" t="s">
        <v>317</v>
      </c>
      <c r="Q1713" s="5" t="n">
        <v>1032.59</v>
      </c>
      <c r="R1713" s="3" t="n">
        <v>13</v>
      </c>
      <c r="S1713" s="6" t="n">
        <v>0.1</v>
      </c>
      <c r="T1713" s="5" t="n">
        <v>66.42</v>
      </c>
      <c r="U1713" s="3" t="str">
        <f aca="false">IF(T1713&lt;0,"Loss",IF(T1713=0,"Break-even","Profit"))</f>
        <v>Profit</v>
      </c>
      <c r="V1713" s="3" t="str">
        <f aca="false">IF(Q1713&lt;100,"Low",IF(Q1713&lt;=500,"Medium","High"))</f>
        <v>High</v>
      </c>
      <c r="W1713" s="3" t="n">
        <f aca="false">D1713-C1713</f>
        <v>1</v>
      </c>
      <c r="X1713" s="3" t="str">
        <f aca="false">TEXT(C1713,"mmmm")</f>
        <v>April</v>
      </c>
      <c r="Y1713" s="3" t="str">
        <f aca="false">LEFT(G1713,1)&amp;MID(G1713,FIND(" ",G1713)+1,1)</f>
        <v>MS</v>
      </c>
    </row>
    <row r="1714" customFormat="false" ht="15" hidden="false" customHeight="false" outlineLevel="0" collapsed="false">
      <c r="A1714" s="3" t="n">
        <v>1713</v>
      </c>
      <c r="B1714" s="3" t="s">
        <v>3638</v>
      </c>
      <c r="C1714" s="4" t="s">
        <v>3624</v>
      </c>
      <c r="D1714" s="4" t="s">
        <v>3639</v>
      </c>
      <c r="E1714" s="3" t="s">
        <v>28</v>
      </c>
      <c r="F1714" s="3" t="s">
        <v>1192</v>
      </c>
      <c r="G1714" s="3" t="s">
        <v>1193</v>
      </c>
      <c r="H1714" s="3" t="s">
        <v>56</v>
      </c>
      <c r="I1714" s="3" t="s">
        <v>32</v>
      </c>
      <c r="J1714" s="3" t="s">
        <v>33</v>
      </c>
      <c r="K1714" s="3" t="s">
        <v>34</v>
      </c>
      <c r="L1714" s="3" t="s">
        <v>35</v>
      </c>
      <c r="M1714" s="3" t="s">
        <v>135</v>
      </c>
      <c r="N1714" s="3" t="s">
        <v>37</v>
      </c>
      <c r="O1714" s="3" t="s">
        <v>136</v>
      </c>
      <c r="P1714" s="3" t="s">
        <v>137</v>
      </c>
      <c r="Q1714" s="5" t="n">
        <v>7218.55</v>
      </c>
      <c r="R1714" s="3" t="n">
        <v>7</v>
      </c>
      <c r="S1714" s="6" t="n">
        <v>0.4</v>
      </c>
      <c r="T1714" s="5" t="n">
        <v>302.64</v>
      </c>
      <c r="U1714" s="3" t="str">
        <f aca="false">IF(T1714&lt;0,"Loss",IF(T1714=0,"Break-even","Profit"))</f>
        <v>Profit</v>
      </c>
      <c r="V1714" s="3" t="str">
        <f aca="false">IF(Q1714&lt;100,"Low",IF(Q1714&lt;=500,"Medium","High"))</f>
        <v>High</v>
      </c>
      <c r="W1714" s="3" t="n">
        <f aca="false">D1714-C1714</f>
        <v>6</v>
      </c>
      <c r="X1714" s="3" t="str">
        <f aca="false">TEXT(C1714,"mmmm")</f>
        <v>April</v>
      </c>
      <c r="Y1714" s="3" t="str">
        <f aca="false">LEFT(G1714,1)&amp;MID(G1714,FIND(" ",G1714)+1,1)</f>
        <v>PM</v>
      </c>
    </row>
    <row r="1715" customFormat="false" ht="15" hidden="false" customHeight="false" outlineLevel="0" collapsed="false">
      <c r="A1715" s="3" t="n">
        <v>1714</v>
      </c>
      <c r="B1715" s="3" t="s">
        <v>3640</v>
      </c>
      <c r="C1715" s="4" t="s">
        <v>3636</v>
      </c>
      <c r="D1715" s="4" t="s">
        <v>3639</v>
      </c>
      <c r="E1715" s="3" t="s">
        <v>28</v>
      </c>
      <c r="F1715" s="3" t="s">
        <v>1335</v>
      </c>
      <c r="G1715" s="3" t="s">
        <v>1336</v>
      </c>
      <c r="H1715" s="3" t="s">
        <v>45</v>
      </c>
      <c r="I1715" s="3" t="s">
        <v>32</v>
      </c>
      <c r="J1715" s="3" t="s">
        <v>252</v>
      </c>
      <c r="K1715" s="3" t="s">
        <v>172</v>
      </c>
      <c r="L1715" s="3" t="s">
        <v>157</v>
      </c>
      <c r="M1715" s="3" t="s">
        <v>36</v>
      </c>
      <c r="N1715" s="3" t="s">
        <v>37</v>
      </c>
      <c r="O1715" s="3" t="s">
        <v>38</v>
      </c>
      <c r="P1715" s="3" t="s">
        <v>39</v>
      </c>
      <c r="Q1715" s="5" t="n">
        <v>4795.56</v>
      </c>
      <c r="R1715" s="3" t="n">
        <v>4</v>
      </c>
      <c r="S1715" s="6" t="n">
        <v>0.3</v>
      </c>
      <c r="T1715" s="5" t="n">
        <v>858.51</v>
      </c>
      <c r="U1715" s="3" t="str">
        <f aca="false">IF(T1715&lt;0,"Loss",IF(T1715=0,"Break-even","Profit"))</f>
        <v>Profit</v>
      </c>
      <c r="V1715" s="3" t="str">
        <f aca="false">IF(Q1715&lt;100,"Low",IF(Q1715&lt;=500,"Medium","High"))</f>
        <v>High</v>
      </c>
      <c r="W1715" s="3" t="n">
        <f aca="false">D1715-C1715</f>
        <v>5</v>
      </c>
      <c r="X1715" s="3" t="str">
        <f aca="false">TEXT(C1715,"mmmm")</f>
        <v>April</v>
      </c>
      <c r="Y1715" s="3" t="str">
        <f aca="false">LEFT(G1715,1)&amp;MID(G1715,FIND(" ",G1715)+1,1)</f>
        <v>AK</v>
      </c>
    </row>
    <row r="1716" customFormat="false" ht="15" hidden="false" customHeight="false" outlineLevel="0" collapsed="false">
      <c r="A1716" s="3" t="n">
        <v>1715</v>
      </c>
      <c r="B1716" s="3" t="s">
        <v>3641</v>
      </c>
      <c r="C1716" s="4" t="s">
        <v>3642</v>
      </c>
      <c r="D1716" s="4" t="s">
        <v>3643</v>
      </c>
      <c r="E1716" s="3" t="s">
        <v>84</v>
      </c>
      <c r="F1716" s="3" t="s">
        <v>912</v>
      </c>
      <c r="G1716" s="3" t="s">
        <v>913</v>
      </c>
      <c r="H1716" s="3" t="s">
        <v>56</v>
      </c>
      <c r="I1716" s="3" t="s">
        <v>32</v>
      </c>
      <c r="J1716" s="3" t="s">
        <v>381</v>
      </c>
      <c r="K1716" s="3" t="s">
        <v>58</v>
      </c>
      <c r="L1716" s="3" t="s">
        <v>59</v>
      </c>
      <c r="M1716" s="3" t="s">
        <v>190</v>
      </c>
      <c r="N1716" s="3" t="s">
        <v>49</v>
      </c>
      <c r="O1716" s="3" t="s">
        <v>150</v>
      </c>
      <c r="P1716" s="3" t="s">
        <v>191</v>
      </c>
      <c r="Q1716" s="5" t="n">
        <v>308.06</v>
      </c>
      <c r="R1716" s="3" t="n">
        <v>5</v>
      </c>
      <c r="S1716" s="6" t="n">
        <v>0</v>
      </c>
      <c r="T1716" s="5" t="n">
        <v>-37.78</v>
      </c>
      <c r="U1716" s="3" t="str">
        <f aca="false">IF(T1716&lt;0,"Loss",IF(T1716=0,"Break-even","Profit"))</f>
        <v>Loss</v>
      </c>
      <c r="V1716" s="3" t="str">
        <f aca="false">IF(Q1716&lt;100,"Low",IF(Q1716&lt;=500,"Medium","High"))</f>
        <v>Medium</v>
      </c>
      <c r="W1716" s="3" t="n">
        <f aca="false">D1716-C1716</f>
        <v>4</v>
      </c>
      <c r="X1716" s="3" t="str">
        <f aca="false">TEXT(C1716,"mmmm")</f>
        <v>April</v>
      </c>
      <c r="Y1716" s="3" t="str">
        <f aca="false">LEFT(G1716,1)&amp;MID(G1716,FIND(" ",G1716)+1,1)</f>
        <v>AB</v>
      </c>
    </row>
    <row r="1717" customFormat="false" ht="15" hidden="false" customHeight="false" outlineLevel="0" collapsed="false">
      <c r="A1717" s="3" t="n">
        <v>1716</v>
      </c>
      <c r="B1717" s="3" t="s">
        <v>3644</v>
      </c>
      <c r="C1717" s="4" t="s">
        <v>3642</v>
      </c>
      <c r="D1717" s="4" t="s">
        <v>3645</v>
      </c>
      <c r="E1717" s="3" t="s">
        <v>42</v>
      </c>
      <c r="F1717" s="3" t="s">
        <v>393</v>
      </c>
      <c r="G1717" s="3" t="s">
        <v>394</v>
      </c>
      <c r="H1717" s="3" t="s">
        <v>56</v>
      </c>
      <c r="I1717" s="3" t="s">
        <v>32</v>
      </c>
      <c r="J1717" s="3" t="s">
        <v>299</v>
      </c>
      <c r="K1717" s="3" t="s">
        <v>189</v>
      </c>
      <c r="L1717" s="3" t="s">
        <v>59</v>
      </c>
      <c r="M1717" s="3" t="s">
        <v>300</v>
      </c>
      <c r="N1717" s="3" t="s">
        <v>49</v>
      </c>
      <c r="O1717" s="3" t="s">
        <v>143</v>
      </c>
      <c r="P1717" s="3" t="s">
        <v>301</v>
      </c>
      <c r="Q1717" s="5" t="n">
        <v>27.66</v>
      </c>
      <c r="R1717" s="3" t="n">
        <v>1</v>
      </c>
      <c r="S1717" s="6" t="n">
        <v>0.2</v>
      </c>
      <c r="T1717" s="5" t="n">
        <v>5.89</v>
      </c>
      <c r="U1717" s="3" t="str">
        <f aca="false">IF(T1717&lt;0,"Loss",IF(T1717=0,"Break-even","Profit"))</f>
        <v>Profit</v>
      </c>
      <c r="V1717" s="3" t="str">
        <f aca="false">IF(Q1717&lt;100,"Low",IF(Q1717&lt;=500,"Medium","High"))</f>
        <v>Low</v>
      </c>
      <c r="W1717" s="3" t="n">
        <f aca="false">D1717-C1717</f>
        <v>2</v>
      </c>
      <c r="X1717" s="3" t="str">
        <f aca="false">TEXT(C1717,"mmmm")</f>
        <v>April</v>
      </c>
      <c r="Y1717" s="3" t="str">
        <f aca="false">LEFT(G1717,1)&amp;MID(G1717,FIND(" ",G1717)+1,1)</f>
        <v>LD</v>
      </c>
    </row>
    <row r="1718" customFormat="false" ht="15" hidden="false" customHeight="false" outlineLevel="0" collapsed="false">
      <c r="A1718" s="3" t="n">
        <v>1717</v>
      </c>
      <c r="B1718" s="3" t="s">
        <v>3646</v>
      </c>
      <c r="C1718" s="4" t="s">
        <v>3647</v>
      </c>
      <c r="D1718" s="4" t="s">
        <v>3639</v>
      </c>
      <c r="E1718" s="3" t="s">
        <v>84</v>
      </c>
      <c r="F1718" s="3" t="s">
        <v>542</v>
      </c>
      <c r="G1718" s="3" t="s">
        <v>543</v>
      </c>
      <c r="H1718" s="3" t="s">
        <v>56</v>
      </c>
      <c r="I1718" s="3" t="s">
        <v>32</v>
      </c>
      <c r="J1718" s="3" t="s">
        <v>365</v>
      </c>
      <c r="K1718" s="3" t="s">
        <v>366</v>
      </c>
      <c r="L1718" s="3" t="s">
        <v>157</v>
      </c>
      <c r="M1718" s="3" t="s">
        <v>114</v>
      </c>
      <c r="N1718" s="3" t="s">
        <v>49</v>
      </c>
      <c r="O1718" s="3" t="s">
        <v>61</v>
      </c>
      <c r="P1718" s="3" t="s">
        <v>115</v>
      </c>
      <c r="Q1718" s="5" t="n">
        <v>865.06</v>
      </c>
      <c r="R1718" s="3" t="n">
        <v>9</v>
      </c>
      <c r="S1718" s="6" t="n">
        <v>0.1</v>
      </c>
      <c r="T1718" s="5" t="n">
        <v>22.89</v>
      </c>
      <c r="U1718" s="3" t="str">
        <f aca="false">IF(T1718&lt;0,"Loss",IF(T1718=0,"Break-even","Profit"))</f>
        <v>Profit</v>
      </c>
      <c r="V1718" s="3" t="str">
        <f aca="false">IF(Q1718&lt;100,"Low",IF(Q1718&lt;=500,"Medium","High"))</f>
        <v>High</v>
      </c>
      <c r="W1718" s="3" t="n">
        <f aca="false">D1718-C1718</f>
        <v>2</v>
      </c>
      <c r="X1718" s="3" t="str">
        <f aca="false">TEXT(C1718,"mmmm")</f>
        <v>April</v>
      </c>
      <c r="Y1718" s="3" t="str">
        <f aca="false">LEFT(G1718,1)&amp;MID(G1718,FIND(" ",G1718)+1,1)</f>
        <v>WM</v>
      </c>
    </row>
    <row r="1719" customFormat="false" ht="15" hidden="false" customHeight="false" outlineLevel="0" collapsed="false">
      <c r="A1719" s="3" t="n">
        <v>1718</v>
      </c>
      <c r="B1719" s="3" t="s">
        <v>3648</v>
      </c>
      <c r="C1719" s="4" t="s">
        <v>3647</v>
      </c>
      <c r="D1719" s="4" t="s">
        <v>3647</v>
      </c>
      <c r="E1719" s="3" t="s">
        <v>53</v>
      </c>
      <c r="F1719" s="3" t="s">
        <v>1355</v>
      </c>
      <c r="G1719" s="3" t="s">
        <v>1356</v>
      </c>
      <c r="H1719" s="3" t="s">
        <v>45</v>
      </c>
      <c r="I1719" s="3" t="s">
        <v>32</v>
      </c>
      <c r="J1719" s="3" t="s">
        <v>548</v>
      </c>
      <c r="K1719" s="3" t="s">
        <v>244</v>
      </c>
      <c r="L1719" s="3" t="s">
        <v>157</v>
      </c>
      <c r="M1719" s="3" t="s">
        <v>219</v>
      </c>
      <c r="N1719" s="3" t="s">
        <v>49</v>
      </c>
      <c r="O1719" s="3" t="s">
        <v>220</v>
      </c>
      <c r="P1719" s="3" t="s">
        <v>221</v>
      </c>
      <c r="Q1719" s="5" t="n">
        <v>557.98</v>
      </c>
      <c r="R1719" s="3" t="n">
        <v>12</v>
      </c>
      <c r="S1719" s="6" t="n">
        <v>0.1</v>
      </c>
      <c r="T1719" s="5" t="n">
        <v>-55.78</v>
      </c>
      <c r="U1719" s="3" t="str">
        <f aca="false">IF(T1719&lt;0,"Loss",IF(T1719=0,"Break-even","Profit"))</f>
        <v>Loss</v>
      </c>
      <c r="V1719" s="3" t="str">
        <f aca="false">IF(Q1719&lt;100,"Low",IF(Q1719&lt;=500,"Medium","High"))</f>
        <v>High</v>
      </c>
      <c r="W1719" s="3" t="n">
        <f aca="false">D1719-C1719</f>
        <v>0</v>
      </c>
      <c r="X1719" s="3" t="str">
        <f aca="false">TEXT(C1719,"mmmm")</f>
        <v>April</v>
      </c>
      <c r="Y1719" s="3" t="str">
        <f aca="false">LEFT(G1719,1)&amp;MID(G1719,FIND(" ",G1719)+1,1)</f>
        <v>FB</v>
      </c>
    </row>
    <row r="1720" customFormat="false" ht="15" hidden="false" customHeight="false" outlineLevel="0" collapsed="false">
      <c r="A1720" s="3" t="n">
        <v>1719</v>
      </c>
      <c r="B1720" s="3" t="s">
        <v>3649</v>
      </c>
      <c r="C1720" s="4" t="s">
        <v>3645</v>
      </c>
      <c r="D1720" s="4" t="s">
        <v>3650</v>
      </c>
      <c r="E1720" s="3" t="s">
        <v>28</v>
      </c>
      <c r="F1720" s="3" t="s">
        <v>1775</v>
      </c>
      <c r="G1720" s="3" t="s">
        <v>1776</v>
      </c>
      <c r="H1720" s="3" t="s">
        <v>56</v>
      </c>
      <c r="I1720" s="3" t="s">
        <v>32</v>
      </c>
      <c r="J1720" s="3" t="s">
        <v>306</v>
      </c>
      <c r="K1720" s="3" t="s">
        <v>307</v>
      </c>
      <c r="L1720" s="3" t="s">
        <v>69</v>
      </c>
      <c r="M1720" s="3" t="s">
        <v>209</v>
      </c>
      <c r="N1720" s="3" t="s">
        <v>49</v>
      </c>
      <c r="O1720" s="3" t="s">
        <v>106</v>
      </c>
      <c r="P1720" s="3" t="s">
        <v>210</v>
      </c>
      <c r="Q1720" s="5" t="n">
        <v>347.5</v>
      </c>
      <c r="R1720" s="3" t="n">
        <v>3</v>
      </c>
      <c r="S1720" s="6" t="n">
        <v>0</v>
      </c>
      <c r="T1720" s="5" t="n">
        <v>-50.71</v>
      </c>
      <c r="U1720" s="3" t="str">
        <f aca="false">IF(T1720&lt;0,"Loss",IF(T1720=0,"Break-even","Profit"))</f>
        <v>Loss</v>
      </c>
      <c r="V1720" s="3" t="str">
        <f aca="false">IF(Q1720&lt;100,"Low",IF(Q1720&lt;=500,"Medium","High"))</f>
        <v>Medium</v>
      </c>
      <c r="W1720" s="3" t="n">
        <f aca="false">D1720-C1720</f>
        <v>6</v>
      </c>
      <c r="X1720" s="3" t="str">
        <f aca="false">TEXT(C1720,"mmmm")</f>
        <v>April</v>
      </c>
      <c r="Y1720" s="3" t="str">
        <f aca="false">LEFT(G1720,1)&amp;MID(G1720,FIND(" ",G1720)+1,1)</f>
        <v>LA</v>
      </c>
    </row>
    <row r="1721" customFormat="false" ht="15" hidden="false" customHeight="false" outlineLevel="0" collapsed="false">
      <c r="A1721" s="3" t="n">
        <v>1720</v>
      </c>
      <c r="B1721" s="3" t="s">
        <v>3651</v>
      </c>
      <c r="C1721" s="4" t="s">
        <v>3645</v>
      </c>
      <c r="D1721" s="4" t="s">
        <v>3643</v>
      </c>
      <c r="E1721" s="3" t="s">
        <v>42</v>
      </c>
      <c r="F1721" s="3" t="s">
        <v>908</v>
      </c>
      <c r="G1721" s="3" t="s">
        <v>909</v>
      </c>
      <c r="H1721" s="3" t="s">
        <v>56</v>
      </c>
      <c r="I1721" s="3" t="s">
        <v>32</v>
      </c>
      <c r="J1721" s="3" t="s">
        <v>386</v>
      </c>
      <c r="K1721" s="3" t="s">
        <v>387</v>
      </c>
      <c r="L1721" s="3" t="s">
        <v>35</v>
      </c>
      <c r="M1721" s="3" t="s">
        <v>70</v>
      </c>
      <c r="N1721" s="3" t="s">
        <v>37</v>
      </c>
      <c r="O1721" s="3" t="s">
        <v>71</v>
      </c>
      <c r="P1721" s="3" t="s">
        <v>72</v>
      </c>
      <c r="Q1721" s="5" t="n">
        <v>8637.71</v>
      </c>
      <c r="R1721" s="3" t="n">
        <v>9</v>
      </c>
      <c r="S1721" s="6" t="n">
        <v>0.4</v>
      </c>
      <c r="T1721" s="5" t="n">
        <v>-2789.58</v>
      </c>
      <c r="U1721" s="3" t="str">
        <f aca="false">IF(T1721&lt;0,"Loss",IF(T1721=0,"Break-even","Profit"))</f>
        <v>Loss</v>
      </c>
      <c r="V1721" s="3" t="str">
        <f aca="false">IF(Q1721&lt;100,"Low",IF(Q1721&lt;=500,"Medium","High"))</f>
        <v>High</v>
      </c>
      <c r="W1721" s="3" t="n">
        <f aca="false">D1721-C1721</f>
        <v>2</v>
      </c>
      <c r="X1721" s="3" t="str">
        <f aca="false">TEXT(C1721,"mmmm")</f>
        <v>April</v>
      </c>
      <c r="Y1721" s="3" t="str">
        <f aca="false">LEFT(G1721,1)&amp;MID(G1721,FIND(" ",G1721)+1,1)</f>
        <v>JM</v>
      </c>
    </row>
    <row r="1722" customFormat="false" ht="15" hidden="false" customHeight="false" outlineLevel="0" collapsed="false">
      <c r="A1722" s="3" t="n">
        <v>1721</v>
      </c>
      <c r="B1722" s="3" t="s">
        <v>3652</v>
      </c>
      <c r="C1722" s="4" t="s">
        <v>3639</v>
      </c>
      <c r="D1722" s="4" t="s">
        <v>3643</v>
      </c>
      <c r="E1722" s="3" t="s">
        <v>42</v>
      </c>
      <c r="F1722" s="3" t="s">
        <v>1613</v>
      </c>
      <c r="G1722" s="3" t="s">
        <v>1614</v>
      </c>
      <c r="H1722" s="3" t="s">
        <v>31</v>
      </c>
      <c r="I1722" s="3" t="s">
        <v>32</v>
      </c>
      <c r="J1722" s="3" t="s">
        <v>215</v>
      </c>
      <c r="K1722" s="3" t="s">
        <v>34</v>
      </c>
      <c r="L1722" s="3" t="s">
        <v>35</v>
      </c>
      <c r="M1722" s="3" t="s">
        <v>209</v>
      </c>
      <c r="N1722" s="3" t="s">
        <v>49</v>
      </c>
      <c r="O1722" s="3" t="s">
        <v>106</v>
      </c>
      <c r="P1722" s="3" t="s">
        <v>210</v>
      </c>
      <c r="Q1722" s="5" t="n">
        <v>510.62</v>
      </c>
      <c r="R1722" s="3" t="n">
        <v>8</v>
      </c>
      <c r="S1722" s="6" t="n">
        <v>0.2</v>
      </c>
      <c r="T1722" s="5" t="n">
        <v>142.95</v>
      </c>
      <c r="U1722" s="3" t="str">
        <f aca="false">IF(T1722&lt;0,"Loss",IF(T1722=0,"Break-even","Profit"))</f>
        <v>Profit</v>
      </c>
      <c r="V1722" s="3" t="str">
        <f aca="false">IF(Q1722&lt;100,"Low",IF(Q1722&lt;=500,"Medium","High"))</f>
        <v>High</v>
      </c>
      <c r="W1722" s="3" t="n">
        <f aca="false">D1722-C1722</f>
        <v>1</v>
      </c>
      <c r="X1722" s="3" t="str">
        <f aca="false">TEXT(C1722,"mmmm")</f>
        <v>April</v>
      </c>
      <c r="Y1722" s="3" t="str">
        <f aca="false">LEFT(G1722,1)&amp;MID(G1722,FIND(" ",G1722)+1,1)</f>
        <v>PN</v>
      </c>
    </row>
    <row r="1723" customFormat="false" ht="15" hidden="false" customHeight="false" outlineLevel="0" collapsed="false">
      <c r="A1723" s="3" t="n">
        <v>1722</v>
      </c>
      <c r="B1723" s="3" t="s">
        <v>3653</v>
      </c>
      <c r="C1723" s="4" t="s">
        <v>3639</v>
      </c>
      <c r="D1723" s="4" t="s">
        <v>3654</v>
      </c>
      <c r="E1723" s="3" t="s">
        <v>42</v>
      </c>
      <c r="F1723" s="3" t="s">
        <v>970</v>
      </c>
      <c r="G1723" s="3" t="s">
        <v>971</v>
      </c>
      <c r="H1723" s="3" t="s">
        <v>45</v>
      </c>
      <c r="I1723" s="3" t="s">
        <v>32</v>
      </c>
      <c r="J1723" s="3" t="s">
        <v>548</v>
      </c>
      <c r="K1723" s="3" t="s">
        <v>244</v>
      </c>
      <c r="L1723" s="3" t="s">
        <v>157</v>
      </c>
      <c r="M1723" s="3" t="s">
        <v>470</v>
      </c>
      <c r="N1723" s="3" t="s">
        <v>49</v>
      </c>
      <c r="O1723" s="3" t="s">
        <v>159</v>
      </c>
      <c r="P1723" s="3" t="s">
        <v>471</v>
      </c>
      <c r="Q1723" s="5" t="n">
        <v>616.89</v>
      </c>
      <c r="R1723" s="3" t="n">
        <v>8</v>
      </c>
      <c r="S1723" s="6" t="n">
        <v>0.4</v>
      </c>
      <c r="T1723" s="5" t="n">
        <v>48.51</v>
      </c>
      <c r="U1723" s="3" t="str">
        <f aca="false">IF(T1723&lt;0,"Loss",IF(T1723=0,"Break-even","Profit"))</f>
        <v>Profit</v>
      </c>
      <c r="V1723" s="3" t="str">
        <f aca="false">IF(Q1723&lt;100,"Low",IF(Q1723&lt;=500,"Medium","High"))</f>
        <v>High</v>
      </c>
      <c r="W1723" s="3" t="n">
        <f aca="false">D1723-C1723</f>
        <v>2</v>
      </c>
      <c r="X1723" s="3" t="str">
        <f aca="false">TEXT(C1723,"mmmm")</f>
        <v>April</v>
      </c>
      <c r="Y1723" s="3" t="str">
        <f aca="false">LEFT(G1723,1)&amp;MID(G1723,FIND(" ",G1723)+1,1)</f>
        <v>PG</v>
      </c>
    </row>
    <row r="1724" customFormat="false" ht="15" hidden="false" customHeight="false" outlineLevel="0" collapsed="false">
      <c r="A1724" s="3" t="n">
        <v>1723</v>
      </c>
      <c r="B1724" s="3" t="s">
        <v>3655</v>
      </c>
      <c r="C1724" s="4" t="s">
        <v>3643</v>
      </c>
      <c r="D1724" s="4" t="s">
        <v>3656</v>
      </c>
      <c r="E1724" s="3" t="s">
        <v>28</v>
      </c>
      <c r="F1724" s="3" t="s">
        <v>1099</v>
      </c>
      <c r="G1724" s="3" t="s">
        <v>1100</v>
      </c>
      <c r="H1724" s="3" t="s">
        <v>45</v>
      </c>
      <c r="I1724" s="3" t="s">
        <v>32</v>
      </c>
      <c r="J1724" s="3" t="s">
        <v>381</v>
      </c>
      <c r="K1724" s="3" t="s">
        <v>58</v>
      </c>
      <c r="L1724" s="3" t="s">
        <v>59</v>
      </c>
      <c r="M1724" s="3" t="s">
        <v>48</v>
      </c>
      <c r="N1724" s="3" t="s">
        <v>49</v>
      </c>
      <c r="O1724" s="3" t="s">
        <v>50</v>
      </c>
      <c r="P1724" s="3" t="s">
        <v>51</v>
      </c>
      <c r="Q1724" s="5" t="n">
        <v>304.07</v>
      </c>
      <c r="R1724" s="3" t="n">
        <v>9</v>
      </c>
      <c r="S1724" s="6" t="n">
        <v>0.1</v>
      </c>
      <c r="T1724" s="5" t="n">
        <v>-32.91</v>
      </c>
      <c r="U1724" s="3" t="str">
        <f aca="false">IF(T1724&lt;0,"Loss",IF(T1724=0,"Break-even","Profit"))</f>
        <v>Loss</v>
      </c>
      <c r="V1724" s="3" t="str">
        <f aca="false">IF(Q1724&lt;100,"Low",IF(Q1724&lt;=500,"Medium","High"))</f>
        <v>Medium</v>
      </c>
      <c r="W1724" s="3" t="n">
        <f aca="false">D1724-C1724</f>
        <v>7</v>
      </c>
      <c r="X1724" s="3" t="str">
        <f aca="false">TEXT(C1724,"mmmm")</f>
        <v>April</v>
      </c>
      <c r="Y1724" s="3" t="str">
        <f aca="false">LEFT(G1724,1)&amp;MID(G1724,FIND(" ",G1724)+1,1)</f>
        <v>JK</v>
      </c>
    </row>
    <row r="1725" customFormat="false" ht="15" hidden="false" customHeight="false" outlineLevel="0" collapsed="false">
      <c r="A1725" s="3" t="n">
        <v>1724</v>
      </c>
      <c r="B1725" s="3" t="s">
        <v>3657</v>
      </c>
      <c r="C1725" s="4" t="s">
        <v>3643</v>
      </c>
      <c r="D1725" s="4" t="s">
        <v>3658</v>
      </c>
      <c r="E1725" s="3" t="s">
        <v>42</v>
      </c>
      <c r="F1725" s="3" t="s">
        <v>140</v>
      </c>
      <c r="G1725" s="3" t="s">
        <v>141</v>
      </c>
      <c r="H1725" s="3" t="s">
        <v>45</v>
      </c>
      <c r="I1725" s="3" t="s">
        <v>32</v>
      </c>
      <c r="J1725" s="3" t="s">
        <v>329</v>
      </c>
      <c r="K1725" s="3" t="s">
        <v>156</v>
      </c>
      <c r="L1725" s="3" t="s">
        <v>157</v>
      </c>
      <c r="M1725" s="3" t="s">
        <v>135</v>
      </c>
      <c r="N1725" s="3" t="s">
        <v>37</v>
      </c>
      <c r="O1725" s="3" t="s">
        <v>136</v>
      </c>
      <c r="P1725" s="3" t="s">
        <v>137</v>
      </c>
      <c r="Q1725" s="5" t="n">
        <v>304.59</v>
      </c>
      <c r="R1725" s="3" t="n">
        <v>5</v>
      </c>
      <c r="S1725" s="6" t="n">
        <v>0</v>
      </c>
      <c r="T1725" s="5" t="n">
        <v>-71.75</v>
      </c>
      <c r="U1725" s="3" t="str">
        <f aca="false">IF(T1725&lt;0,"Loss",IF(T1725=0,"Break-even","Profit"))</f>
        <v>Loss</v>
      </c>
      <c r="V1725" s="3" t="str">
        <f aca="false">IF(Q1725&lt;100,"Low",IF(Q1725&lt;=500,"Medium","High"))</f>
        <v>Medium</v>
      </c>
      <c r="W1725" s="3" t="n">
        <f aca="false">D1725-C1725</f>
        <v>2</v>
      </c>
      <c r="X1725" s="3" t="str">
        <f aca="false">TEXT(C1725,"mmmm")</f>
        <v>April</v>
      </c>
      <c r="Y1725" s="3" t="str">
        <f aca="false">LEFT(G1725,1)&amp;MID(G1725,FIND(" ",G1725)+1,1)</f>
        <v>MW</v>
      </c>
    </row>
    <row r="1726" customFormat="false" ht="15" hidden="false" customHeight="false" outlineLevel="0" collapsed="false">
      <c r="A1726" s="3" t="n">
        <v>1725</v>
      </c>
      <c r="B1726" s="3" t="s">
        <v>3659</v>
      </c>
      <c r="C1726" s="4" t="s">
        <v>3660</v>
      </c>
      <c r="D1726" s="4" t="s">
        <v>3661</v>
      </c>
      <c r="E1726" s="3" t="s">
        <v>28</v>
      </c>
      <c r="F1726" s="3" t="s">
        <v>1498</v>
      </c>
      <c r="G1726" s="3" t="s">
        <v>1499</v>
      </c>
      <c r="H1726" s="3" t="s">
        <v>56</v>
      </c>
      <c r="I1726" s="3" t="s">
        <v>32</v>
      </c>
      <c r="J1726" s="3" t="s">
        <v>188</v>
      </c>
      <c r="K1726" s="3" t="s">
        <v>189</v>
      </c>
      <c r="L1726" s="3" t="s">
        <v>59</v>
      </c>
      <c r="M1726" s="3" t="s">
        <v>121</v>
      </c>
      <c r="N1726" s="3" t="s">
        <v>49</v>
      </c>
      <c r="O1726" s="3" t="s">
        <v>50</v>
      </c>
      <c r="P1726" s="3" t="s">
        <v>122</v>
      </c>
      <c r="Q1726" s="5" t="n">
        <v>68.71</v>
      </c>
      <c r="R1726" s="3" t="n">
        <v>1</v>
      </c>
      <c r="S1726" s="6" t="n">
        <v>0</v>
      </c>
      <c r="T1726" s="5" t="n">
        <v>11.28</v>
      </c>
      <c r="U1726" s="3" t="str">
        <f aca="false">IF(T1726&lt;0,"Loss",IF(T1726=0,"Break-even","Profit"))</f>
        <v>Profit</v>
      </c>
      <c r="V1726" s="3" t="str">
        <f aca="false">IF(Q1726&lt;100,"Low",IF(Q1726&lt;=500,"Medium","High"))</f>
        <v>Low</v>
      </c>
      <c r="W1726" s="3" t="n">
        <f aca="false">D1726-C1726</f>
        <v>7</v>
      </c>
      <c r="X1726" s="3" t="str">
        <f aca="false">TEXT(C1726,"mmmm")</f>
        <v>April</v>
      </c>
      <c r="Y1726" s="3" t="str">
        <f aca="false">LEFT(G1726,1)&amp;MID(G1726,FIND(" ",G1726)+1,1)</f>
        <v>SJ</v>
      </c>
    </row>
    <row r="1727" customFormat="false" ht="15" hidden="false" customHeight="false" outlineLevel="0" collapsed="false">
      <c r="A1727" s="3" t="n">
        <v>1726</v>
      </c>
      <c r="B1727" s="3" t="s">
        <v>3662</v>
      </c>
      <c r="C1727" s="4" t="s">
        <v>3660</v>
      </c>
      <c r="D1727" s="4" t="s">
        <v>3663</v>
      </c>
      <c r="E1727" s="3" t="s">
        <v>42</v>
      </c>
      <c r="F1727" s="3" t="s">
        <v>486</v>
      </c>
      <c r="G1727" s="3" t="s">
        <v>487</v>
      </c>
      <c r="H1727" s="3" t="s">
        <v>56</v>
      </c>
      <c r="I1727" s="3" t="s">
        <v>32</v>
      </c>
      <c r="J1727" s="3" t="s">
        <v>120</v>
      </c>
      <c r="K1727" s="3" t="s">
        <v>113</v>
      </c>
      <c r="L1727" s="3" t="s">
        <v>69</v>
      </c>
      <c r="M1727" s="3" t="s">
        <v>79</v>
      </c>
      <c r="N1727" s="3" t="s">
        <v>49</v>
      </c>
      <c r="O1727" s="3" t="s">
        <v>80</v>
      </c>
      <c r="P1727" s="3" t="s">
        <v>81</v>
      </c>
      <c r="Q1727" s="5" t="n">
        <v>237.05</v>
      </c>
      <c r="R1727" s="3" t="n">
        <v>12</v>
      </c>
      <c r="S1727" s="6" t="n">
        <v>0.5</v>
      </c>
      <c r="T1727" s="5" t="n">
        <v>6.24</v>
      </c>
      <c r="U1727" s="3" t="str">
        <f aca="false">IF(T1727&lt;0,"Loss",IF(T1727=0,"Break-even","Profit"))</f>
        <v>Profit</v>
      </c>
      <c r="V1727" s="3" t="str">
        <f aca="false">IF(Q1727&lt;100,"Low",IF(Q1727&lt;=500,"Medium","High"))</f>
        <v>Medium</v>
      </c>
      <c r="W1727" s="3" t="n">
        <f aca="false">D1727-C1727</f>
        <v>2</v>
      </c>
      <c r="X1727" s="3" t="str">
        <f aca="false">TEXT(C1727,"mmmm")</f>
        <v>April</v>
      </c>
      <c r="Y1727" s="3" t="str">
        <f aca="false">LEFT(G1727,1)&amp;MID(G1727,FIND(" ",G1727)+1,1)</f>
        <v>JB</v>
      </c>
    </row>
    <row r="1728" customFormat="false" ht="15" hidden="false" customHeight="false" outlineLevel="0" collapsed="false">
      <c r="A1728" s="3" t="n">
        <v>1727</v>
      </c>
      <c r="B1728" s="3" t="s">
        <v>3664</v>
      </c>
      <c r="C1728" s="4" t="s">
        <v>3660</v>
      </c>
      <c r="D1728" s="4" t="s">
        <v>3663</v>
      </c>
      <c r="E1728" s="3" t="s">
        <v>84</v>
      </c>
      <c r="F1728" s="3" t="s">
        <v>862</v>
      </c>
      <c r="G1728" s="3" t="s">
        <v>863</v>
      </c>
      <c r="H1728" s="3" t="s">
        <v>56</v>
      </c>
      <c r="I1728" s="3" t="s">
        <v>32</v>
      </c>
      <c r="J1728" s="3" t="s">
        <v>188</v>
      </c>
      <c r="K1728" s="3" t="s">
        <v>189</v>
      </c>
      <c r="L1728" s="3" t="s">
        <v>59</v>
      </c>
      <c r="M1728" s="3" t="s">
        <v>158</v>
      </c>
      <c r="N1728" s="3" t="s">
        <v>49</v>
      </c>
      <c r="O1728" s="3" t="s">
        <v>159</v>
      </c>
      <c r="P1728" s="3" t="s">
        <v>160</v>
      </c>
      <c r="Q1728" s="5" t="n">
        <v>31.66</v>
      </c>
      <c r="R1728" s="3" t="n">
        <v>1</v>
      </c>
      <c r="S1728" s="6" t="n">
        <v>0</v>
      </c>
      <c r="T1728" s="5" t="n">
        <v>3.8</v>
      </c>
      <c r="U1728" s="3" t="str">
        <f aca="false">IF(T1728&lt;0,"Loss",IF(T1728=0,"Break-even","Profit"))</f>
        <v>Profit</v>
      </c>
      <c r="V1728" s="3" t="str">
        <f aca="false">IF(Q1728&lt;100,"Low",IF(Q1728&lt;=500,"Medium","High"))</f>
        <v>Low</v>
      </c>
      <c r="W1728" s="3" t="n">
        <f aca="false">D1728-C1728</f>
        <v>2</v>
      </c>
      <c r="X1728" s="3" t="str">
        <f aca="false">TEXT(C1728,"mmmm")</f>
        <v>April</v>
      </c>
      <c r="Y1728" s="3" t="str">
        <f aca="false">LEFT(G1728,1)&amp;MID(G1728,FIND(" ",G1728)+1,1)</f>
        <v>LG</v>
      </c>
    </row>
    <row r="1729" customFormat="false" ht="15" hidden="false" customHeight="false" outlineLevel="0" collapsed="false">
      <c r="A1729" s="3" t="n">
        <v>1728</v>
      </c>
      <c r="B1729" s="3" t="s">
        <v>3665</v>
      </c>
      <c r="C1729" s="4" t="s">
        <v>3650</v>
      </c>
      <c r="D1729" s="4" t="s">
        <v>3666</v>
      </c>
      <c r="E1729" s="3" t="s">
        <v>84</v>
      </c>
      <c r="F1729" s="3" t="s">
        <v>1680</v>
      </c>
      <c r="G1729" s="3" t="s">
        <v>1681</v>
      </c>
      <c r="H1729" s="3" t="s">
        <v>45</v>
      </c>
      <c r="I1729" s="3" t="s">
        <v>32</v>
      </c>
      <c r="J1729" s="3" t="s">
        <v>201</v>
      </c>
      <c r="K1729" s="3" t="s">
        <v>202</v>
      </c>
      <c r="L1729" s="3" t="s">
        <v>35</v>
      </c>
      <c r="M1729" s="3" t="s">
        <v>114</v>
      </c>
      <c r="N1729" s="3" t="s">
        <v>49</v>
      </c>
      <c r="O1729" s="3" t="s">
        <v>61</v>
      </c>
      <c r="P1729" s="3" t="s">
        <v>115</v>
      </c>
      <c r="Q1729" s="5" t="n">
        <v>74.35</v>
      </c>
      <c r="R1729" s="3" t="n">
        <v>8</v>
      </c>
      <c r="S1729" s="6" t="n">
        <v>0.5</v>
      </c>
      <c r="T1729" s="5" t="n">
        <v>8.3</v>
      </c>
      <c r="U1729" s="3" t="str">
        <f aca="false">IF(T1729&lt;0,"Loss",IF(T1729=0,"Break-even","Profit"))</f>
        <v>Profit</v>
      </c>
      <c r="V1729" s="3" t="str">
        <f aca="false">IF(Q1729&lt;100,"Low",IF(Q1729&lt;=500,"Medium","High"))</f>
        <v>Low</v>
      </c>
      <c r="W1729" s="3" t="n">
        <f aca="false">D1729-C1729</f>
        <v>4</v>
      </c>
      <c r="X1729" s="3" t="str">
        <f aca="false">TEXT(C1729,"mmmm")</f>
        <v>May</v>
      </c>
      <c r="Y1729" s="3" t="str">
        <f aca="false">LEFT(G1729,1)&amp;MID(G1729,FIND(" ",G1729)+1,1)</f>
        <v>DM</v>
      </c>
    </row>
    <row r="1730" customFormat="false" ht="15" hidden="false" customHeight="false" outlineLevel="0" collapsed="false">
      <c r="A1730" s="3" t="n">
        <v>1729</v>
      </c>
      <c r="B1730" s="3" t="s">
        <v>3667</v>
      </c>
      <c r="C1730" s="4" t="s">
        <v>3650</v>
      </c>
      <c r="D1730" s="4" t="s">
        <v>3656</v>
      </c>
      <c r="E1730" s="3" t="s">
        <v>28</v>
      </c>
      <c r="F1730" s="3" t="s">
        <v>1134</v>
      </c>
      <c r="G1730" s="3" t="s">
        <v>1135</v>
      </c>
      <c r="H1730" s="3" t="s">
        <v>56</v>
      </c>
      <c r="I1730" s="3" t="s">
        <v>32</v>
      </c>
      <c r="J1730" s="3" t="s">
        <v>104</v>
      </c>
      <c r="K1730" s="3" t="s">
        <v>96</v>
      </c>
      <c r="L1730" s="3" t="s">
        <v>59</v>
      </c>
      <c r="M1730" s="3" t="s">
        <v>190</v>
      </c>
      <c r="N1730" s="3" t="s">
        <v>49</v>
      </c>
      <c r="O1730" s="3" t="s">
        <v>150</v>
      </c>
      <c r="P1730" s="3" t="s">
        <v>191</v>
      </c>
      <c r="Q1730" s="5" t="n">
        <v>110.59</v>
      </c>
      <c r="R1730" s="3" t="n">
        <v>2</v>
      </c>
      <c r="S1730" s="6" t="n">
        <v>0</v>
      </c>
      <c r="T1730" s="5" t="n">
        <v>4.19</v>
      </c>
      <c r="U1730" s="3" t="str">
        <f aca="false">IF(T1730&lt;0,"Loss",IF(T1730=0,"Break-even","Profit"))</f>
        <v>Profit</v>
      </c>
      <c r="V1730" s="3" t="str">
        <f aca="false">IF(Q1730&lt;100,"Low",IF(Q1730&lt;=500,"Medium","High"))</f>
        <v>Medium</v>
      </c>
      <c r="W1730" s="3" t="n">
        <f aca="false">D1730-C1730</f>
        <v>3</v>
      </c>
      <c r="X1730" s="3" t="str">
        <f aca="false">TEXT(C1730,"mmmm")</f>
        <v>May</v>
      </c>
      <c r="Y1730" s="3" t="str">
        <f aca="false">LEFT(G1730,1)&amp;MID(G1730,FIND(" ",G1730)+1,1)</f>
        <v>JM</v>
      </c>
    </row>
    <row r="1731" customFormat="false" ht="15" hidden="false" customHeight="false" outlineLevel="0" collapsed="false">
      <c r="A1731" s="3" t="n">
        <v>1730</v>
      </c>
      <c r="B1731" s="3" t="s">
        <v>3668</v>
      </c>
      <c r="C1731" s="4" t="s">
        <v>3663</v>
      </c>
      <c r="D1731" s="4" t="s">
        <v>3669</v>
      </c>
      <c r="E1731" s="3" t="s">
        <v>28</v>
      </c>
      <c r="F1731" s="3" t="s">
        <v>501</v>
      </c>
      <c r="G1731" s="3" t="s">
        <v>502</v>
      </c>
      <c r="H1731" s="3" t="s">
        <v>45</v>
      </c>
      <c r="I1731" s="3" t="s">
        <v>32</v>
      </c>
      <c r="J1731" s="3" t="s">
        <v>133</v>
      </c>
      <c r="K1731" s="3" t="s">
        <v>134</v>
      </c>
      <c r="L1731" s="3" t="s">
        <v>69</v>
      </c>
      <c r="M1731" s="3" t="s">
        <v>253</v>
      </c>
      <c r="N1731" s="3" t="s">
        <v>89</v>
      </c>
      <c r="O1731" s="3" t="s">
        <v>90</v>
      </c>
      <c r="P1731" s="3" t="s">
        <v>254</v>
      </c>
      <c r="Q1731" s="5" t="n">
        <v>3559.68</v>
      </c>
      <c r="R1731" s="3" t="n">
        <v>10</v>
      </c>
      <c r="S1731" s="6" t="n">
        <v>0.4</v>
      </c>
      <c r="T1731" s="5" t="n">
        <v>-877.22</v>
      </c>
      <c r="U1731" s="3" t="str">
        <f aca="false">IF(T1731&lt;0,"Loss",IF(T1731=0,"Break-even","Profit"))</f>
        <v>Loss</v>
      </c>
      <c r="V1731" s="3" t="str">
        <f aca="false">IF(Q1731&lt;100,"Low",IF(Q1731&lt;=500,"Medium","High"))</f>
        <v>High</v>
      </c>
      <c r="W1731" s="3" t="n">
        <f aca="false">D1731-C1731</f>
        <v>4</v>
      </c>
      <c r="X1731" s="3" t="str">
        <f aca="false">TEXT(C1731,"mmmm")</f>
        <v>May</v>
      </c>
      <c r="Y1731" s="3" t="str">
        <f aca="false">LEFT(G1731,1)&amp;MID(G1731,FIND(" ",G1731)+1,1)</f>
        <v>DR</v>
      </c>
    </row>
    <row r="1732" customFormat="false" ht="15" hidden="false" customHeight="false" outlineLevel="0" collapsed="false">
      <c r="A1732" s="3" t="n">
        <v>1731</v>
      </c>
      <c r="B1732" s="3" t="s">
        <v>3670</v>
      </c>
      <c r="C1732" s="4" t="s">
        <v>3663</v>
      </c>
      <c r="D1732" s="4" t="s">
        <v>3669</v>
      </c>
      <c r="E1732" s="3" t="s">
        <v>28</v>
      </c>
      <c r="F1732" s="3" t="s">
        <v>1735</v>
      </c>
      <c r="G1732" s="3" t="s">
        <v>1736</v>
      </c>
      <c r="H1732" s="3" t="s">
        <v>45</v>
      </c>
      <c r="I1732" s="3" t="s">
        <v>32</v>
      </c>
      <c r="J1732" s="3" t="s">
        <v>476</v>
      </c>
      <c r="K1732" s="3" t="s">
        <v>366</v>
      </c>
      <c r="L1732" s="3" t="s">
        <v>157</v>
      </c>
      <c r="M1732" s="3" t="s">
        <v>121</v>
      </c>
      <c r="N1732" s="3" t="s">
        <v>49</v>
      </c>
      <c r="O1732" s="3" t="s">
        <v>50</v>
      </c>
      <c r="P1732" s="3" t="s">
        <v>122</v>
      </c>
      <c r="Q1732" s="5" t="n">
        <v>399.58</v>
      </c>
      <c r="R1732" s="3" t="n">
        <v>9</v>
      </c>
      <c r="S1732" s="6" t="n">
        <v>0.1</v>
      </c>
      <c r="T1732" s="5" t="n">
        <v>44.38</v>
      </c>
      <c r="U1732" s="3" t="str">
        <f aca="false">IF(T1732&lt;0,"Loss",IF(T1732=0,"Break-even","Profit"))</f>
        <v>Profit</v>
      </c>
      <c r="V1732" s="3" t="str">
        <f aca="false">IF(Q1732&lt;100,"Low",IF(Q1732&lt;=500,"Medium","High"))</f>
        <v>Medium</v>
      </c>
      <c r="W1732" s="3" t="n">
        <f aca="false">D1732-C1732</f>
        <v>4</v>
      </c>
      <c r="X1732" s="3" t="str">
        <f aca="false">TEXT(C1732,"mmmm")</f>
        <v>May</v>
      </c>
      <c r="Y1732" s="3" t="str">
        <f aca="false">LEFT(G1732,1)&amp;MID(G1732,FIND(" ",G1732)+1,1)</f>
        <v>CG</v>
      </c>
    </row>
    <row r="1733" customFormat="false" ht="15" hidden="false" customHeight="false" outlineLevel="0" collapsed="false">
      <c r="A1733" s="3" t="n">
        <v>1732</v>
      </c>
      <c r="B1733" s="3" t="s">
        <v>3671</v>
      </c>
      <c r="C1733" s="4" t="s">
        <v>3672</v>
      </c>
      <c r="D1733" s="4" t="s">
        <v>3673</v>
      </c>
      <c r="E1733" s="3" t="s">
        <v>28</v>
      </c>
      <c r="F1733" s="3" t="s">
        <v>925</v>
      </c>
      <c r="G1733" s="3" t="s">
        <v>926</v>
      </c>
      <c r="H1733" s="3" t="s">
        <v>45</v>
      </c>
      <c r="I1733" s="3" t="s">
        <v>32</v>
      </c>
      <c r="J1733" s="3" t="s">
        <v>365</v>
      </c>
      <c r="K1733" s="3" t="s">
        <v>366</v>
      </c>
      <c r="L1733" s="3" t="s">
        <v>157</v>
      </c>
      <c r="M1733" s="3" t="s">
        <v>316</v>
      </c>
      <c r="N1733" s="3" t="s">
        <v>49</v>
      </c>
      <c r="O1733" s="3" t="s">
        <v>143</v>
      </c>
      <c r="P1733" s="3" t="s">
        <v>317</v>
      </c>
      <c r="Q1733" s="5" t="n">
        <v>701.68</v>
      </c>
      <c r="R1733" s="3" t="n">
        <v>10</v>
      </c>
      <c r="S1733" s="6" t="n">
        <v>0.5</v>
      </c>
      <c r="T1733" s="5" t="n">
        <v>-214.42</v>
      </c>
      <c r="U1733" s="3" t="str">
        <f aca="false">IF(T1733&lt;0,"Loss",IF(T1733=0,"Break-even","Profit"))</f>
        <v>Loss</v>
      </c>
      <c r="V1733" s="3" t="str">
        <f aca="false">IF(Q1733&lt;100,"Low",IF(Q1733&lt;=500,"Medium","High"))</f>
        <v>High</v>
      </c>
      <c r="W1733" s="3" t="n">
        <f aca="false">D1733-C1733</f>
        <v>6</v>
      </c>
      <c r="X1733" s="3" t="str">
        <f aca="false">TEXT(C1733,"mmmm")</f>
        <v>May</v>
      </c>
      <c r="Y1733" s="3" t="str">
        <f aca="false">LEFT(G1733,1)&amp;MID(G1733,FIND(" ",G1733)+1,1)</f>
        <v>JG</v>
      </c>
    </row>
    <row r="1734" customFormat="false" ht="15" hidden="false" customHeight="false" outlineLevel="0" collapsed="false">
      <c r="A1734" s="3" t="n">
        <v>1733</v>
      </c>
      <c r="B1734" s="3" t="s">
        <v>3674</v>
      </c>
      <c r="C1734" s="4" t="s">
        <v>3656</v>
      </c>
      <c r="D1734" s="4" t="s">
        <v>3669</v>
      </c>
      <c r="E1734" s="3" t="s">
        <v>42</v>
      </c>
      <c r="F1734" s="3" t="s">
        <v>2187</v>
      </c>
      <c r="G1734" s="3" t="s">
        <v>2188</v>
      </c>
      <c r="H1734" s="3" t="s">
        <v>31</v>
      </c>
      <c r="I1734" s="3" t="s">
        <v>32</v>
      </c>
      <c r="J1734" s="3" t="s">
        <v>365</v>
      </c>
      <c r="K1734" s="3" t="s">
        <v>366</v>
      </c>
      <c r="L1734" s="3" t="s">
        <v>157</v>
      </c>
      <c r="M1734" s="3" t="s">
        <v>195</v>
      </c>
      <c r="N1734" s="3" t="s">
        <v>37</v>
      </c>
      <c r="O1734" s="3" t="s">
        <v>196</v>
      </c>
      <c r="P1734" s="3" t="s">
        <v>197</v>
      </c>
      <c r="Q1734" s="5" t="n">
        <v>362.71</v>
      </c>
      <c r="R1734" s="3" t="n">
        <v>3</v>
      </c>
      <c r="S1734" s="6" t="n">
        <v>0.1</v>
      </c>
      <c r="T1734" s="5" t="n">
        <v>-48.14</v>
      </c>
      <c r="U1734" s="3" t="str">
        <f aca="false">IF(T1734&lt;0,"Loss",IF(T1734=0,"Break-even","Profit"))</f>
        <v>Loss</v>
      </c>
      <c r="V1734" s="3" t="str">
        <f aca="false">IF(Q1734&lt;100,"Low",IF(Q1734&lt;=500,"Medium","High"))</f>
        <v>Medium</v>
      </c>
      <c r="W1734" s="3" t="n">
        <f aca="false">D1734-C1734</f>
        <v>2</v>
      </c>
      <c r="X1734" s="3" t="str">
        <f aca="false">TEXT(C1734,"mmmm")</f>
        <v>May</v>
      </c>
      <c r="Y1734" s="3" t="str">
        <f aca="false">LEFT(G1734,1)&amp;MID(G1734,FIND(" ",G1734)+1,1)</f>
        <v>AW</v>
      </c>
    </row>
    <row r="1735" customFormat="false" ht="15" hidden="false" customHeight="false" outlineLevel="0" collapsed="false">
      <c r="A1735" s="3" t="n">
        <v>1734</v>
      </c>
      <c r="B1735" s="3" t="s">
        <v>3675</v>
      </c>
      <c r="C1735" s="4" t="s">
        <v>3676</v>
      </c>
      <c r="D1735" s="4" t="s">
        <v>3677</v>
      </c>
      <c r="E1735" s="3" t="s">
        <v>28</v>
      </c>
      <c r="F1735" s="3" t="s">
        <v>1459</v>
      </c>
      <c r="G1735" s="3" t="s">
        <v>1460</v>
      </c>
      <c r="H1735" s="3" t="s">
        <v>31</v>
      </c>
      <c r="I1735" s="3" t="s">
        <v>32</v>
      </c>
      <c r="J1735" s="3" t="s">
        <v>476</v>
      </c>
      <c r="K1735" s="3" t="s">
        <v>366</v>
      </c>
      <c r="L1735" s="3" t="s">
        <v>157</v>
      </c>
      <c r="M1735" s="3" t="s">
        <v>48</v>
      </c>
      <c r="N1735" s="3" t="s">
        <v>49</v>
      </c>
      <c r="O1735" s="3" t="s">
        <v>50</v>
      </c>
      <c r="P1735" s="3" t="s">
        <v>51</v>
      </c>
      <c r="Q1735" s="5" t="n">
        <v>482.28</v>
      </c>
      <c r="R1735" s="3" t="n">
        <v>10</v>
      </c>
      <c r="S1735" s="6" t="n">
        <v>0</v>
      </c>
      <c r="T1735" s="5" t="n">
        <v>135.78</v>
      </c>
      <c r="U1735" s="3" t="str">
        <f aca="false">IF(T1735&lt;0,"Loss",IF(T1735=0,"Break-even","Profit"))</f>
        <v>Profit</v>
      </c>
      <c r="V1735" s="3" t="str">
        <f aca="false">IF(Q1735&lt;100,"Low",IF(Q1735&lt;=500,"Medium","High"))</f>
        <v>Medium</v>
      </c>
      <c r="W1735" s="3" t="n">
        <f aca="false">D1735-C1735</f>
        <v>6</v>
      </c>
      <c r="X1735" s="3" t="str">
        <f aca="false">TEXT(C1735,"mmmm")</f>
        <v>May</v>
      </c>
      <c r="Y1735" s="3" t="str">
        <f aca="false">LEFT(G1735,1)&amp;MID(G1735,FIND(" ",G1735)+1,1)</f>
        <v>AS</v>
      </c>
    </row>
    <row r="1736" customFormat="false" ht="15" hidden="false" customHeight="false" outlineLevel="0" collapsed="false">
      <c r="A1736" s="3" t="n">
        <v>1735</v>
      </c>
      <c r="B1736" s="3" t="s">
        <v>3678</v>
      </c>
      <c r="C1736" s="4" t="s">
        <v>3673</v>
      </c>
      <c r="D1736" s="4" t="s">
        <v>3677</v>
      </c>
      <c r="E1736" s="3" t="s">
        <v>28</v>
      </c>
      <c r="F1736" s="3" t="s">
        <v>536</v>
      </c>
      <c r="G1736" s="3" t="s">
        <v>537</v>
      </c>
      <c r="H1736" s="3" t="s">
        <v>45</v>
      </c>
      <c r="I1736" s="3" t="s">
        <v>32</v>
      </c>
      <c r="J1736" s="3" t="s">
        <v>171</v>
      </c>
      <c r="K1736" s="3" t="s">
        <v>172</v>
      </c>
      <c r="L1736" s="3" t="s">
        <v>157</v>
      </c>
      <c r="M1736" s="3" t="s">
        <v>209</v>
      </c>
      <c r="N1736" s="3" t="s">
        <v>49</v>
      </c>
      <c r="O1736" s="3" t="s">
        <v>106</v>
      </c>
      <c r="P1736" s="3" t="s">
        <v>210</v>
      </c>
      <c r="Q1736" s="5" t="n">
        <v>20.08</v>
      </c>
      <c r="R1736" s="3" t="n">
        <v>8</v>
      </c>
      <c r="S1736" s="6" t="n">
        <v>0.1</v>
      </c>
      <c r="T1736" s="5" t="n">
        <v>-0.25</v>
      </c>
      <c r="U1736" s="3" t="str">
        <f aca="false">IF(T1736&lt;0,"Loss",IF(T1736=0,"Break-even","Profit"))</f>
        <v>Loss</v>
      </c>
      <c r="V1736" s="3" t="str">
        <f aca="false">IF(Q1736&lt;100,"Low",IF(Q1736&lt;=500,"Medium","High"))</f>
        <v>Low</v>
      </c>
      <c r="W1736" s="3" t="n">
        <f aca="false">D1736-C1736</f>
        <v>5</v>
      </c>
      <c r="X1736" s="3" t="str">
        <f aca="false">TEXT(C1736,"mmmm")</f>
        <v>May</v>
      </c>
      <c r="Y1736" s="3" t="str">
        <f aca="false">LEFT(G1736,1)&amp;MID(G1736,FIND(" ",G1736)+1,1)</f>
        <v>EB</v>
      </c>
    </row>
    <row r="1737" customFormat="false" ht="15" hidden="false" customHeight="false" outlineLevel="0" collapsed="false">
      <c r="A1737" s="3" t="n">
        <v>1736</v>
      </c>
      <c r="B1737" s="3" t="s">
        <v>3679</v>
      </c>
      <c r="C1737" s="4" t="s">
        <v>3673</v>
      </c>
      <c r="D1737" s="4" t="s">
        <v>3680</v>
      </c>
      <c r="E1737" s="3" t="s">
        <v>84</v>
      </c>
      <c r="F1737" s="3" t="s">
        <v>644</v>
      </c>
      <c r="G1737" s="3" t="s">
        <v>645</v>
      </c>
      <c r="H1737" s="3" t="s">
        <v>31</v>
      </c>
      <c r="I1737" s="3" t="s">
        <v>32</v>
      </c>
      <c r="J1737" s="3" t="s">
        <v>67</v>
      </c>
      <c r="K1737" s="3" t="s">
        <v>68</v>
      </c>
      <c r="L1737" s="3" t="s">
        <v>69</v>
      </c>
      <c r="M1737" s="3" t="s">
        <v>114</v>
      </c>
      <c r="N1737" s="3" t="s">
        <v>49</v>
      </c>
      <c r="O1737" s="3" t="s">
        <v>61</v>
      </c>
      <c r="P1737" s="3" t="s">
        <v>115</v>
      </c>
      <c r="Q1737" s="5" t="n">
        <v>106.53</v>
      </c>
      <c r="R1737" s="3" t="n">
        <v>1</v>
      </c>
      <c r="S1737" s="6" t="n">
        <v>0</v>
      </c>
      <c r="T1737" s="5" t="n">
        <v>25.11</v>
      </c>
      <c r="U1737" s="3" t="str">
        <f aca="false">IF(T1737&lt;0,"Loss",IF(T1737=0,"Break-even","Profit"))</f>
        <v>Profit</v>
      </c>
      <c r="V1737" s="3" t="str">
        <f aca="false">IF(Q1737&lt;100,"Low",IF(Q1737&lt;=500,"Medium","High"))</f>
        <v>Medium</v>
      </c>
      <c r="W1737" s="3" t="n">
        <f aca="false">D1737-C1737</f>
        <v>2</v>
      </c>
      <c r="X1737" s="3" t="str">
        <f aca="false">TEXT(C1737,"mmmm")</f>
        <v>May</v>
      </c>
      <c r="Y1737" s="3" t="str">
        <f aca="false">LEFT(G1737,1)&amp;MID(G1737,FIND(" ",G1737)+1,1)</f>
        <v>LJ</v>
      </c>
    </row>
    <row r="1738" customFormat="false" ht="15" hidden="false" customHeight="false" outlineLevel="0" collapsed="false">
      <c r="A1738" s="3" t="n">
        <v>1737</v>
      </c>
      <c r="B1738" s="3" t="s">
        <v>3681</v>
      </c>
      <c r="C1738" s="4" t="s">
        <v>3673</v>
      </c>
      <c r="D1738" s="4" t="s">
        <v>3682</v>
      </c>
      <c r="E1738" s="3" t="s">
        <v>28</v>
      </c>
      <c r="F1738" s="3" t="s">
        <v>2079</v>
      </c>
      <c r="G1738" s="3" t="s">
        <v>2080</v>
      </c>
      <c r="H1738" s="3" t="s">
        <v>31</v>
      </c>
      <c r="I1738" s="3" t="s">
        <v>32</v>
      </c>
      <c r="J1738" s="3" t="s">
        <v>155</v>
      </c>
      <c r="K1738" s="3" t="s">
        <v>156</v>
      </c>
      <c r="L1738" s="3" t="s">
        <v>157</v>
      </c>
      <c r="M1738" s="3" t="s">
        <v>237</v>
      </c>
      <c r="N1738" s="3" t="s">
        <v>49</v>
      </c>
      <c r="O1738" s="3" t="s">
        <v>220</v>
      </c>
      <c r="P1738" s="3" t="s">
        <v>238</v>
      </c>
      <c r="Q1738" s="5" t="n">
        <v>687.02</v>
      </c>
      <c r="R1738" s="3" t="n">
        <v>14</v>
      </c>
      <c r="S1738" s="6" t="n">
        <v>0.1</v>
      </c>
      <c r="T1738" s="5" t="n">
        <v>142.19</v>
      </c>
      <c r="U1738" s="3" t="str">
        <f aca="false">IF(T1738&lt;0,"Loss",IF(T1738=0,"Break-even","Profit"))</f>
        <v>Profit</v>
      </c>
      <c r="V1738" s="3" t="str">
        <f aca="false">IF(Q1738&lt;100,"Low",IF(Q1738&lt;=500,"Medium","High"))</f>
        <v>High</v>
      </c>
      <c r="W1738" s="3" t="n">
        <f aca="false">D1738-C1738</f>
        <v>6</v>
      </c>
      <c r="X1738" s="3" t="str">
        <f aca="false">TEXT(C1738,"mmmm")</f>
        <v>May</v>
      </c>
      <c r="Y1738" s="3" t="str">
        <f aca="false">LEFT(G1738,1)&amp;MID(G1738,FIND(" ",G1738)+1,1)</f>
        <v>LD</v>
      </c>
    </row>
    <row r="1739" customFormat="false" ht="15" hidden="false" customHeight="false" outlineLevel="0" collapsed="false">
      <c r="A1739" s="3" t="n">
        <v>1738</v>
      </c>
      <c r="B1739" s="3" t="s">
        <v>3683</v>
      </c>
      <c r="C1739" s="4" t="s">
        <v>3673</v>
      </c>
      <c r="D1739" s="4" t="s">
        <v>3684</v>
      </c>
      <c r="E1739" s="3" t="s">
        <v>28</v>
      </c>
      <c r="F1739" s="3" t="s">
        <v>2490</v>
      </c>
      <c r="G1739" s="3" t="s">
        <v>2491</v>
      </c>
      <c r="H1739" s="3" t="s">
        <v>56</v>
      </c>
      <c r="I1739" s="3" t="s">
        <v>32</v>
      </c>
      <c r="J1739" s="3" t="s">
        <v>679</v>
      </c>
      <c r="K1739" s="3" t="s">
        <v>202</v>
      </c>
      <c r="L1739" s="3" t="s">
        <v>35</v>
      </c>
      <c r="M1739" s="3" t="s">
        <v>79</v>
      </c>
      <c r="N1739" s="3" t="s">
        <v>49</v>
      </c>
      <c r="O1739" s="3" t="s">
        <v>80</v>
      </c>
      <c r="P1739" s="3" t="s">
        <v>81</v>
      </c>
      <c r="Q1739" s="5" t="n">
        <v>639.55</v>
      </c>
      <c r="R1739" s="3" t="n">
        <v>12</v>
      </c>
      <c r="S1739" s="6" t="n">
        <v>0.1</v>
      </c>
      <c r="T1739" s="5" t="n">
        <v>120.54</v>
      </c>
      <c r="U1739" s="3" t="str">
        <f aca="false">IF(T1739&lt;0,"Loss",IF(T1739=0,"Break-even","Profit"))</f>
        <v>Profit</v>
      </c>
      <c r="V1739" s="3" t="str">
        <f aca="false">IF(Q1739&lt;100,"Low",IF(Q1739&lt;=500,"Medium","High"))</f>
        <v>High</v>
      </c>
      <c r="W1739" s="3" t="n">
        <f aca="false">D1739-C1739</f>
        <v>3</v>
      </c>
      <c r="X1739" s="3" t="str">
        <f aca="false">TEXT(C1739,"mmmm")</f>
        <v>May</v>
      </c>
      <c r="Y1739" s="3" t="str">
        <f aca="false">LEFT(G1739,1)&amp;MID(G1739,FIND(" ",G1739)+1,1)</f>
        <v>RM</v>
      </c>
    </row>
    <row r="1740" customFormat="false" ht="15" hidden="false" customHeight="false" outlineLevel="0" collapsed="false">
      <c r="A1740" s="3" t="n">
        <v>1739</v>
      </c>
      <c r="B1740" s="3" t="s">
        <v>3685</v>
      </c>
      <c r="C1740" s="4" t="s">
        <v>3673</v>
      </c>
      <c r="D1740" s="4" t="s">
        <v>3684</v>
      </c>
      <c r="E1740" s="3" t="s">
        <v>84</v>
      </c>
      <c r="F1740" s="3" t="s">
        <v>2337</v>
      </c>
      <c r="G1740" s="3" t="s">
        <v>2338</v>
      </c>
      <c r="H1740" s="3" t="s">
        <v>56</v>
      </c>
      <c r="I1740" s="3" t="s">
        <v>32</v>
      </c>
      <c r="J1740" s="3" t="s">
        <v>737</v>
      </c>
      <c r="K1740" s="3" t="s">
        <v>307</v>
      </c>
      <c r="L1740" s="3" t="s">
        <v>69</v>
      </c>
      <c r="M1740" s="3" t="s">
        <v>135</v>
      </c>
      <c r="N1740" s="3" t="s">
        <v>37</v>
      </c>
      <c r="O1740" s="3" t="s">
        <v>136</v>
      </c>
      <c r="P1740" s="3" t="s">
        <v>137</v>
      </c>
      <c r="Q1740" s="5" t="n">
        <v>397.47</v>
      </c>
      <c r="R1740" s="3" t="n">
        <v>5</v>
      </c>
      <c r="S1740" s="6" t="n">
        <v>0.1</v>
      </c>
      <c r="T1740" s="5" t="n">
        <v>34.14</v>
      </c>
      <c r="U1740" s="3" t="str">
        <f aca="false">IF(T1740&lt;0,"Loss",IF(T1740=0,"Break-even","Profit"))</f>
        <v>Profit</v>
      </c>
      <c r="V1740" s="3" t="str">
        <f aca="false">IF(Q1740&lt;100,"Low",IF(Q1740&lt;=500,"Medium","High"))</f>
        <v>Medium</v>
      </c>
      <c r="W1740" s="3" t="n">
        <f aca="false">D1740-C1740</f>
        <v>3</v>
      </c>
      <c r="X1740" s="3" t="str">
        <f aca="false">TEXT(C1740,"mmmm")</f>
        <v>May</v>
      </c>
      <c r="Y1740" s="3" t="str">
        <f aca="false">LEFT(G1740,1)&amp;MID(G1740,FIND(" ",G1740)+1,1)</f>
        <v>WN</v>
      </c>
    </row>
    <row r="1741" customFormat="false" ht="15" hidden="false" customHeight="false" outlineLevel="0" collapsed="false">
      <c r="A1741" s="3" t="n">
        <v>1740</v>
      </c>
      <c r="B1741" s="3" t="s">
        <v>3686</v>
      </c>
      <c r="C1741" s="4" t="s">
        <v>3687</v>
      </c>
      <c r="D1741" s="4" t="s">
        <v>3682</v>
      </c>
      <c r="E1741" s="3" t="s">
        <v>28</v>
      </c>
      <c r="F1741" s="3" t="s">
        <v>752</v>
      </c>
      <c r="G1741" s="3" t="s">
        <v>753</v>
      </c>
      <c r="H1741" s="3" t="s">
        <v>56</v>
      </c>
      <c r="I1741" s="3" t="s">
        <v>32</v>
      </c>
      <c r="J1741" s="3" t="s">
        <v>243</v>
      </c>
      <c r="K1741" s="3" t="s">
        <v>244</v>
      </c>
      <c r="L1741" s="3" t="s">
        <v>157</v>
      </c>
      <c r="M1741" s="3" t="s">
        <v>347</v>
      </c>
      <c r="N1741" s="3" t="s">
        <v>49</v>
      </c>
      <c r="O1741" s="3" t="s">
        <v>220</v>
      </c>
      <c r="P1741" s="3" t="s">
        <v>348</v>
      </c>
      <c r="Q1741" s="5" t="n">
        <v>45.31</v>
      </c>
      <c r="R1741" s="3" t="n">
        <v>1</v>
      </c>
      <c r="S1741" s="6" t="n">
        <v>0.1</v>
      </c>
      <c r="T1741" s="5" t="n">
        <v>-2.1</v>
      </c>
      <c r="U1741" s="3" t="str">
        <f aca="false">IF(T1741&lt;0,"Loss",IF(T1741=0,"Break-even","Profit"))</f>
        <v>Loss</v>
      </c>
      <c r="V1741" s="3" t="str">
        <f aca="false">IF(Q1741&lt;100,"Low",IF(Q1741&lt;=500,"Medium","High"))</f>
        <v>Low</v>
      </c>
      <c r="W1741" s="3" t="n">
        <f aca="false">D1741-C1741</f>
        <v>5</v>
      </c>
      <c r="X1741" s="3" t="str">
        <f aca="false">TEXT(C1741,"mmmm")</f>
        <v>May</v>
      </c>
      <c r="Y1741" s="3" t="str">
        <f aca="false">LEFT(G1741,1)&amp;MID(G1741,FIND(" ",G1741)+1,1)</f>
        <v>DM</v>
      </c>
    </row>
    <row r="1742" customFormat="false" ht="15" hidden="false" customHeight="false" outlineLevel="0" collapsed="false">
      <c r="A1742" s="3" t="n">
        <v>1741</v>
      </c>
      <c r="B1742" s="3" t="s">
        <v>3688</v>
      </c>
      <c r="C1742" s="4" t="s">
        <v>3680</v>
      </c>
      <c r="D1742" s="4" t="s">
        <v>3689</v>
      </c>
      <c r="E1742" s="3" t="s">
        <v>28</v>
      </c>
      <c r="F1742" s="3" t="s">
        <v>327</v>
      </c>
      <c r="G1742" s="3" t="s">
        <v>328</v>
      </c>
      <c r="H1742" s="3" t="s">
        <v>56</v>
      </c>
      <c r="I1742" s="3" t="s">
        <v>32</v>
      </c>
      <c r="J1742" s="3" t="s">
        <v>252</v>
      </c>
      <c r="K1742" s="3" t="s">
        <v>172</v>
      </c>
      <c r="L1742" s="3" t="s">
        <v>157</v>
      </c>
      <c r="M1742" s="3" t="s">
        <v>290</v>
      </c>
      <c r="N1742" s="3" t="s">
        <v>37</v>
      </c>
      <c r="O1742" s="3" t="s">
        <v>38</v>
      </c>
      <c r="P1742" s="3" t="s">
        <v>291</v>
      </c>
      <c r="Q1742" s="5" t="n">
        <v>8969.11</v>
      </c>
      <c r="R1742" s="3" t="n">
        <v>6</v>
      </c>
      <c r="S1742" s="6" t="n">
        <v>0</v>
      </c>
      <c r="T1742" s="5" t="n">
        <v>-1076.67</v>
      </c>
      <c r="U1742" s="3" t="str">
        <f aca="false">IF(T1742&lt;0,"Loss",IF(T1742=0,"Break-even","Profit"))</f>
        <v>Loss</v>
      </c>
      <c r="V1742" s="3" t="str">
        <f aca="false">IF(Q1742&lt;100,"Low",IF(Q1742&lt;=500,"Medium","High"))</f>
        <v>High</v>
      </c>
      <c r="W1742" s="3" t="n">
        <f aca="false">D1742-C1742</f>
        <v>7</v>
      </c>
      <c r="X1742" s="3" t="str">
        <f aca="false">TEXT(C1742,"mmmm")</f>
        <v>May</v>
      </c>
      <c r="Y1742" s="3" t="str">
        <f aca="false">LEFT(G1742,1)&amp;MID(G1742,FIND(" ",G1742)+1,1)</f>
        <v>EW</v>
      </c>
    </row>
    <row r="1743" customFormat="false" ht="15" hidden="false" customHeight="false" outlineLevel="0" collapsed="false">
      <c r="A1743" s="3" t="n">
        <v>1742</v>
      </c>
      <c r="B1743" s="3" t="s">
        <v>3690</v>
      </c>
      <c r="C1743" s="4" t="s">
        <v>3684</v>
      </c>
      <c r="D1743" s="4" t="s">
        <v>3682</v>
      </c>
      <c r="E1743" s="3" t="s">
        <v>28</v>
      </c>
      <c r="F1743" s="3" t="s">
        <v>241</v>
      </c>
      <c r="G1743" s="3" t="s">
        <v>242</v>
      </c>
      <c r="H1743" s="3" t="s">
        <v>56</v>
      </c>
      <c r="I1743" s="3" t="s">
        <v>32</v>
      </c>
      <c r="J1743" s="3" t="s">
        <v>873</v>
      </c>
      <c r="K1743" s="3" t="s">
        <v>387</v>
      </c>
      <c r="L1743" s="3" t="s">
        <v>35</v>
      </c>
      <c r="M1743" s="3" t="s">
        <v>219</v>
      </c>
      <c r="N1743" s="3" t="s">
        <v>49</v>
      </c>
      <c r="O1743" s="3" t="s">
        <v>220</v>
      </c>
      <c r="P1743" s="3" t="s">
        <v>221</v>
      </c>
      <c r="Q1743" s="5" t="n">
        <v>443.7</v>
      </c>
      <c r="R1743" s="3" t="n">
        <v>9</v>
      </c>
      <c r="S1743" s="6" t="n">
        <v>0</v>
      </c>
      <c r="T1743" s="5" t="n">
        <v>-68.33</v>
      </c>
      <c r="U1743" s="3" t="str">
        <f aca="false">IF(T1743&lt;0,"Loss",IF(T1743=0,"Break-even","Profit"))</f>
        <v>Loss</v>
      </c>
      <c r="V1743" s="3" t="str">
        <f aca="false">IF(Q1743&lt;100,"Low",IF(Q1743&lt;=500,"Medium","High"))</f>
        <v>Medium</v>
      </c>
      <c r="W1743" s="3" t="n">
        <f aca="false">D1743-C1743</f>
        <v>3</v>
      </c>
      <c r="X1743" s="3" t="str">
        <f aca="false">TEXT(C1743,"mmmm")</f>
        <v>May</v>
      </c>
      <c r="Y1743" s="3" t="str">
        <f aca="false">LEFT(G1743,1)&amp;MID(G1743,FIND(" ",G1743)+1,1)</f>
        <v>AC</v>
      </c>
    </row>
    <row r="1744" customFormat="false" ht="15" hidden="false" customHeight="false" outlineLevel="0" collapsed="false">
      <c r="A1744" s="3" t="n">
        <v>1743</v>
      </c>
      <c r="B1744" s="3" t="s">
        <v>3691</v>
      </c>
      <c r="C1744" s="4" t="s">
        <v>3692</v>
      </c>
      <c r="D1744" s="4" t="s">
        <v>3693</v>
      </c>
      <c r="E1744" s="3" t="s">
        <v>28</v>
      </c>
      <c r="F1744" s="3" t="s">
        <v>934</v>
      </c>
      <c r="G1744" s="3" t="s">
        <v>935</v>
      </c>
      <c r="H1744" s="3" t="s">
        <v>31</v>
      </c>
      <c r="I1744" s="3" t="s">
        <v>32</v>
      </c>
      <c r="J1744" s="3" t="s">
        <v>87</v>
      </c>
      <c r="K1744" s="3" t="s">
        <v>68</v>
      </c>
      <c r="L1744" s="3" t="s">
        <v>69</v>
      </c>
      <c r="M1744" s="3" t="s">
        <v>347</v>
      </c>
      <c r="N1744" s="3" t="s">
        <v>49</v>
      </c>
      <c r="O1744" s="3" t="s">
        <v>220</v>
      </c>
      <c r="P1744" s="3" t="s">
        <v>348</v>
      </c>
      <c r="Q1744" s="5" t="n">
        <v>674.15</v>
      </c>
      <c r="R1744" s="3" t="n">
        <v>11</v>
      </c>
      <c r="S1744" s="6" t="n">
        <v>0.1</v>
      </c>
      <c r="T1744" s="5" t="n">
        <v>62.09</v>
      </c>
      <c r="U1744" s="3" t="str">
        <f aca="false">IF(T1744&lt;0,"Loss",IF(T1744=0,"Break-even","Profit"))</f>
        <v>Profit</v>
      </c>
      <c r="V1744" s="3" t="str">
        <f aca="false">IF(Q1744&lt;100,"Low",IF(Q1744&lt;=500,"Medium","High"))</f>
        <v>High</v>
      </c>
      <c r="W1744" s="3" t="n">
        <f aca="false">D1744-C1744</f>
        <v>4</v>
      </c>
      <c r="X1744" s="3" t="str">
        <f aca="false">TEXT(C1744,"mmmm")</f>
        <v>May</v>
      </c>
      <c r="Y1744" s="3" t="str">
        <f aca="false">LEFT(G1744,1)&amp;MID(G1744,FIND(" ",G1744)+1,1)</f>
        <v>PN</v>
      </c>
    </row>
    <row r="1745" customFormat="false" ht="15" hidden="false" customHeight="false" outlineLevel="0" collapsed="false">
      <c r="A1745" s="3" t="n">
        <v>1744</v>
      </c>
      <c r="B1745" s="3" t="s">
        <v>3694</v>
      </c>
      <c r="C1745" s="4" t="s">
        <v>3682</v>
      </c>
      <c r="D1745" s="4" t="s">
        <v>3695</v>
      </c>
      <c r="E1745" s="3" t="s">
        <v>84</v>
      </c>
      <c r="F1745" s="3" t="s">
        <v>454</v>
      </c>
      <c r="G1745" s="3" t="s">
        <v>455</v>
      </c>
      <c r="H1745" s="3" t="s">
        <v>45</v>
      </c>
      <c r="I1745" s="3" t="s">
        <v>32</v>
      </c>
      <c r="J1745" s="3" t="s">
        <v>112</v>
      </c>
      <c r="K1745" s="3" t="s">
        <v>113</v>
      </c>
      <c r="L1745" s="3" t="s">
        <v>69</v>
      </c>
      <c r="M1745" s="3" t="s">
        <v>269</v>
      </c>
      <c r="N1745" s="3" t="s">
        <v>89</v>
      </c>
      <c r="O1745" s="3" t="s">
        <v>174</v>
      </c>
      <c r="P1745" s="3" t="s">
        <v>270</v>
      </c>
      <c r="Q1745" s="5" t="n">
        <v>10000.26</v>
      </c>
      <c r="R1745" s="3" t="n">
        <v>14</v>
      </c>
      <c r="S1745" s="6" t="n">
        <v>0.5</v>
      </c>
      <c r="T1745" s="5" t="n">
        <v>-955.93</v>
      </c>
      <c r="U1745" s="3" t="str">
        <f aca="false">IF(T1745&lt;0,"Loss",IF(T1745=0,"Break-even","Profit"))</f>
        <v>Loss</v>
      </c>
      <c r="V1745" s="3" t="str">
        <f aca="false">IF(Q1745&lt;100,"Low",IF(Q1745&lt;=500,"Medium","High"))</f>
        <v>High</v>
      </c>
      <c r="W1745" s="3" t="n">
        <f aca="false">D1745-C1745</f>
        <v>4</v>
      </c>
      <c r="X1745" s="3" t="str">
        <f aca="false">TEXT(C1745,"mmmm")</f>
        <v>May</v>
      </c>
      <c r="Y1745" s="3" t="str">
        <f aca="false">LEFT(G1745,1)&amp;MID(G1745,FIND(" ",G1745)+1,1)</f>
        <v>OD</v>
      </c>
    </row>
    <row r="1746" customFormat="false" ht="15" hidden="false" customHeight="false" outlineLevel="0" collapsed="false">
      <c r="A1746" s="3" t="n">
        <v>1745</v>
      </c>
      <c r="B1746" s="3" t="s">
        <v>3696</v>
      </c>
      <c r="C1746" s="4" t="s">
        <v>3682</v>
      </c>
      <c r="D1746" s="4" t="s">
        <v>3689</v>
      </c>
      <c r="E1746" s="3" t="s">
        <v>28</v>
      </c>
      <c r="F1746" s="3" t="s">
        <v>1099</v>
      </c>
      <c r="G1746" s="3" t="s">
        <v>1100</v>
      </c>
      <c r="H1746" s="3" t="s">
        <v>45</v>
      </c>
      <c r="I1746" s="3" t="s">
        <v>32</v>
      </c>
      <c r="J1746" s="3" t="s">
        <v>663</v>
      </c>
      <c r="K1746" s="3" t="s">
        <v>307</v>
      </c>
      <c r="L1746" s="3" t="s">
        <v>69</v>
      </c>
      <c r="M1746" s="3" t="s">
        <v>121</v>
      </c>
      <c r="N1746" s="3" t="s">
        <v>49</v>
      </c>
      <c r="O1746" s="3" t="s">
        <v>50</v>
      </c>
      <c r="P1746" s="3" t="s">
        <v>122</v>
      </c>
      <c r="Q1746" s="5" t="n">
        <v>281.47</v>
      </c>
      <c r="R1746" s="3" t="n">
        <v>3</v>
      </c>
      <c r="S1746" s="6" t="n">
        <v>0.4</v>
      </c>
      <c r="T1746" s="5" t="n">
        <v>-59.37</v>
      </c>
      <c r="U1746" s="3" t="str">
        <f aca="false">IF(T1746&lt;0,"Loss",IF(T1746=0,"Break-even","Profit"))</f>
        <v>Loss</v>
      </c>
      <c r="V1746" s="3" t="str">
        <f aca="false">IF(Q1746&lt;100,"Low",IF(Q1746&lt;=500,"Medium","High"))</f>
        <v>Medium</v>
      </c>
      <c r="W1746" s="3" t="n">
        <f aca="false">D1746-C1746</f>
        <v>3</v>
      </c>
      <c r="X1746" s="3" t="str">
        <f aca="false">TEXT(C1746,"mmmm")</f>
        <v>May</v>
      </c>
      <c r="Y1746" s="3" t="str">
        <f aca="false">LEFT(G1746,1)&amp;MID(G1746,FIND(" ",G1746)+1,1)</f>
        <v>JK</v>
      </c>
    </row>
    <row r="1747" customFormat="false" ht="15" hidden="false" customHeight="false" outlineLevel="0" collapsed="false">
      <c r="A1747" s="3" t="n">
        <v>1746</v>
      </c>
      <c r="B1747" s="3" t="s">
        <v>3697</v>
      </c>
      <c r="C1747" s="4" t="s">
        <v>3693</v>
      </c>
      <c r="D1747" s="4" t="s">
        <v>3698</v>
      </c>
      <c r="E1747" s="3" t="s">
        <v>28</v>
      </c>
      <c r="F1747" s="3" t="s">
        <v>102</v>
      </c>
      <c r="G1747" s="3" t="s">
        <v>103</v>
      </c>
      <c r="H1747" s="3" t="s">
        <v>56</v>
      </c>
      <c r="I1747" s="3" t="s">
        <v>32</v>
      </c>
      <c r="J1747" s="3" t="s">
        <v>188</v>
      </c>
      <c r="K1747" s="3" t="s">
        <v>189</v>
      </c>
      <c r="L1747" s="3" t="s">
        <v>59</v>
      </c>
      <c r="M1747" s="3" t="s">
        <v>470</v>
      </c>
      <c r="N1747" s="3" t="s">
        <v>49</v>
      </c>
      <c r="O1747" s="3" t="s">
        <v>159</v>
      </c>
      <c r="P1747" s="3" t="s">
        <v>471</v>
      </c>
      <c r="Q1747" s="5" t="n">
        <v>298</v>
      </c>
      <c r="R1747" s="3" t="n">
        <v>6</v>
      </c>
      <c r="S1747" s="6" t="n">
        <v>0.2</v>
      </c>
      <c r="T1747" s="5" t="n">
        <v>-67.97</v>
      </c>
      <c r="U1747" s="3" t="str">
        <f aca="false">IF(T1747&lt;0,"Loss",IF(T1747=0,"Break-even","Profit"))</f>
        <v>Loss</v>
      </c>
      <c r="V1747" s="3" t="str">
        <f aca="false">IF(Q1747&lt;100,"Low",IF(Q1747&lt;=500,"Medium","High"))</f>
        <v>Medium</v>
      </c>
      <c r="W1747" s="3" t="n">
        <f aca="false">D1747-C1747</f>
        <v>6</v>
      </c>
      <c r="X1747" s="3" t="str">
        <f aca="false">TEXT(C1747,"mmmm")</f>
        <v>May</v>
      </c>
      <c r="Y1747" s="3" t="str">
        <f aca="false">LEFT(G1747,1)&amp;MID(G1747,FIND(" ",G1747)+1,1)</f>
        <v>LA</v>
      </c>
    </row>
    <row r="1748" customFormat="false" ht="15" hidden="false" customHeight="false" outlineLevel="0" collapsed="false">
      <c r="A1748" s="3" t="n">
        <v>1747</v>
      </c>
      <c r="B1748" s="3" t="s">
        <v>3494</v>
      </c>
      <c r="C1748" s="4" t="s">
        <v>3689</v>
      </c>
      <c r="D1748" s="4" t="s">
        <v>3699</v>
      </c>
      <c r="E1748" s="3" t="s">
        <v>42</v>
      </c>
      <c r="F1748" s="3" t="s">
        <v>1369</v>
      </c>
      <c r="G1748" s="3" t="s">
        <v>1370</v>
      </c>
      <c r="H1748" s="3" t="s">
        <v>56</v>
      </c>
      <c r="I1748" s="3" t="s">
        <v>32</v>
      </c>
      <c r="J1748" s="3" t="s">
        <v>46</v>
      </c>
      <c r="K1748" s="3" t="s">
        <v>47</v>
      </c>
      <c r="L1748" s="3" t="s">
        <v>35</v>
      </c>
      <c r="M1748" s="3" t="s">
        <v>316</v>
      </c>
      <c r="N1748" s="3" t="s">
        <v>49</v>
      </c>
      <c r="O1748" s="3" t="s">
        <v>143</v>
      </c>
      <c r="P1748" s="3" t="s">
        <v>317</v>
      </c>
      <c r="Q1748" s="5" t="n">
        <v>800.25</v>
      </c>
      <c r="R1748" s="3" t="n">
        <v>13</v>
      </c>
      <c r="S1748" s="6" t="n">
        <v>0</v>
      </c>
      <c r="T1748" s="5" t="n">
        <v>-10.73</v>
      </c>
      <c r="U1748" s="3" t="str">
        <f aca="false">IF(T1748&lt;0,"Loss",IF(T1748=0,"Break-even","Profit"))</f>
        <v>Loss</v>
      </c>
      <c r="V1748" s="3" t="str">
        <f aca="false">IF(Q1748&lt;100,"Low",IF(Q1748&lt;=500,"Medium","High"))</f>
        <v>High</v>
      </c>
      <c r="W1748" s="3" t="n">
        <f aca="false">D1748-C1748</f>
        <v>2</v>
      </c>
      <c r="X1748" s="3" t="str">
        <f aca="false">TEXT(C1748,"mmmm")</f>
        <v>May</v>
      </c>
      <c r="Y1748" s="3" t="str">
        <f aca="false">LEFT(G1748,1)&amp;MID(G1748,FIND(" ",G1748)+1,1)</f>
        <v>WN</v>
      </c>
    </row>
    <row r="1749" customFormat="false" ht="15" hidden="false" customHeight="false" outlineLevel="0" collapsed="false">
      <c r="A1749" s="3" t="n">
        <v>1748</v>
      </c>
      <c r="B1749" s="3" t="s">
        <v>3700</v>
      </c>
      <c r="C1749" s="4" t="s">
        <v>3701</v>
      </c>
      <c r="D1749" s="4" t="s">
        <v>3702</v>
      </c>
      <c r="E1749" s="3" t="s">
        <v>84</v>
      </c>
      <c r="F1749" s="3" t="s">
        <v>1881</v>
      </c>
      <c r="G1749" s="3" t="s">
        <v>1882</v>
      </c>
      <c r="H1749" s="3" t="s">
        <v>31</v>
      </c>
      <c r="I1749" s="3" t="s">
        <v>32</v>
      </c>
      <c r="J1749" s="3" t="s">
        <v>67</v>
      </c>
      <c r="K1749" s="3" t="s">
        <v>68</v>
      </c>
      <c r="L1749" s="3" t="s">
        <v>69</v>
      </c>
      <c r="M1749" s="3" t="s">
        <v>60</v>
      </c>
      <c r="N1749" s="3" t="s">
        <v>49</v>
      </c>
      <c r="O1749" s="3" t="s">
        <v>61</v>
      </c>
      <c r="P1749" s="3" t="s">
        <v>62</v>
      </c>
      <c r="Q1749" s="5" t="n">
        <v>536.86</v>
      </c>
      <c r="R1749" s="3" t="n">
        <v>13</v>
      </c>
      <c r="S1749" s="6" t="n">
        <v>0.5</v>
      </c>
      <c r="T1749" s="5" t="n">
        <v>-66.77</v>
      </c>
      <c r="U1749" s="3" t="str">
        <f aca="false">IF(T1749&lt;0,"Loss",IF(T1749=0,"Break-even","Profit"))</f>
        <v>Loss</v>
      </c>
      <c r="V1749" s="3" t="str">
        <f aca="false">IF(Q1749&lt;100,"Low",IF(Q1749&lt;=500,"Medium","High"))</f>
        <v>High</v>
      </c>
      <c r="W1749" s="3" t="n">
        <f aca="false">D1749-C1749</f>
        <v>4</v>
      </c>
      <c r="X1749" s="3" t="str">
        <f aca="false">TEXT(C1749,"mmmm")</f>
        <v>May</v>
      </c>
      <c r="Y1749" s="3" t="str">
        <f aca="false">LEFT(G1749,1)&amp;MID(G1749,FIND(" ",G1749)+1,1)</f>
        <v>SD</v>
      </c>
    </row>
    <row r="1750" customFormat="false" ht="15" hidden="false" customHeight="false" outlineLevel="0" collapsed="false">
      <c r="A1750" s="3" t="n">
        <v>1749</v>
      </c>
      <c r="B1750" s="3" t="s">
        <v>3703</v>
      </c>
      <c r="C1750" s="4" t="s">
        <v>3701</v>
      </c>
      <c r="D1750" s="4" t="s">
        <v>3704</v>
      </c>
      <c r="E1750" s="3" t="s">
        <v>42</v>
      </c>
      <c r="F1750" s="3" t="s">
        <v>1788</v>
      </c>
      <c r="G1750" s="3" t="s">
        <v>1789</v>
      </c>
      <c r="H1750" s="3" t="s">
        <v>31</v>
      </c>
      <c r="I1750" s="3" t="s">
        <v>32</v>
      </c>
      <c r="J1750" s="3" t="s">
        <v>87</v>
      </c>
      <c r="K1750" s="3" t="s">
        <v>68</v>
      </c>
      <c r="L1750" s="3" t="s">
        <v>69</v>
      </c>
      <c r="M1750" s="3" t="s">
        <v>70</v>
      </c>
      <c r="N1750" s="3" t="s">
        <v>37</v>
      </c>
      <c r="O1750" s="3" t="s">
        <v>71</v>
      </c>
      <c r="P1750" s="3" t="s">
        <v>72</v>
      </c>
      <c r="Q1750" s="5" t="n">
        <v>3279.02</v>
      </c>
      <c r="R1750" s="3" t="n">
        <v>11</v>
      </c>
      <c r="S1750" s="6" t="n">
        <v>0.3</v>
      </c>
      <c r="T1750" s="5" t="n">
        <v>-696.77</v>
      </c>
      <c r="U1750" s="3" t="str">
        <f aca="false">IF(T1750&lt;0,"Loss",IF(T1750=0,"Break-even","Profit"))</f>
        <v>Loss</v>
      </c>
      <c r="V1750" s="3" t="str">
        <f aca="false">IF(Q1750&lt;100,"Low",IF(Q1750&lt;=500,"Medium","High"))</f>
        <v>High</v>
      </c>
      <c r="W1750" s="3" t="n">
        <f aca="false">D1750-C1750</f>
        <v>1</v>
      </c>
      <c r="X1750" s="3" t="str">
        <f aca="false">TEXT(C1750,"mmmm")</f>
        <v>May</v>
      </c>
      <c r="Y1750" s="3" t="str">
        <f aca="false">LEFT(G1750,1)&amp;MID(G1750,FIND(" ",G1750)+1,1)</f>
        <v>EJ</v>
      </c>
    </row>
    <row r="1751" customFormat="false" ht="15" hidden="false" customHeight="false" outlineLevel="0" collapsed="false">
      <c r="A1751" s="3" t="n">
        <v>1750</v>
      </c>
      <c r="B1751" s="3" t="s">
        <v>3705</v>
      </c>
      <c r="C1751" s="4" t="s">
        <v>3701</v>
      </c>
      <c r="D1751" s="4" t="s">
        <v>3701</v>
      </c>
      <c r="E1751" s="3" t="s">
        <v>53</v>
      </c>
      <c r="F1751" s="3" t="s">
        <v>2473</v>
      </c>
      <c r="G1751" s="3" t="s">
        <v>2474</v>
      </c>
      <c r="H1751" s="3" t="s">
        <v>31</v>
      </c>
      <c r="I1751" s="3" t="s">
        <v>32</v>
      </c>
      <c r="J1751" s="3" t="s">
        <v>179</v>
      </c>
      <c r="K1751" s="3" t="s">
        <v>47</v>
      </c>
      <c r="L1751" s="3" t="s">
        <v>35</v>
      </c>
      <c r="M1751" s="3" t="s">
        <v>48</v>
      </c>
      <c r="N1751" s="3" t="s">
        <v>49</v>
      </c>
      <c r="O1751" s="3" t="s">
        <v>50</v>
      </c>
      <c r="P1751" s="3" t="s">
        <v>51</v>
      </c>
      <c r="Q1751" s="5" t="n">
        <v>75.31</v>
      </c>
      <c r="R1751" s="3" t="n">
        <v>10</v>
      </c>
      <c r="S1751" s="6" t="n">
        <v>0</v>
      </c>
      <c r="T1751" s="5" t="n">
        <v>5.3</v>
      </c>
      <c r="U1751" s="3" t="str">
        <f aca="false">IF(T1751&lt;0,"Loss",IF(T1751=0,"Break-even","Profit"))</f>
        <v>Profit</v>
      </c>
      <c r="V1751" s="3" t="str">
        <f aca="false">IF(Q1751&lt;100,"Low",IF(Q1751&lt;=500,"Medium","High"))</f>
        <v>Low</v>
      </c>
      <c r="W1751" s="3" t="n">
        <f aca="false">D1751-C1751</f>
        <v>0</v>
      </c>
      <c r="X1751" s="3" t="str">
        <f aca="false">TEXT(C1751,"mmmm")</f>
        <v>May</v>
      </c>
      <c r="Y1751" s="3" t="str">
        <f aca="false">LEFT(G1751,1)&amp;MID(G1751,FIND(" ",G1751)+1,1)</f>
        <v>MG</v>
      </c>
    </row>
    <row r="1752" customFormat="false" ht="15" hidden="false" customHeight="false" outlineLevel="0" collapsed="false">
      <c r="A1752" s="3" t="n">
        <v>1751</v>
      </c>
      <c r="B1752" s="3" t="s">
        <v>3706</v>
      </c>
      <c r="C1752" s="4" t="s">
        <v>3704</v>
      </c>
      <c r="D1752" s="4" t="s">
        <v>3698</v>
      </c>
      <c r="E1752" s="3" t="s">
        <v>42</v>
      </c>
      <c r="F1752" s="3" t="s">
        <v>891</v>
      </c>
      <c r="G1752" s="3" t="s">
        <v>892</v>
      </c>
      <c r="H1752" s="3" t="s">
        <v>56</v>
      </c>
      <c r="I1752" s="3" t="s">
        <v>32</v>
      </c>
      <c r="J1752" s="3" t="s">
        <v>329</v>
      </c>
      <c r="K1752" s="3" t="s">
        <v>156</v>
      </c>
      <c r="L1752" s="3" t="s">
        <v>157</v>
      </c>
      <c r="M1752" s="3" t="s">
        <v>404</v>
      </c>
      <c r="N1752" s="3" t="s">
        <v>89</v>
      </c>
      <c r="O1752" s="3" t="s">
        <v>166</v>
      </c>
      <c r="P1752" s="3" t="s">
        <v>405</v>
      </c>
      <c r="Q1752" s="5" t="n">
        <v>7474.67</v>
      </c>
      <c r="R1752" s="3" t="n">
        <v>10</v>
      </c>
      <c r="S1752" s="6" t="n">
        <v>0</v>
      </c>
      <c r="T1752" s="5" t="n">
        <v>1491.41</v>
      </c>
      <c r="U1752" s="3" t="str">
        <f aca="false">IF(T1752&lt;0,"Loss",IF(T1752=0,"Break-even","Profit"))</f>
        <v>Profit</v>
      </c>
      <c r="V1752" s="3" t="str">
        <f aca="false">IF(Q1752&lt;100,"Low",IF(Q1752&lt;=500,"Medium","High"))</f>
        <v>High</v>
      </c>
      <c r="W1752" s="3" t="n">
        <f aca="false">D1752-C1752</f>
        <v>1</v>
      </c>
      <c r="X1752" s="3" t="str">
        <f aca="false">TEXT(C1752,"mmmm")</f>
        <v>May</v>
      </c>
      <c r="Y1752" s="3" t="str">
        <f aca="false">LEFT(G1752,1)&amp;MID(G1752,FIND(" ",G1752)+1,1)</f>
        <v>MB</v>
      </c>
    </row>
    <row r="1753" customFormat="false" ht="15" hidden="false" customHeight="false" outlineLevel="0" collapsed="false">
      <c r="A1753" s="3" t="n">
        <v>1752</v>
      </c>
      <c r="B1753" s="3" t="s">
        <v>3707</v>
      </c>
      <c r="C1753" s="4" t="s">
        <v>3698</v>
      </c>
      <c r="D1753" s="4" t="s">
        <v>3702</v>
      </c>
      <c r="E1753" s="3" t="s">
        <v>84</v>
      </c>
      <c r="F1753" s="3" t="s">
        <v>1565</v>
      </c>
      <c r="G1753" s="3" t="s">
        <v>1566</v>
      </c>
      <c r="H1753" s="3" t="s">
        <v>45</v>
      </c>
      <c r="I1753" s="3" t="s">
        <v>32</v>
      </c>
      <c r="J1753" s="3" t="s">
        <v>171</v>
      </c>
      <c r="K1753" s="3" t="s">
        <v>172</v>
      </c>
      <c r="L1753" s="3" t="s">
        <v>157</v>
      </c>
      <c r="M1753" s="3" t="s">
        <v>70</v>
      </c>
      <c r="N1753" s="3" t="s">
        <v>37</v>
      </c>
      <c r="O1753" s="3" t="s">
        <v>71</v>
      </c>
      <c r="P1753" s="3" t="s">
        <v>72</v>
      </c>
      <c r="Q1753" s="5" t="n">
        <v>2716.34</v>
      </c>
      <c r="R1753" s="3" t="n">
        <v>2</v>
      </c>
      <c r="S1753" s="6" t="n">
        <v>0.1</v>
      </c>
      <c r="T1753" s="5" t="n">
        <v>-602.53</v>
      </c>
      <c r="U1753" s="3" t="str">
        <f aca="false">IF(T1753&lt;0,"Loss",IF(T1753=0,"Break-even","Profit"))</f>
        <v>Loss</v>
      </c>
      <c r="V1753" s="3" t="str">
        <f aca="false">IF(Q1753&lt;100,"Low",IF(Q1753&lt;=500,"Medium","High"))</f>
        <v>High</v>
      </c>
      <c r="W1753" s="3" t="n">
        <f aca="false">D1753-C1753</f>
        <v>2</v>
      </c>
      <c r="X1753" s="3" t="str">
        <f aca="false">TEXT(C1753,"mmmm")</f>
        <v>May</v>
      </c>
      <c r="Y1753" s="3" t="str">
        <f aca="false">LEFT(G1753,1)&amp;MID(G1753,FIND(" ",G1753)+1,1)</f>
        <v>RB</v>
      </c>
    </row>
    <row r="1754" customFormat="false" ht="15" hidden="false" customHeight="false" outlineLevel="0" collapsed="false">
      <c r="A1754" s="3" t="n">
        <v>1753</v>
      </c>
      <c r="B1754" s="3" t="s">
        <v>3708</v>
      </c>
      <c r="C1754" s="4" t="s">
        <v>3709</v>
      </c>
      <c r="D1754" s="4" t="s">
        <v>3710</v>
      </c>
      <c r="E1754" s="3" t="s">
        <v>84</v>
      </c>
      <c r="F1754" s="3" t="s">
        <v>553</v>
      </c>
      <c r="G1754" s="3" t="s">
        <v>554</v>
      </c>
      <c r="H1754" s="3" t="s">
        <v>56</v>
      </c>
      <c r="I1754" s="3" t="s">
        <v>32</v>
      </c>
      <c r="J1754" s="3" t="s">
        <v>476</v>
      </c>
      <c r="K1754" s="3" t="s">
        <v>366</v>
      </c>
      <c r="L1754" s="3" t="s">
        <v>157</v>
      </c>
      <c r="M1754" s="3" t="s">
        <v>209</v>
      </c>
      <c r="N1754" s="3" t="s">
        <v>49</v>
      </c>
      <c r="O1754" s="3" t="s">
        <v>106</v>
      </c>
      <c r="P1754" s="3" t="s">
        <v>210</v>
      </c>
      <c r="Q1754" s="5" t="n">
        <v>73.71</v>
      </c>
      <c r="R1754" s="3" t="n">
        <v>2</v>
      </c>
      <c r="S1754" s="6" t="n">
        <v>0</v>
      </c>
      <c r="T1754" s="5" t="n">
        <v>-6.58</v>
      </c>
      <c r="U1754" s="3" t="str">
        <f aca="false">IF(T1754&lt;0,"Loss",IF(T1754=0,"Break-even","Profit"))</f>
        <v>Loss</v>
      </c>
      <c r="V1754" s="3" t="str">
        <f aca="false">IF(Q1754&lt;100,"Low",IF(Q1754&lt;=500,"Medium","High"))</f>
        <v>Low</v>
      </c>
      <c r="W1754" s="3" t="n">
        <f aca="false">D1754-C1754</f>
        <v>3</v>
      </c>
      <c r="X1754" s="3" t="str">
        <f aca="false">TEXT(C1754,"mmmm")</f>
        <v>May</v>
      </c>
      <c r="Y1754" s="3" t="str">
        <f aca="false">LEFT(G1754,1)&amp;MID(G1754,FIND(" ",G1754)+1,1)</f>
        <v>LC</v>
      </c>
    </row>
    <row r="1755" customFormat="false" ht="15" hidden="false" customHeight="false" outlineLevel="0" collapsed="false">
      <c r="A1755" s="3" t="n">
        <v>1754</v>
      </c>
      <c r="B1755" s="3" t="s">
        <v>3711</v>
      </c>
      <c r="C1755" s="4" t="s">
        <v>3709</v>
      </c>
      <c r="D1755" s="4" t="s">
        <v>3712</v>
      </c>
      <c r="E1755" s="3" t="s">
        <v>28</v>
      </c>
      <c r="F1755" s="3" t="s">
        <v>1152</v>
      </c>
      <c r="G1755" s="3" t="s">
        <v>1153</v>
      </c>
      <c r="H1755" s="3" t="s">
        <v>56</v>
      </c>
      <c r="I1755" s="3" t="s">
        <v>32</v>
      </c>
      <c r="J1755" s="3" t="s">
        <v>415</v>
      </c>
      <c r="K1755" s="3" t="s">
        <v>202</v>
      </c>
      <c r="L1755" s="3" t="s">
        <v>35</v>
      </c>
      <c r="M1755" s="3" t="s">
        <v>48</v>
      </c>
      <c r="N1755" s="3" t="s">
        <v>49</v>
      </c>
      <c r="O1755" s="3" t="s">
        <v>50</v>
      </c>
      <c r="P1755" s="3" t="s">
        <v>51</v>
      </c>
      <c r="Q1755" s="5" t="n">
        <v>179.8</v>
      </c>
      <c r="R1755" s="3" t="n">
        <v>13</v>
      </c>
      <c r="S1755" s="6" t="n">
        <v>0</v>
      </c>
      <c r="T1755" s="5" t="n">
        <v>-8.43</v>
      </c>
      <c r="U1755" s="3" t="str">
        <f aca="false">IF(T1755&lt;0,"Loss",IF(T1755=0,"Break-even","Profit"))</f>
        <v>Loss</v>
      </c>
      <c r="V1755" s="3" t="str">
        <f aca="false">IF(Q1755&lt;100,"Low",IF(Q1755&lt;=500,"Medium","High"))</f>
        <v>Medium</v>
      </c>
      <c r="W1755" s="3" t="n">
        <f aca="false">D1755-C1755</f>
        <v>4</v>
      </c>
      <c r="X1755" s="3" t="str">
        <f aca="false">TEXT(C1755,"mmmm")</f>
        <v>May</v>
      </c>
      <c r="Y1755" s="3" t="str">
        <f aca="false">LEFT(G1755,1)&amp;MID(G1755,FIND(" ",G1755)+1,1)</f>
        <v>MJ</v>
      </c>
    </row>
    <row r="1756" customFormat="false" ht="15" hidden="false" customHeight="false" outlineLevel="0" collapsed="false">
      <c r="A1756" s="3" t="n">
        <v>1755</v>
      </c>
      <c r="B1756" s="3" t="s">
        <v>3713</v>
      </c>
      <c r="C1756" s="4" t="s">
        <v>3709</v>
      </c>
      <c r="D1756" s="4" t="s">
        <v>3714</v>
      </c>
      <c r="E1756" s="3" t="s">
        <v>28</v>
      </c>
      <c r="F1756" s="3" t="s">
        <v>2275</v>
      </c>
      <c r="G1756" s="3" t="s">
        <v>2276</v>
      </c>
      <c r="H1756" s="3" t="s">
        <v>56</v>
      </c>
      <c r="I1756" s="3" t="s">
        <v>32</v>
      </c>
      <c r="J1756" s="3" t="s">
        <v>616</v>
      </c>
      <c r="K1756" s="3" t="s">
        <v>156</v>
      </c>
      <c r="L1756" s="3" t="s">
        <v>157</v>
      </c>
      <c r="M1756" s="3" t="s">
        <v>97</v>
      </c>
      <c r="N1756" s="3" t="s">
        <v>89</v>
      </c>
      <c r="O1756" s="3" t="s">
        <v>90</v>
      </c>
      <c r="P1756" s="3" t="s">
        <v>98</v>
      </c>
      <c r="Q1756" s="5" t="n">
        <v>1705.23</v>
      </c>
      <c r="R1756" s="3" t="n">
        <v>6</v>
      </c>
      <c r="S1756" s="6" t="n">
        <v>0</v>
      </c>
      <c r="T1756" s="5" t="n">
        <v>-83.03</v>
      </c>
      <c r="U1756" s="3" t="str">
        <f aca="false">IF(T1756&lt;0,"Loss",IF(T1756=0,"Break-even","Profit"))</f>
        <v>Loss</v>
      </c>
      <c r="V1756" s="3" t="str">
        <f aca="false">IF(Q1756&lt;100,"Low",IF(Q1756&lt;=500,"Medium","High"))</f>
        <v>High</v>
      </c>
      <c r="W1756" s="3" t="n">
        <f aca="false">D1756-C1756</f>
        <v>6</v>
      </c>
      <c r="X1756" s="3" t="str">
        <f aca="false">TEXT(C1756,"mmmm")</f>
        <v>May</v>
      </c>
      <c r="Y1756" s="3" t="str">
        <f aca="false">LEFT(G1756,1)&amp;MID(G1756,FIND(" ",G1756)+1,1)</f>
        <v>JB</v>
      </c>
    </row>
    <row r="1757" customFormat="false" ht="15" hidden="false" customHeight="false" outlineLevel="0" collapsed="false">
      <c r="A1757" s="3" t="n">
        <v>1756</v>
      </c>
      <c r="B1757" s="3" t="s">
        <v>3563</v>
      </c>
      <c r="C1757" s="4" t="s">
        <v>3702</v>
      </c>
      <c r="D1757" s="4" t="s">
        <v>3715</v>
      </c>
      <c r="E1757" s="3" t="s">
        <v>28</v>
      </c>
      <c r="F1757" s="3" t="s">
        <v>1369</v>
      </c>
      <c r="G1757" s="3" t="s">
        <v>1370</v>
      </c>
      <c r="H1757" s="3" t="s">
        <v>45</v>
      </c>
      <c r="I1757" s="3" t="s">
        <v>32</v>
      </c>
      <c r="J1757" s="3" t="s">
        <v>663</v>
      </c>
      <c r="K1757" s="3" t="s">
        <v>307</v>
      </c>
      <c r="L1757" s="3" t="s">
        <v>69</v>
      </c>
      <c r="M1757" s="3" t="s">
        <v>209</v>
      </c>
      <c r="N1757" s="3" t="s">
        <v>49</v>
      </c>
      <c r="O1757" s="3" t="s">
        <v>106</v>
      </c>
      <c r="P1757" s="3" t="s">
        <v>210</v>
      </c>
      <c r="Q1757" s="5" t="n">
        <v>212.75</v>
      </c>
      <c r="R1757" s="3" t="n">
        <v>3</v>
      </c>
      <c r="S1757" s="6" t="n">
        <v>0</v>
      </c>
      <c r="T1757" s="5" t="n">
        <v>-30.05</v>
      </c>
      <c r="U1757" s="3" t="str">
        <f aca="false">IF(T1757&lt;0,"Loss",IF(T1757=0,"Break-even","Profit"))</f>
        <v>Loss</v>
      </c>
      <c r="V1757" s="3" t="str">
        <f aca="false">IF(Q1757&lt;100,"Low",IF(Q1757&lt;=500,"Medium","High"))</f>
        <v>Medium</v>
      </c>
      <c r="W1757" s="3" t="n">
        <f aca="false">D1757-C1757</f>
        <v>6</v>
      </c>
      <c r="X1757" s="3" t="str">
        <f aca="false">TEXT(C1757,"mmmm")</f>
        <v>May</v>
      </c>
      <c r="Y1757" s="3" t="str">
        <f aca="false">LEFT(G1757,1)&amp;MID(G1757,FIND(" ",G1757)+1,1)</f>
        <v>WN</v>
      </c>
    </row>
    <row r="1758" customFormat="false" ht="15" hidden="false" customHeight="false" outlineLevel="0" collapsed="false">
      <c r="A1758" s="3" t="n">
        <v>1757</v>
      </c>
      <c r="B1758" s="3" t="s">
        <v>3716</v>
      </c>
      <c r="C1758" s="4" t="s">
        <v>3717</v>
      </c>
      <c r="D1758" s="4" t="s">
        <v>3718</v>
      </c>
      <c r="E1758" s="3" t="s">
        <v>28</v>
      </c>
      <c r="F1758" s="3" t="s">
        <v>434</v>
      </c>
      <c r="G1758" s="3" t="s">
        <v>435</v>
      </c>
      <c r="H1758" s="3" t="s">
        <v>45</v>
      </c>
      <c r="I1758" s="3" t="s">
        <v>32</v>
      </c>
      <c r="J1758" s="3" t="s">
        <v>381</v>
      </c>
      <c r="K1758" s="3" t="s">
        <v>58</v>
      </c>
      <c r="L1758" s="3" t="s">
        <v>59</v>
      </c>
      <c r="M1758" s="3" t="s">
        <v>404</v>
      </c>
      <c r="N1758" s="3" t="s">
        <v>89</v>
      </c>
      <c r="O1758" s="3" t="s">
        <v>166</v>
      </c>
      <c r="P1758" s="3" t="s">
        <v>405</v>
      </c>
      <c r="Q1758" s="5" t="n">
        <v>709.27</v>
      </c>
      <c r="R1758" s="3" t="n">
        <v>9</v>
      </c>
      <c r="S1758" s="6" t="n">
        <v>0.5</v>
      </c>
      <c r="T1758" s="5" t="n">
        <v>132.03</v>
      </c>
      <c r="U1758" s="3" t="str">
        <f aca="false">IF(T1758&lt;0,"Loss",IF(T1758=0,"Break-even","Profit"))</f>
        <v>Profit</v>
      </c>
      <c r="V1758" s="3" t="str">
        <f aca="false">IF(Q1758&lt;100,"Low",IF(Q1758&lt;=500,"Medium","High"))</f>
        <v>High</v>
      </c>
      <c r="W1758" s="3" t="n">
        <f aca="false">D1758-C1758</f>
        <v>6</v>
      </c>
      <c r="X1758" s="3" t="str">
        <f aca="false">TEXT(C1758,"mmmm")</f>
        <v>May</v>
      </c>
      <c r="Y1758" s="3" t="str">
        <f aca="false">LEFT(G1758,1)&amp;MID(G1758,FIND(" ",G1758)+1,1)</f>
        <v>JC</v>
      </c>
    </row>
    <row r="1759" customFormat="false" ht="15" hidden="false" customHeight="false" outlineLevel="0" collapsed="false">
      <c r="A1759" s="3" t="n">
        <v>1758</v>
      </c>
      <c r="B1759" s="3" t="s">
        <v>3719</v>
      </c>
      <c r="C1759" s="4" t="s">
        <v>3710</v>
      </c>
      <c r="D1759" s="4" t="s">
        <v>3720</v>
      </c>
      <c r="E1759" s="3" t="s">
        <v>84</v>
      </c>
      <c r="F1759" s="3" t="s">
        <v>760</v>
      </c>
      <c r="G1759" s="3" t="s">
        <v>761</v>
      </c>
      <c r="H1759" s="3" t="s">
        <v>56</v>
      </c>
      <c r="I1759" s="3" t="s">
        <v>32</v>
      </c>
      <c r="J1759" s="3" t="s">
        <v>95</v>
      </c>
      <c r="K1759" s="3" t="s">
        <v>96</v>
      </c>
      <c r="L1759" s="3" t="s">
        <v>59</v>
      </c>
      <c r="M1759" s="3" t="s">
        <v>219</v>
      </c>
      <c r="N1759" s="3" t="s">
        <v>49</v>
      </c>
      <c r="O1759" s="3" t="s">
        <v>220</v>
      </c>
      <c r="P1759" s="3" t="s">
        <v>221</v>
      </c>
      <c r="Q1759" s="5" t="n">
        <v>136.65</v>
      </c>
      <c r="R1759" s="3" t="n">
        <v>3</v>
      </c>
      <c r="S1759" s="6" t="n">
        <v>0.3</v>
      </c>
      <c r="T1759" s="5" t="n">
        <v>9.33</v>
      </c>
      <c r="U1759" s="3" t="str">
        <f aca="false">IF(T1759&lt;0,"Loss",IF(T1759=0,"Break-even","Profit"))</f>
        <v>Profit</v>
      </c>
      <c r="V1759" s="3" t="str">
        <f aca="false">IF(Q1759&lt;100,"Low",IF(Q1759&lt;=500,"Medium","High"))</f>
        <v>Medium</v>
      </c>
      <c r="W1759" s="3" t="n">
        <f aca="false">D1759-C1759</f>
        <v>2</v>
      </c>
      <c r="X1759" s="3" t="str">
        <f aca="false">TEXT(C1759,"mmmm")</f>
        <v>May</v>
      </c>
      <c r="Y1759" s="3" t="str">
        <f aca="false">LEFT(G1759,1)&amp;MID(G1759,FIND(" ",G1759)+1,1)</f>
        <v>MM</v>
      </c>
    </row>
    <row r="1760" customFormat="false" ht="15" hidden="false" customHeight="false" outlineLevel="0" collapsed="false">
      <c r="A1760" s="3" t="n">
        <v>1759</v>
      </c>
      <c r="B1760" s="3" t="s">
        <v>3529</v>
      </c>
      <c r="C1760" s="4" t="s">
        <v>3710</v>
      </c>
      <c r="D1760" s="4" t="s">
        <v>3710</v>
      </c>
      <c r="E1760" s="3" t="s">
        <v>53</v>
      </c>
      <c r="F1760" s="3" t="s">
        <v>193</v>
      </c>
      <c r="G1760" s="3" t="s">
        <v>194</v>
      </c>
      <c r="H1760" s="3" t="s">
        <v>45</v>
      </c>
      <c r="I1760" s="3" t="s">
        <v>32</v>
      </c>
      <c r="J1760" s="3" t="s">
        <v>46</v>
      </c>
      <c r="K1760" s="3" t="s">
        <v>47</v>
      </c>
      <c r="L1760" s="3" t="s">
        <v>35</v>
      </c>
      <c r="M1760" s="3" t="s">
        <v>36</v>
      </c>
      <c r="N1760" s="3" t="s">
        <v>37</v>
      </c>
      <c r="O1760" s="3" t="s">
        <v>38</v>
      </c>
      <c r="P1760" s="3" t="s">
        <v>39</v>
      </c>
      <c r="Q1760" s="5" t="n">
        <v>1092.75</v>
      </c>
      <c r="R1760" s="3" t="n">
        <v>4</v>
      </c>
      <c r="S1760" s="6" t="n">
        <v>0</v>
      </c>
      <c r="T1760" s="5" t="n">
        <v>-9.2</v>
      </c>
      <c r="U1760" s="3" t="str">
        <f aca="false">IF(T1760&lt;0,"Loss",IF(T1760=0,"Break-even","Profit"))</f>
        <v>Loss</v>
      </c>
      <c r="V1760" s="3" t="str">
        <f aca="false">IF(Q1760&lt;100,"Low",IF(Q1760&lt;=500,"Medium","High"))</f>
        <v>High</v>
      </c>
      <c r="W1760" s="3" t="n">
        <f aca="false">D1760-C1760</f>
        <v>0</v>
      </c>
      <c r="X1760" s="3" t="str">
        <f aca="false">TEXT(C1760,"mmmm")</f>
        <v>May</v>
      </c>
      <c r="Y1760" s="3" t="str">
        <f aca="false">LEFT(G1760,1)&amp;MID(G1760,FIND(" ",G1760)+1,1)</f>
        <v>PB</v>
      </c>
    </row>
    <row r="1761" customFormat="false" ht="15" hidden="false" customHeight="false" outlineLevel="0" collapsed="false">
      <c r="A1761" s="3" t="n">
        <v>1760</v>
      </c>
      <c r="B1761" s="3" t="s">
        <v>3721</v>
      </c>
      <c r="C1761" s="4" t="s">
        <v>3710</v>
      </c>
      <c r="D1761" s="4" t="s">
        <v>3714</v>
      </c>
      <c r="E1761" s="3" t="s">
        <v>28</v>
      </c>
      <c r="F1761" s="3" t="s">
        <v>223</v>
      </c>
      <c r="G1761" s="3" t="s">
        <v>224</v>
      </c>
      <c r="H1761" s="3" t="s">
        <v>56</v>
      </c>
      <c r="I1761" s="3" t="s">
        <v>32</v>
      </c>
      <c r="J1761" s="3" t="s">
        <v>548</v>
      </c>
      <c r="K1761" s="3" t="s">
        <v>244</v>
      </c>
      <c r="L1761" s="3" t="s">
        <v>157</v>
      </c>
      <c r="M1761" s="3" t="s">
        <v>48</v>
      </c>
      <c r="N1761" s="3" t="s">
        <v>49</v>
      </c>
      <c r="O1761" s="3" t="s">
        <v>50</v>
      </c>
      <c r="P1761" s="3" t="s">
        <v>51</v>
      </c>
      <c r="Q1761" s="5" t="n">
        <v>1251.78</v>
      </c>
      <c r="R1761" s="3" t="n">
        <v>13</v>
      </c>
      <c r="S1761" s="6" t="n">
        <v>0.1</v>
      </c>
      <c r="T1761" s="5" t="n">
        <v>93.2</v>
      </c>
      <c r="U1761" s="3" t="str">
        <f aca="false">IF(T1761&lt;0,"Loss",IF(T1761=0,"Break-even","Profit"))</f>
        <v>Profit</v>
      </c>
      <c r="V1761" s="3" t="str">
        <f aca="false">IF(Q1761&lt;100,"Low",IF(Q1761&lt;=500,"Medium","High"))</f>
        <v>High</v>
      </c>
      <c r="W1761" s="3" t="n">
        <f aca="false">D1761-C1761</f>
        <v>3</v>
      </c>
      <c r="X1761" s="3" t="str">
        <f aca="false">TEXT(C1761,"mmmm")</f>
        <v>May</v>
      </c>
      <c r="Y1761" s="3" t="str">
        <f aca="false">LEFT(G1761,1)&amp;MID(G1761,FIND(" ",G1761)+1,1)</f>
        <v>RK</v>
      </c>
    </row>
    <row r="1762" customFormat="false" ht="15" hidden="false" customHeight="false" outlineLevel="0" collapsed="false">
      <c r="A1762" s="3" t="n">
        <v>1761</v>
      </c>
      <c r="B1762" s="3" t="s">
        <v>3722</v>
      </c>
      <c r="C1762" s="4" t="s">
        <v>3710</v>
      </c>
      <c r="D1762" s="4" t="s">
        <v>3712</v>
      </c>
      <c r="E1762" s="3" t="s">
        <v>42</v>
      </c>
      <c r="F1762" s="3" t="s">
        <v>2389</v>
      </c>
      <c r="G1762" s="3" t="s">
        <v>2390</v>
      </c>
      <c r="H1762" s="3" t="s">
        <v>56</v>
      </c>
      <c r="I1762" s="3" t="s">
        <v>32</v>
      </c>
      <c r="J1762" s="3" t="s">
        <v>95</v>
      </c>
      <c r="K1762" s="3" t="s">
        <v>96</v>
      </c>
      <c r="L1762" s="3" t="s">
        <v>59</v>
      </c>
      <c r="M1762" s="3" t="s">
        <v>683</v>
      </c>
      <c r="N1762" s="3" t="s">
        <v>37</v>
      </c>
      <c r="O1762" s="3" t="s">
        <v>136</v>
      </c>
      <c r="P1762" s="3" t="s">
        <v>684</v>
      </c>
      <c r="Q1762" s="5" t="n">
        <v>8496.78</v>
      </c>
      <c r="R1762" s="3" t="n">
        <v>6</v>
      </c>
      <c r="S1762" s="6" t="n">
        <v>0.3</v>
      </c>
      <c r="T1762" s="5" t="n">
        <v>1775.99</v>
      </c>
      <c r="U1762" s="3" t="str">
        <f aca="false">IF(T1762&lt;0,"Loss",IF(T1762=0,"Break-even","Profit"))</f>
        <v>Profit</v>
      </c>
      <c r="V1762" s="3" t="str">
        <f aca="false">IF(Q1762&lt;100,"Low",IF(Q1762&lt;=500,"Medium","High"))</f>
        <v>High</v>
      </c>
      <c r="W1762" s="3" t="n">
        <f aca="false">D1762-C1762</f>
        <v>1</v>
      </c>
      <c r="X1762" s="3" t="str">
        <f aca="false">TEXT(C1762,"mmmm")</f>
        <v>May</v>
      </c>
      <c r="Y1762" s="3" t="str">
        <f aca="false">LEFT(G1762,1)&amp;MID(G1762,FIND(" ",G1762)+1,1)</f>
        <v>AS</v>
      </c>
    </row>
    <row r="1763" customFormat="false" ht="15" hidden="false" customHeight="false" outlineLevel="0" collapsed="false">
      <c r="A1763" s="3" t="n">
        <v>1762</v>
      </c>
      <c r="B1763" s="3" t="s">
        <v>3723</v>
      </c>
      <c r="C1763" s="4" t="s">
        <v>3724</v>
      </c>
      <c r="D1763" s="4" t="s">
        <v>3725</v>
      </c>
      <c r="E1763" s="3" t="s">
        <v>28</v>
      </c>
      <c r="F1763" s="3" t="s">
        <v>278</v>
      </c>
      <c r="G1763" s="3" t="s">
        <v>279</v>
      </c>
      <c r="H1763" s="3" t="s">
        <v>56</v>
      </c>
      <c r="I1763" s="3" t="s">
        <v>32</v>
      </c>
      <c r="J1763" s="3" t="s">
        <v>104</v>
      </c>
      <c r="K1763" s="3" t="s">
        <v>96</v>
      </c>
      <c r="L1763" s="3" t="s">
        <v>59</v>
      </c>
      <c r="M1763" s="3" t="s">
        <v>461</v>
      </c>
      <c r="N1763" s="3" t="s">
        <v>37</v>
      </c>
      <c r="O1763" s="3" t="s">
        <v>71</v>
      </c>
      <c r="P1763" s="3" t="s">
        <v>462</v>
      </c>
      <c r="Q1763" s="5" t="n">
        <v>8163.93</v>
      </c>
      <c r="R1763" s="3" t="n">
        <v>5</v>
      </c>
      <c r="S1763" s="6" t="n">
        <v>0.2</v>
      </c>
      <c r="T1763" s="5" t="n">
        <v>-1630.96</v>
      </c>
      <c r="U1763" s="3" t="str">
        <f aca="false">IF(T1763&lt;0,"Loss",IF(T1763=0,"Break-even","Profit"))</f>
        <v>Loss</v>
      </c>
      <c r="V1763" s="3" t="str">
        <f aca="false">IF(Q1763&lt;100,"Low",IF(Q1763&lt;=500,"Medium","High"))</f>
        <v>High</v>
      </c>
      <c r="W1763" s="3" t="n">
        <f aca="false">D1763-C1763</f>
        <v>6</v>
      </c>
      <c r="X1763" s="3" t="str">
        <f aca="false">TEXT(C1763,"mmmm")</f>
        <v>June</v>
      </c>
      <c r="Y1763" s="3" t="str">
        <f aca="false">LEFT(G1763,1)&amp;MID(G1763,FIND(" ",G1763)+1,1)</f>
        <v>FC</v>
      </c>
    </row>
    <row r="1764" customFormat="false" ht="15" hidden="false" customHeight="false" outlineLevel="0" collapsed="false">
      <c r="A1764" s="3" t="n">
        <v>1763</v>
      </c>
      <c r="B1764" s="3" t="s">
        <v>3652</v>
      </c>
      <c r="C1764" s="4" t="s">
        <v>3724</v>
      </c>
      <c r="D1764" s="4" t="s">
        <v>3726</v>
      </c>
      <c r="E1764" s="3" t="s">
        <v>28</v>
      </c>
      <c r="F1764" s="3" t="s">
        <v>720</v>
      </c>
      <c r="G1764" s="3" t="s">
        <v>721</v>
      </c>
      <c r="H1764" s="3" t="s">
        <v>56</v>
      </c>
      <c r="I1764" s="3" t="s">
        <v>32</v>
      </c>
      <c r="J1764" s="3" t="s">
        <v>299</v>
      </c>
      <c r="K1764" s="3" t="s">
        <v>189</v>
      </c>
      <c r="L1764" s="3" t="s">
        <v>59</v>
      </c>
      <c r="M1764" s="3" t="s">
        <v>334</v>
      </c>
      <c r="N1764" s="3" t="s">
        <v>37</v>
      </c>
      <c r="O1764" s="3" t="s">
        <v>136</v>
      </c>
      <c r="P1764" s="3" t="s">
        <v>335</v>
      </c>
      <c r="Q1764" s="5" t="n">
        <v>4208.42</v>
      </c>
      <c r="R1764" s="3" t="n">
        <v>5</v>
      </c>
      <c r="S1764" s="6" t="n">
        <v>0</v>
      </c>
      <c r="T1764" s="5" t="n">
        <v>-184.56</v>
      </c>
      <c r="U1764" s="3" t="str">
        <f aca="false">IF(T1764&lt;0,"Loss",IF(T1764=0,"Break-even","Profit"))</f>
        <v>Loss</v>
      </c>
      <c r="V1764" s="3" t="str">
        <f aca="false">IF(Q1764&lt;100,"Low",IF(Q1764&lt;=500,"Medium","High"))</f>
        <v>High</v>
      </c>
      <c r="W1764" s="3" t="n">
        <f aca="false">D1764-C1764</f>
        <v>4</v>
      </c>
      <c r="X1764" s="3" t="str">
        <f aca="false">TEXT(C1764,"mmmm")</f>
        <v>June</v>
      </c>
      <c r="Y1764" s="3" t="str">
        <f aca="false">LEFT(G1764,1)&amp;MID(G1764,FIND(" ",G1764)+1,1)</f>
        <v>LJ</v>
      </c>
    </row>
    <row r="1765" customFormat="false" ht="15" hidden="false" customHeight="false" outlineLevel="0" collapsed="false">
      <c r="A1765" s="3" t="n">
        <v>1764</v>
      </c>
      <c r="B1765" s="3" t="s">
        <v>3479</v>
      </c>
      <c r="C1765" s="4" t="s">
        <v>3724</v>
      </c>
      <c r="D1765" s="4" t="s">
        <v>3727</v>
      </c>
      <c r="E1765" s="3" t="s">
        <v>28</v>
      </c>
      <c r="F1765" s="3" t="s">
        <v>390</v>
      </c>
      <c r="G1765" s="3" t="s">
        <v>391</v>
      </c>
      <c r="H1765" s="3" t="s">
        <v>56</v>
      </c>
      <c r="I1765" s="3" t="s">
        <v>32</v>
      </c>
      <c r="J1765" s="3" t="s">
        <v>386</v>
      </c>
      <c r="K1765" s="3" t="s">
        <v>387</v>
      </c>
      <c r="L1765" s="3" t="s">
        <v>35</v>
      </c>
      <c r="M1765" s="3" t="s">
        <v>60</v>
      </c>
      <c r="N1765" s="3" t="s">
        <v>49</v>
      </c>
      <c r="O1765" s="3" t="s">
        <v>61</v>
      </c>
      <c r="P1765" s="3" t="s">
        <v>62</v>
      </c>
      <c r="Q1765" s="5" t="n">
        <v>32.09</v>
      </c>
      <c r="R1765" s="3" t="n">
        <v>1</v>
      </c>
      <c r="S1765" s="6" t="n">
        <v>0.5</v>
      </c>
      <c r="T1765" s="5" t="n">
        <v>-10.22</v>
      </c>
      <c r="U1765" s="3" t="str">
        <f aca="false">IF(T1765&lt;0,"Loss",IF(T1765=0,"Break-even","Profit"))</f>
        <v>Loss</v>
      </c>
      <c r="V1765" s="3" t="str">
        <f aca="false">IF(Q1765&lt;100,"Low",IF(Q1765&lt;=500,"Medium","High"))</f>
        <v>Low</v>
      </c>
      <c r="W1765" s="3" t="n">
        <f aca="false">D1765-C1765</f>
        <v>3</v>
      </c>
      <c r="X1765" s="3" t="str">
        <f aca="false">TEXT(C1765,"mmmm")</f>
        <v>June</v>
      </c>
      <c r="Y1765" s="3" t="str">
        <f aca="false">LEFT(G1765,1)&amp;MID(G1765,FIND(" ",G1765)+1,1)</f>
        <v>MA</v>
      </c>
    </row>
    <row r="1766" customFormat="false" ht="15" hidden="false" customHeight="false" outlineLevel="0" collapsed="false">
      <c r="A1766" s="3" t="n">
        <v>1765</v>
      </c>
      <c r="B1766" s="3" t="s">
        <v>3728</v>
      </c>
      <c r="C1766" s="4" t="s">
        <v>3729</v>
      </c>
      <c r="D1766" s="4" t="s">
        <v>3726</v>
      </c>
      <c r="E1766" s="3" t="s">
        <v>84</v>
      </c>
      <c r="F1766" s="3" t="s">
        <v>712</v>
      </c>
      <c r="G1766" s="3" t="s">
        <v>713</v>
      </c>
      <c r="H1766" s="3" t="s">
        <v>45</v>
      </c>
      <c r="I1766" s="3" t="s">
        <v>32</v>
      </c>
      <c r="J1766" s="3" t="s">
        <v>315</v>
      </c>
      <c r="K1766" s="3" t="s">
        <v>58</v>
      </c>
      <c r="L1766" s="3" t="s">
        <v>59</v>
      </c>
      <c r="M1766" s="3" t="s">
        <v>127</v>
      </c>
      <c r="N1766" s="3" t="s">
        <v>49</v>
      </c>
      <c r="O1766" s="3" t="s">
        <v>61</v>
      </c>
      <c r="P1766" s="3" t="s">
        <v>128</v>
      </c>
      <c r="Q1766" s="5" t="n">
        <v>629.92</v>
      </c>
      <c r="R1766" s="3" t="n">
        <v>8</v>
      </c>
      <c r="S1766" s="6" t="n">
        <v>0</v>
      </c>
      <c r="T1766" s="5" t="n">
        <v>163.72</v>
      </c>
      <c r="U1766" s="3" t="str">
        <f aca="false">IF(T1766&lt;0,"Loss",IF(T1766=0,"Break-even","Profit"))</f>
        <v>Profit</v>
      </c>
      <c r="V1766" s="3" t="str">
        <f aca="false">IF(Q1766&lt;100,"Low",IF(Q1766&lt;=500,"Medium","High"))</f>
        <v>High</v>
      </c>
      <c r="W1766" s="3" t="n">
        <f aca="false">D1766-C1766</f>
        <v>3</v>
      </c>
      <c r="X1766" s="3" t="str">
        <f aca="false">TEXT(C1766,"mmmm")</f>
        <v>June</v>
      </c>
      <c r="Y1766" s="3" t="str">
        <f aca="false">LEFT(G1766,1)&amp;MID(G1766,FIND(" ",G1766)+1,1)</f>
        <v>PJ</v>
      </c>
    </row>
    <row r="1767" customFormat="false" ht="15" hidden="false" customHeight="false" outlineLevel="0" collapsed="false">
      <c r="A1767" s="3" t="n">
        <v>1766</v>
      </c>
      <c r="B1767" s="3" t="s">
        <v>3730</v>
      </c>
      <c r="C1767" s="4" t="s">
        <v>3729</v>
      </c>
      <c r="D1767" s="4" t="s">
        <v>3731</v>
      </c>
      <c r="E1767" s="3" t="s">
        <v>28</v>
      </c>
      <c r="F1767" s="3" t="s">
        <v>887</v>
      </c>
      <c r="G1767" s="3" t="s">
        <v>888</v>
      </c>
      <c r="H1767" s="3" t="s">
        <v>45</v>
      </c>
      <c r="I1767" s="3" t="s">
        <v>32</v>
      </c>
      <c r="J1767" s="3" t="s">
        <v>104</v>
      </c>
      <c r="K1767" s="3" t="s">
        <v>96</v>
      </c>
      <c r="L1767" s="3" t="s">
        <v>59</v>
      </c>
      <c r="M1767" s="3" t="s">
        <v>121</v>
      </c>
      <c r="N1767" s="3" t="s">
        <v>49</v>
      </c>
      <c r="O1767" s="3" t="s">
        <v>50</v>
      </c>
      <c r="P1767" s="3" t="s">
        <v>122</v>
      </c>
      <c r="Q1767" s="5" t="n">
        <v>317.33</v>
      </c>
      <c r="R1767" s="3" t="n">
        <v>10</v>
      </c>
      <c r="S1767" s="6" t="n">
        <v>0.2</v>
      </c>
      <c r="T1767" s="5" t="n">
        <v>-90.47</v>
      </c>
      <c r="U1767" s="3" t="str">
        <f aca="false">IF(T1767&lt;0,"Loss",IF(T1767=0,"Break-even","Profit"))</f>
        <v>Loss</v>
      </c>
      <c r="V1767" s="3" t="str">
        <f aca="false">IF(Q1767&lt;100,"Low",IF(Q1767&lt;=500,"Medium","High"))</f>
        <v>Medium</v>
      </c>
      <c r="W1767" s="3" t="n">
        <f aca="false">D1767-C1767</f>
        <v>4</v>
      </c>
      <c r="X1767" s="3" t="str">
        <f aca="false">TEXT(C1767,"mmmm")</f>
        <v>June</v>
      </c>
      <c r="Y1767" s="3" t="str">
        <f aca="false">LEFT(G1767,1)&amp;MID(G1767,FIND(" ",G1767)+1,1)</f>
        <v>PJ</v>
      </c>
    </row>
    <row r="1768" customFormat="false" ht="15" hidden="false" customHeight="false" outlineLevel="0" collapsed="false">
      <c r="A1768" s="3" t="n">
        <v>1767</v>
      </c>
      <c r="B1768" s="3" t="s">
        <v>3732</v>
      </c>
      <c r="C1768" s="4" t="s">
        <v>3733</v>
      </c>
      <c r="D1768" s="4" t="s">
        <v>3731</v>
      </c>
      <c r="E1768" s="3" t="s">
        <v>84</v>
      </c>
      <c r="F1768" s="3" t="s">
        <v>1853</v>
      </c>
      <c r="G1768" s="3" t="s">
        <v>1854</v>
      </c>
      <c r="H1768" s="3" t="s">
        <v>45</v>
      </c>
      <c r="I1768" s="3" t="s">
        <v>32</v>
      </c>
      <c r="J1768" s="3" t="s">
        <v>476</v>
      </c>
      <c r="K1768" s="3" t="s">
        <v>366</v>
      </c>
      <c r="L1768" s="3" t="s">
        <v>157</v>
      </c>
      <c r="M1768" s="3" t="s">
        <v>269</v>
      </c>
      <c r="N1768" s="3" t="s">
        <v>89</v>
      </c>
      <c r="O1768" s="3" t="s">
        <v>174</v>
      </c>
      <c r="P1768" s="3" t="s">
        <v>270</v>
      </c>
      <c r="Q1768" s="5" t="n">
        <v>3976.74</v>
      </c>
      <c r="R1768" s="3" t="n">
        <v>11</v>
      </c>
      <c r="S1768" s="6" t="n">
        <v>0.3</v>
      </c>
      <c r="T1768" s="5" t="n">
        <v>-1036.13</v>
      </c>
      <c r="U1768" s="3" t="str">
        <f aca="false">IF(T1768&lt;0,"Loss",IF(T1768=0,"Break-even","Profit"))</f>
        <v>Loss</v>
      </c>
      <c r="V1768" s="3" t="str">
        <f aca="false">IF(Q1768&lt;100,"Low",IF(Q1768&lt;=500,"Medium","High"))</f>
        <v>High</v>
      </c>
      <c r="W1768" s="3" t="n">
        <f aca="false">D1768-C1768</f>
        <v>3</v>
      </c>
      <c r="X1768" s="3" t="str">
        <f aca="false">TEXT(C1768,"mmmm")</f>
        <v>June</v>
      </c>
      <c r="Y1768" s="3" t="str">
        <f aca="false">LEFT(G1768,1)&amp;MID(G1768,FIND(" ",G1768)+1,1)</f>
        <v>OT</v>
      </c>
    </row>
    <row r="1769" customFormat="false" ht="15" hidden="false" customHeight="false" outlineLevel="0" collapsed="false">
      <c r="A1769" s="3" t="n">
        <v>1768</v>
      </c>
      <c r="B1769" s="3" t="s">
        <v>3734</v>
      </c>
      <c r="C1769" s="4" t="s">
        <v>3727</v>
      </c>
      <c r="D1769" s="4" t="s">
        <v>3731</v>
      </c>
      <c r="E1769" s="3" t="s">
        <v>84</v>
      </c>
      <c r="F1769" s="3" t="s">
        <v>379</v>
      </c>
      <c r="G1769" s="3" t="s">
        <v>380</v>
      </c>
      <c r="H1769" s="3" t="s">
        <v>31</v>
      </c>
      <c r="I1769" s="3" t="s">
        <v>32</v>
      </c>
      <c r="J1769" s="3" t="s">
        <v>188</v>
      </c>
      <c r="K1769" s="3" t="s">
        <v>189</v>
      </c>
      <c r="L1769" s="3" t="s">
        <v>59</v>
      </c>
      <c r="M1769" s="3" t="s">
        <v>105</v>
      </c>
      <c r="N1769" s="3" t="s">
        <v>49</v>
      </c>
      <c r="O1769" s="3" t="s">
        <v>106</v>
      </c>
      <c r="P1769" s="3" t="s">
        <v>107</v>
      </c>
      <c r="Q1769" s="5" t="n">
        <v>25.02</v>
      </c>
      <c r="R1769" s="3" t="n">
        <v>1</v>
      </c>
      <c r="S1769" s="6" t="n">
        <v>0.1</v>
      </c>
      <c r="T1769" s="5" t="n">
        <v>2.14</v>
      </c>
      <c r="U1769" s="3" t="str">
        <f aca="false">IF(T1769&lt;0,"Loss",IF(T1769=0,"Break-even","Profit"))</f>
        <v>Profit</v>
      </c>
      <c r="V1769" s="3" t="str">
        <f aca="false">IF(Q1769&lt;100,"Low",IF(Q1769&lt;=500,"Medium","High"))</f>
        <v>Low</v>
      </c>
      <c r="W1769" s="3" t="n">
        <f aca="false">D1769-C1769</f>
        <v>2</v>
      </c>
      <c r="X1769" s="3" t="str">
        <f aca="false">TEXT(C1769,"mmmm")</f>
        <v>June</v>
      </c>
      <c r="Y1769" s="3" t="str">
        <f aca="false">LEFT(G1769,1)&amp;MID(G1769,FIND(" ",G1769)+1,1)</f>
        <v>MG</v>
      </c>
    </row>
    <row r="1770" customFormat="false" ht="15" hidden="false" customHeight="false" outlineLevel="0" collapsed="false">
      <c r="A1770" s="3" t="n">
        <v>1769</v>
      </c>
      <c r="B1770" s="3" t="s">
        <v>3735</v>
      </c>
      <c r="C1770" s="4" t="s">
        <v>3726</v>
      </c>
      <c r="D1770" s="4" t="s">
        <v>3736</v>
      </c>
      <c r="E1770" s="3" t="s">
        <v>28</v>
      </c>
      <c r="F1770" s="3" t="s">
        <v>1754</v>
      </c>
      <c r="G1770" s="3" t="s">
        <v>1755</v>
      </c>
      <c r="H1770" s="3" t="s">
        <v>56</v>
      </c>
      <c r="I1770" s="3" t="s">
        <v>32</v>
      </c>
      <c r="J1770" s="3" t="s">
        <v>148</v>
      </c>
      <c r="K1770" s="3" t="s">
        <v>78</v>
      </c>
      <c r="L1770" s="3" t="s">
        <v>59</v>
      </c>
      <c r="M1770" s="3" t="s">
        <v>70</v>
      </c>
      <c r="N1770" s="3" t="s">
        <v>37</v>
      </c>
      <c r="O1770" s="3" t="s">
        <v>71</v>
      </c>
      <c r="P1770" s="3" t="s">
        <v>72</v>
      </c>
      <c r="Q1770" s="5" t="n">
        <v>6604.36</v>
      </c>
      <c r="R1770" s="3" t="n">
        <v>4</v>
      </c>
      <c r="S1770" s="6" t="n">
        <v>0</v>
      </c>
      <c r="T1770" s="5" t="n">
        <v>-1230.44</v>
      </c>
      <c r="U1770" s="3" t="str">
        <f aca="false">IF(T1770&lt;0,"Loss",IF(T1770=0,"Break-even","Profit"))</f>
        <v>Loss</v>
      </c>
      <c r="V1770" s="3" t="str">
        <f aca="false">IF(Q1770&lt;100,"Low",IF(Q1770&lt;=500,"Medium","High"))</f>
        <v>High</v>
      </c>
      <c r="W1770" s="3" t="n">
        <f aca="false">D1770-C1770</f>
        <v>3</v>
      </c>
      <c r="X1770" s="3" t="str">
        <f aca="false">TEXT(C1770,"mmmm")</f>
        <v>June</v>
      </c>
      <c r="Y1770" s="3" t="str">
        <f aca="false">LEFT(G1770,1)&amp;MID(G1770,FIND(" ",G1770)+1,1)</f>
        <v>LR</v>
      </c>
    </row>
    <row r="1771" customFormat="false" ht="15" hidden="false" customHeight="false" outlineLevel="0" collapsed="false">
      <c r="A1771" s="3" t="n">
        <v>1770</v>
      </c>
      <c r="B1771" s="3" t="s">
        <v>3737</v>
      </c>
      <c r="C1771" s="4" t="s">
        <v>3726</v>
      </c>
      <c r="D1771" s="4" t="s">
        <v>3738</v>
      </c>
      <c r="E1771" s="3" t="s">
        <v>28</v>
      </c>
      <c r="F1771" s="3" t="s">
        <v>223</v>
      </c>
      <c r="G1771" s="3" t="s">
        <v>224</v>
      </c>
      <c r="H1771" s="3" t="s">
        <v>45</v>
      </c>
      <c r="I1771" s="3" t="s">
        <v>32</v>
      </c>
      <c r="J1771" s="3" t="s">
        <v>814</v>
      </c>
      <c r="K1771" s="3" t="s">
        <v>156</v>
      </c>
      <c r="L1771" s="3" t="s">
        <v>157</v>
      </c>
      <c r="M1771" s="3" t="s">
        <v>158</v>
      </c>
      <c r="N1771" s="3" t="s">
        <v>49</v>
      </c>
      <c r="O1771" s="3" t="s">
        <v>159</v>
      </c>
      <c r="P1771" s="3" t="s">
        <v>160</v>
      </c>
      <c r="Q1771" s="5" t="n">
        <v>213.94</v>
      </c>
      <c r="R1771" s="3" t="n">
        <v>8</v>
      </c>
      <c r="S1771" s="6" t="n">
        <v>0</v>
      </c>
      <c r="T1771" s="5" t="n">
        <v>47.54</v>
      </c>
      <c r="U1771" s="3" t="str">
        <f aca="false">IF(T1771&lt;0,"Loss",IF(T1771=0,"Break-even","Profit"))</f>
        <v>Profit</v>
      </c>
      <c r="V1771" s="3" t="str">
        <f aca="false">IF(Q1771&lt;100,"Low",IF(Q1771&lt;=500,"Medium","High"))</f>
        <v>Medium</v>
      </c>
      <c r="W1771" s="3" t="n">
        <f aca="false">D1771-C1771</f>
        <v>4</v>
      </c>
      <c r="X1771" s="3" t="str">
        <f aca="false">TEXT(C1771,"mmmm")</f>
        <v>June</v>
      </c>
      <c r="Y1771" s="3" t="str">
        <f aca="false">LEFT(G1771,1)&amp;MID(G1771,FIND(" ",G1771)+1,1)</f>
        <v>RK</v>
      </c>
    </row>
    <row r="1772" customFormat="false" ht="15" hidden="false" customHeight="false" outlineLevel="0" collapsed="false">
      <c r="A1772" s="3" t="n">
        <v>1771</v>
      </c>
      <c r="B1772" s="3" t="s">
        <v>3739</v>
      </c>
      <c r="C1772" s="4" t="s">
        <v>3731</v>
      </c>
      <c r="D1772" s="4" t="s">
        <v>3738</v>
      </c>
      <c r="E1772" s="3" t="s">
        <v>84</v>
      </c>
      <c r="F1772" s="3" t="s">
        <v>647</v>
      </c>
      <c r="G1772" s="3" t="s">
        <v>648</v>
      </c>
      <c r="H1772" s="3" t="s">
        <v>31</v>
      </c>
      <c r="I1772" s="3" t="s">
        <v>32</v>
      </c>
      <c r="J1772" s="3" t="s">
        <v>33</v>
      </c>
      <c r="K1772" s="3" t="s">
        <v>34</v>
      </c>
      <c r="L1772" s="3" t="s">
        <v>35</v>
      </c>
      <c r="M1772" s="3" t="s">
        <v>559</v>
      </c>
      <c r="N1772" s="3" t="s">
        <v>37</v>
      </c>
      <c r="O1772" s="3" t="s">
        <v>38</v>
      </c>
      <c r="P1772" s="3" t="s">
        <v>560</v>
      </c>
      <c r="Q1772" s="5" t="n">
        <v>18306.35</v>
      </c>
      <c r="R1772" s="3" t="n">
        <v>13</v>
      </c>
      <c r="S1772" s="6" t="n">
        <v>0</v>
      </c>
      <c r="T1772" s="5" t="n">
        <v>-3171.68</v>
      </c>
      <c r="U1772" s="3" t="str">
        <f aca="false">IF(T1772&lt;0,"Loss",IF(T1772=0,"Break-even","Profit"))</f>
        <v>Loss</v>
      </c>
      <c r="V1772" s="3" t="str">
        <f aca="false">IF(Q1772&lt;100,"Low",IF(Q1772&lt;=500,"Medium","High"))</f>
        <v>High</v>
      </c>
      <c r="W1772" s="3" t="n">
        <f aca="false">D1772-C1772</f>
        <v>3</v>
      </c>
      <c r="X1772" s="3" t="str">
        <f aca="false">TEXT(C1772,"mmmm")</f>
        <v>June</v>
      </c>
      <c r="Y1772" s="3" t="str">
        <f aca="false">LEFT(G1772,1)&amp;MID(G1772,FIND(" ",G1772)+1,1)</f>
        <v>MS</v>
      </c>
    </row>
    <row r="1773" customFormat="false" ht="15" hidden="false" customHeight="false" outlineLevel="0" collapsed="false">
      <c r="A1773" s="3" t="n">
        <v>1772</v>
      </c>
      <c r="B1773" s="3" t="s">
        <v>3740</v>
      </c>
      <c r="C1773" s="4" t="s">
        <v>3731</v>
      </c>
      <c r="D1773" s="4" t="s">
        <v>3741</v>
      </c>
      <c r="E1773" s="3" t="s">
        <v>28</v>
      </c>
      <c r="F1773" s="3" t="s">
        <v>304</v>
      </c>
      <c r="G1773" s="3" t="s">
        <v>305</v>
      </c>
      <c r="H1773" s="3" t="s">
        <v>56</v>
      </c>
      <c r="I1773" s="3" t="s">
        <v>32</v>
      </c>
      <c r="J1773" s="3" t="s">
        <v>386</v>
      </c>
      <c r="K1773" s="3" t="s">
        <v>387</v>
      </c>
      <c r="L1773" s="3" t="s">
        <v>35</v>
      </c>
      <c r="M1773" s="3" t="s">
        <v>70</v>
      </c>
      <c r="N1773" s="3" t="s">
        <v>37</v>
      </c>
      <c r="O1773" s="3" t="s">
        <v>71</v>
      </c>
      <c r="P1773" s="3" t="s">
        <v>72</v>
      </c>
      <c r="Q1773" s="5" t="n">
        <v>482.2</v>
      </c>
      <c r="R1773" s="3" t="n">
        <v>1</v>
      </c>
      <c r="S1773" s="6" t="n">
        <v>0.1</v>
      </c>
      <c r="T1773" s="5" t="n">
        <v>-121.33</v>
      </c>
      <c r="U1773" s="3" t="str">
        <f aca="false">IF(T1773&lt;0,"Loss",IF(T1773=0,"Break-even","Profit"))</f>
        <v>Loss</v>
      </c>
      <c r="V1773" s="3" t="str">
        <f aca="false">IF(Q1773&lt;100,"Low",IF(Q1773&lt;=500,"Medium","High"))</f>
        <v>Medium</v>
      </c>
      <c r="W1773" s="3" t="n">
        <f aca="false">D1773-C1773</f>
        <v>5</v>
      </c>
      <c r="X1773" s="3" t="str">
        <f aca="false">TEXT(C1773,"mmmm")</f>
        <v>June</v>
      </c>
      <c r="Y1773" s="3" t="str">
        <f aca="false">LEFT(G1773,1)&amp;MID(G1773,FIND(" ",G1773)+1,1)</f>
        <v>DW</v>
      </c>
    </row>
    <row r="1774" customFormat="false" ht="15" hidden="false" customHeight="false" outlineLevel="0" collapsed="false">
      <c r="A1774" s="3" t="n">
        <v>1773</v>
      </c>
      <c r="B1774" s="3" t="s">
        <v>3742</v>
      </c>
      <c r="C1774" s="4" t="s">
        <v>3725</v>
      </c>
      <c r="D1774" s="4" t="s">
        <v>3743</v>
      </c>
      <c r="E1774" s="3" t="s">
        <v>28</v>
      </c>
      <c r="F1774" s="3" t="s">
        <v>1594</v>
      </c>
      <c r="G1774" s="3" t="s">
        <v>1595</v>
      </c>
      <c r="H1774" s="3" t="s">
        <v>56</v>
      </c>
      <c r="I1774" s="3" t="s">
        <v>32</v>
      </c>
      <c r="J1774" s="3" t="s">
        <v>415</v>
      </c>
      <c r="K1774" s="3" t="s">
        <v>202</v>
      </c>
      <c r="L1774" s="3" t="s">
        <v>35</v>
      </c>
      <c r="M1774" s="3" t="s">
        <v>142</v>
      </c>
      <c r="N1774" s="3" t="s">
        <v>49</v>
      </c>
      <c r="O1774" s="3" t="s">
        <v>143</v>
      </c>
      <c r="P1774" s="3" t="s">
        <v>144</v>
      </c>
      <c r="Q1774" s="5" t="n">
        <v>512.47</v>
      </c>
      <c r="R1774" s="3" t="n">
        <v>12</v>
      </c>
      <c r="S1774" s="6" t="n">
        <v>0</v>
      </c>
      <c r="T1774" s="5" t="n">
        <v>-0.21</v>
      </c>
      <c r="U1774" s="3" t="str">
        <f aca="false">IF(T1774&lt;0,"Loss",IF(T1774=0,"Break-even","Profit"))</f>
        <v>Loss</v>
      </c>
      <c r="V1774" s="3" t="str">
        <f aca="false">IF(Q1774&lt;100,"Low",IF(Q1774&lt;=500,"Medium","High"))</f>
        <v>High</v>
      </c>
      <c r="W1774" s="3" t="n">
        <f aca="false">D1774-C1774</f>
        <v>6</v>
      </c>
      <c r="X1774" s="3" t="str">
        <f aca="false">TEXT(C1774,"mmmm")</f>
        <v>June</v>
      </c>
      <c r="Y1774" s="3" t="str">
        <f aca="false">LEFT(G1774,1)&amp;MID(G1774,FIND(" ",G1774)+1,1)</f>
        <v>CM</v>
      </c>
    </row>
    <row r="1775" customFormat="false" ht="15" hidden="false" customHeight="false" outlineLevel="0" collapsed="false">
      <c r="A1775" s="3" t="n">
        <v>1774</v>
      </c>
      <c r="B1775" s="3" t="s">
        <v>3744</v>
      </c>
      <c r="C1775" s="4" t="s">
        <v>3725</v>
      </c>
      <c r="D1775" s="4" t="s">
        <v>3743</v>
      </c>
      <c r="E1775" s="3" t="s">
        <v>28</v>
      </c>
      <c r="F1775" s="3" t="s">
        <v>989</v>
      </c>
      <c r="G1775" s="3" t="s">
        <v>990</v>
      </c>
      <c r="H1775" s="3" t="s">
        <v>56</v>
      </c>
      <c r="I1775" s="3" t="s">
        <v>32</v>
      </c>
      <c r="J1775" s="3" t="s">
        <v>365</v>
      </c>
      <c r="K1775" s="3" t="s">
        <v>366</v>
      </c>
      <c r="L1775" s="3" t="s">
        <v>157</v>
      </c>
      <c r="M1775" s="3" t="s">
        <v>225</v>
      </c>
      <c r="N1775" s="3" t="s">
        <v>37</v>
      </c>
      <c r="O1775" s="3" t="s">
        <v>196</v>
      </c>
      <c r="P1775" s="3" t="s">
        <v>226</v>
      </c>
      <c r="Q1775" s="5" t="n">
        <v>2473</v>
      </c>
      <c r="R1775" s="3" t="n">
        <v>6</v>
      </c>
      <c r="S1775" s="6" t="n">
        <v>0.2</v>
      </c>
      <c r="T1775" s="5" t="n">
        <v>-345.42</v>
      </c>
      <c r="U1775" s="3" t="str">
        <f aca="false">IF(T1775&lt;0,"Loss",IF(T1775=0,"Break-even","Profit"))</f>
        <v>Loss</v>
      </c>
      <c r="V1775" s="3" t="str">
        <f aca="false">IF(Q1775&lt;100,"Low",IF(Q1775&lt;=500,"Medium","High"))</f>
        <v>High</v>
      </c>
      <c r="W1775" s="3" t="n">
        <f aca="false">D1775-C1775</f>
        <v>6</v>
      </c>
      <c r="X1775" s="3" t="str">
        <f aca="false">TEXT(C1775,"mmmm")</f>
        <v>June</v>
      </c>
      <c r="Y1775" s="3" t="str">
        <f aca="false">LEFT(G1775,1)&amp;MID(G1775,FIND(" ",G1775)+1,1)</f>
        <v>EK</v>
      </c>
    </row>
    <row r="1776" customFormat="false" ht="15" hidden="false" customHeight="false" outlineLevel="0" collapsed="false">
      <c r="A1776" s="3" t="n">
        <v>1775</v>
      </c>
      <c r="B1776" s="3" t="s">
        <v>3745</v>
      </c>
      <c r="C1776" s="4" t="s">
        <v>3736</v>
      </c>
      <c r="D1776" s="4" t="s">
        <v>3746</v>
      </c>
      <c r="E1776" s="3" t="s">
        <v>42</v>
      </c>
      <c r="F1776" s="3" t="s">
        <v>1012</v>
      </c>
      <c r="G1776" s="3" t="s">
        <v>1013</v>
      </c>
      <c r="H1776" s="3" t="s">
        <v>56</v>
      </c>
      <c r="I1776" s="3" t="s">
        <v>32</v>
      </c>
      <c r="J1776" s="3" t="s">
        <v>77</v>
      </c>
      <c r="K1776" s="3" t="s">
        <v>78</v>
      </c>
      <c r="L1776" s="3" t="s">
        <v>59</v>
      </c>
      <c r="M1776" s="3" t="s">
        <v>347</v>
      </c>
      <c r="N1776" s="3" t="s">
        <v>49</v>
      </c>
      <c r="O1776" s="3" t="s">
        <v>220</v>
      </c>
      <c r="P1776" s="3" t="s">
        <v>348</v>
      </c>
      <c r="Q1776" s="5" t="n">
        <v>1339.78</v>
      </c>
      <c r="R1776" s="3" t="n">
        <v>14</v>
      </c>
      <c r="S1776" s="6" t="n">
        <v>0</v>
      </c>
      <c r="T1776" s="5" t="n">
        <v>454.73</v>
      </c>
      <c r="U1776" s="3" t="str">
        <f aca="false">IF(T1776&lt;0,"Loss",IF(T1776=0,"Break-even","Profit"))</f>
        <v>Profit</v>
      </c>
      <c r="V1776" s="3" t="str">
        <f aca="false">IF(Q1776&lt;100,"Low",IF(Q1776&lt;=500,"Medium","High"))</f>
        <v>High</v>
      </c>
      <c r="W1776" s="3" t="n">
        <f aca="false">D1776-C1776</f>
        <v>2</v>
      </c>
      <c r="X1776" s="3" t="str">
        <f aca="false">TEXT(C1776,"mmmm")</f>
        <v>June</v>
      </c>
      <c r="Y1776" s="3" t="str">
        <f aca="false">LEFT(G1776,1)&amp;MID(G1776,FIND(" ",G1776)+1,1)</f>
        <v>JD</v>
      </c>
    </row>
    <row r="1777" customFormat="false" ht="15" hidden="false" customHeight="false" outlineLevel="0" collapsed="false">
      <c r="A1777" s="3" t="n">
        <v>1776</v>
      </c>
      <c r="B1777" s="3" t="s">
        <v>3747</v>
      </c>
      <c r="C1777" s="4" t="s">
        <v>3736</v>
      </c>
      <c r="D1777" s="4" t="s">
        <v>3743</v>
      </c>
      <c r="E1777" s="3" t="s">
        <v>28</v>
      </c>
      <c r="F1777" s="3" t="s">
        <v>1112</v>
      </c>
      <c r="G1777" s="3" t="s">
        <v>1113</v>
      </c>
      <c r="H1777" s="3" t="s">
        <v>45</v>
      </c>
      <c r="I1777" s="3" t="s">
        <v>32</v>
      </c>
      <c r="J1777" s="3" t="s">
        <v>814</v>
      </c>
      <c r="K1777" s="3" t="s">
        <v>156</v>
      </c>
      <c r="L1777" s="3" t="s">
        <v>157</v>
      </c>
      <c r="M1777" s="3" t="s">
        <v>209</v>
      </c>
      <c r="N1777" s="3" t="s">
        <v>49</v>
      </c>
      <c r="O1777" s="3" t="s">
        <v>106</v>
      </c>
      <c r="P1777" s="3" t="s">
        <v>210</v>
      </c>
      <c r="Q1777" s="5" t="n">
        <v>352.8</v>
      </c>
      <c r="R1777" s="3" t="n">
        <v>11</v>
      </c>
      <c r="S1777" s="6" t="n">
        <v>0.2</v>
      </c>
      <c r="T1777" s="5" t="n">
        <v>-58.77</v>
      </c>
      <c r="U1777" s="3" t="str">
        <f aca="false">IF(T1777&lt;0,"Loss",IF(T1777=0,"Break-even","Profit"))</f>
        <v>Loss</v>
      </c>
      <c r="V1777" s="3" t="str">
        <f aca="false">IF(Q1777&lt;100,"Low",IF(Q1777&lt;=500,"Medium","High"))</f>
        <v>Medium</v>
      </c>
      <c r="W1777" s="3" t="n">
        <f aca="false">D1777-C1777</f>
        <v>5</v>
      </c>
      <c r="X1777" s="3" t="str">
        <f aca="false">TEXT(C1777,"mmmm")</f>
        <v>June</v>
      </c>
      <c r="Y1777" s="3" t="str">
        <f aca="false">LEFT(G1777,1)&amp;MID(G1777,FIND(" ",G1777)+1,1)</f>
        <v>MD</v>
      </c>
    </row>
    <row r="1778" customFormat="false" ht="15" hidden="false" customHeight="false" outlineLevel="0" collapsed="false">
      <c r="A1778" s="3" t="n">
        <v>1777</v>
      </c>
      <c r="B1778" s="3" t="s">
        <v>3748</v>
      </c>
      <c r="C1778" s="4" t="s">
        <v>3738</v>
      </c>
      <c r="D1778" s="4" t="s">
        <v>3749</v>
      </c>
      <c r="E1778" s="3" t="s">
        <v>84</v>
      </c>
      <c r="F1778" s="3" t="s">
        <v>575</v>
      </c>
      <c r="G1778" s="3" t="s">
        <v>576</v>
      </c>
      <c r="H1778" s="3" t="s">
        <v>45</v>
      </c>
      <c r="I1778" s="3" t="s">
        <v>32</v>
      </c>
      <c r="J1778" s="3" t="s">
        <v>120</v>
      </c>
      <c r="K1778" s="3" t="s">
        <v>113</v>
      </c>
      <c r="L1778" s="3" t="s">
        <v>69</v>
      </c>
      <c r="M1778" s="3" t="s">
        <v>114</v>
      </c>
      <c r="N1778" s="3" t="s">
        <v>49</v>
      </c>
      <c r="O1778" s="3" t="s">
        <v>61</v>
      </c>
      <c r="P1778" s="3" t="s">
        <v>115</v>
      </c>
      <c r="Q1778" s="5" t="n">
        <v>72.08</v>
      </c>
      <c r="R1778" s="3" t="n">
        <v>5</v>
      </c>
      <c r="S1778" s="6" t="n">
        <v>0</v>
      </c>
      <c r="T1778" s="5" t="n">
        <v>10.5</v>
      </c>
      <c r="U1778" s="3" t="str">
        <f aca="false">IF(T1778&lt;0,"Loss",IF(T1778=0,"Break-even","Profit"))</f>
        <v>Profit</v>
      </c>
      <c r="V1778" s="3" t="str">
        <f aca="false">IF(Q1778&lt;100,"Low",IF(Q1778&lt;=500,"Medium","High"))</f>
        <v>Low</v>
      </c>
      <c r="W1778" s="3" t="n">
        <f aca="false">D1778-C1778</f>
        <v>3</v>
      </c>
      <c r="X1778" s="3" t="str">
        <f aca="false">TEXT(C1778,"mmmm")</f>
        <v>June</v>
      </c>
      <c r="Y1778" s="3" t="str">
        <f aca="false">LEFT(G1778,1)&amp;MID(G1778,FIND(" ",G1778)+1,1)</f>
        <v>PC</v>
      </c>
    </row>
    <row r="1779" customFormat="false" ht="15" hidden="false" customHeight="false" outlineLevel="0" collapsed="false">
      <c r="A1779" s="3" t="n">
        <v>1778</v>
      </c>
      <c r="B1779" s="3" t="s">
        <v>3750</v>
      </c>
      <c r="C1779" s="4" t="s">
        <v>3741</v>
      </c>
      <c r="D1779" s="4" t="s">
        <v>3751</v>
      </c>
      <c r="E1779" s="3" t="s">
        <v>28</v>
      </c>
      <c r="F1779" s="3" t="s">
        <v>54</v>
      </c>
      <c r="G1779" s="3" t="s">
        <v>55</v>
      </c>
      <c r="H1779" s="3" t="s">
        <v>56</v>
      </c>
      <c r="I1779" s="3" t="s">
        <v>32</v>
      </c>
      <c r="J1779" s="3" t="s">
        <v>381</v>
      </c>
      <c r="K1779" s="3" t="s">
        <v>58</v>
      </c>
      <c r="L1779" s="3" t="s">
        <v>59</v>
      </c>
      <c r="M1779" s="3" t="s">
        <v>237</v>
      </c>
      <c r="N1779" s="3" t="s">
        <v>49</v>
      </c>
      <c r="O1779" s="3" t="s">
        <v>220</v>
      </c>
      <c r="P1779" s="3" t="s">
        <v>238</v>
      </c>
      <c r="Q1779" s="5" t="n">
        <v>199.55</v>
      </c>
      <c r="R1779" s="3" t="n">
        <v>10</v>
      </c>
      <c r="S1779" s="6" t="n">
        <v>0.1</v>
      </c>
      <c r="T1779" s="5" t="n">
        <v>5.56</v>
      </c>
      <c r="U1779" s="3" t="str">
        <f aca="false">IF(T1779&lt;0,"Loss",IF(T1779=0,"Break-even","Profit"))</f>
        <v>Profit</v>
      </c>
      <c r="V1779" s="3" t="str">
        <f aca="false">IF(Q1779&lt;100,"Low",IF(Q1779&lt;=500,"Medium","High"))</f>
        <v>Medium</v>
      </c>
      <c r="W1779" s="3" t="n">
        <f aca="false">D1779-C1779</f>
        <v>6</v>
      </c>
      <c r="X1779" s="3" t="str">
        <f aca="false">TEXT(C1779,"mmmm")</f>
        <v>June</v>
      </c>
      <c r="Y1779" s="3" t="str">
        <f aca="false">LEFT(G1779,1)&amp;MID(G1779,FIND(" ",G1779)+1,1)</f>
        <v>RN</v>
      </c>
    </row>
    <row r="1780" customFormat="false" ht="15" hidden="false" customHeight="false" outlineLevel="0" collapsed="false">
      <c r="A1780" s="3" t="n">
        <v>1779</v>
      </c>
      <c r="B1780" s="3" t="s">
        <v>3752</v>
      </c>
      <c r="C1780" s="4" t="s">
        <v>3741</v>
      </c>
      <c r="D1780" s="4" t="s">
        <v>3753</v>
      </c>
      <c r="E1780" s="3" t="s">
        <v>28</v>
      </c>
      <c r="F1780" s="3" t="s">
        <v>1754</v>
      </c>
      <c r="G1780" s="3" t="s">
        <v>1755</v>
      </c>
      <c r="H1780" s="3" t="s">
        <v>56</v>
      </c>
      <c r="I1780" s="3" t="s">
        <v>32</v>
      </c>
      <c r="J1780" s="3" t="s">
        <v>112</v>
      </c>
      <c r="K1780" s="3" t="s">
        <v>113</v>
      </c>
      <c r="L1780" s="3" t="s">
        <v>69</v>
      </c>
      <c r="M1780" s="3" t="s">
        <v>559</v>
      </c>
      <c r="N1780" s="3" t="s">
        <v>37</v>
      </c>
      <c r="O1780" s="3" t="s">
        <v>38</v>
      </c>
      <c r="P1780" s="3" t="s">
        <v>560</v>
      </c>
      <c r="Q1780" s="5" t="n">
        <v>12364.57</v>
      </c>
      <c r="R1780" s="3" t="n">
        <v>11</v>
      </c>
      <c r="S1780" s="6" t="n">
        <v>0</v>
      </c>
      <c r="T1780" s="5" t="n">
        <v>3504.1</v>
      </c>
      <c r="U1780" s="3" t="str">
        <f aca="false">IF(T1780&lt;0,"Loss",IF(T1780=0,"Break-even","Profit"))</f>
        <v>Profit</v>
      </c>
      <c r="V1780" s="3" t="str">
        <f aca="false">IF(Q1780&lt;100,"Low",IF(Q1780&lt;=500,"Medium","High"))</f>
        <v>High</v>
      </c>
      <c r="W1780" s="3" t="n">
        <f aca="false">D1780-C1780</f>
        <v>7</v>
      </c>
      <c r="X1780" s="3" t="str">
        <f aca="false">TEXT(C1780,"mmmm")</f>
        <v>June</v>
      </c>
      <c r="Y1780" s="3" t="str">
        <f aca="false">LEFT(G1780,1)&amp;MID(G1780,FIND(" ",G1780)+1,1)</f>
        <v>LR</v>
      </c>
    </row>
    <row r="1781" customFormat="false" ht="15" hidden="false" customHeight="false" outlineLevel="0" collapsed="false">
      <c r="A1781" s="3" t="n">
        <v>1780</v>
      </c>
      <c r="B1781" s="3" t="s">
        <v>3754</v>
      </c>
      <c r="C1781" s="4" t="s">
        <v>3743</v>
      </c>
      <c r="D1781" s="4" t="s">
        <v>3755</v>
      </c>
      <c r="E1781" s="3" t="s">
        <v>84</v>
      </c>
      <c r="F1781" s="3" t="s">
        <v>522</v>
      </c>
      <c r="G1781" s="3" t="s">
        <v>523</v>
      </c>
      <c r="H1781" s="3" t="s">
        <v>56</v>
      </c>
      <c r="I1781" s="3" t="s">
        <v>32</v>
      </c>
      <c r="J1781" s="3" t="s">
        <v>120</v>
      </c>
      <c r="K1781" s="3" t="s">
        <v>113</v>
      </c>
      <c r="L1781" s="3" t="s">
        <v>69</v>
      </c>
      <c r="M1781" s="3" t="s">
        <v>253</v>
      </c>
      <c r="N1781" s="3" t="s">
        <v>89</v>
      </c>
      <c r="O1781" s="3" t="s">
        <v>90</v>
      </c>
      <c r="P1781" s="3" t="s">
        <v>254</v>
      </c>
      <c r="Q1781" s="5" t="n">
        <v>6977.55</v>
      </c>
      <c r="R1781" s="3" t="n">
        <v>9</v>
      </c>
      <c r="S1781" s="6" t="n">
        <v>0.4</v>
      </c>
      <c r="T1781" s="5" t="n">
        <v>-311.06</v>
      </c>
      <c r="U1781" s="3" t="str">
        <f aca="false">IF(T1781&lt;0,"Loss",IF(T1781=0,"Break-even","Profit"))</f>
        <v>Loss</v>
      </c>
      <c r="V1781" s="3" t="str">
        <f aca="false">IF(Q1781&lt;100,"Low",IF(Q1781&lt;=500,"Medium","High"))</f>
        <v>High</v>
      </c>
      <c r="W1781" s="3" t="n">
        <f aca="false">D1781-C1781</f>
        <v>2</v>
      </c>
      <c r="X1781" s="3" t="str">
        <f aca="false">TEXT(C1781,"mmmm")</f>
        <v>June</v>
      </c>
      <c r="Y1781" s="3" t="str">
        <f aca="false">LEFT(G1781,1)&amp;MID(G1781,FIND(" ",G1781)+1,1)</f>
        <v>JS</v>
      </c>
    </row>
    <row r="1782" customFormat="false" ht="15" hidden="false" customHeight="false" outlineLevel="0" collapsed="false">
      <c r="A1782" s="3" t="n">
        <v>1781</v>
      </c>
      <c r="B1782" s="3" t="s">
        <v>3756</v>
      </c>
      <c r="C1782" s="4" t="s">
        <v>3743</v>
      </c>
      <c r="D1782" s="4" t="s">
        <v>3751</v>
      </c>
      <c r="E1782" s="3" t="s">
        <v>28</v>
      </c>
      <c r="F1782" s="3" t="s">
        <v>871</v>
      </c>
      <c r="G1782" s="3" t="s">
        <v>872</v>
      </c>
      <c r="H1782" s="3" t="s">
        <v>45</v>
      </c>
      <c r="I1782" s="3" t="s">
        <v>32</v>
      </c>
      <c r="J1782" s="3" t="s">
        <v>171</v>
      </c>
      <c r="K1782" s="3" t="s">
        <v>172</v>
      </c>
      <c r="L1782" s="3" t="s">
        <v>157</v>
      </c>
      <c r="M1782" s="3" t="s">
        <v>105</v>
      </c>
      <c r="N1782" s="3" t="s">
        <v>49</v>
      </c>
      <c r="O1782" s="3" t="s">
        <v>106</v>
      </c>
      <c r="P1782" s="3" t="s">
        <v>107</v>
      </c>
      <c r="Q1782" s="5" t="n">
        <v>181.36</v>
      </c>
      <c r="R1782" s="3" t="n">
        <v>6</v>
      </c>
      <c r="S1782" s="6" t="n">
        <v>0.4</v>
      </c>
      <c r="T1782" s="5" t="n">
        <v>-18.56</v>
      </c>
      <c r="U1782" s="3" t="str">
        <f aca="false">IF(T1782&lt;0,"Loss",IF(T1782=0,"Break-even","Profit"))</f>
        <v>Loss</v>
      </c>
      <c r="V1782" s="3" t="str">
        <f aca="false">IF(Q1782&lt;100,"Low",IF(Q1782&lt;=500,"Medium","High"))</f>
        <v>Medium</v>
      </c>
      <c r="W1782" s="3" t="n">
        <f aca="false">D1782-C1782</f>
        <v>4</v>
      </c>
      <c r="X1782" s="3" t="str">
        <f aca="false">TEXT(C1782,"mmmm")</f>
        <v>June</v>
      </c>
      <c r="Y1782" s="3" t="str">
        <f aca="false">LEFT(G1782,1)&amp;MID(G1782,FIND(" ",G1782)+1,1)</f>
        <v>MM</v>
      </c>
    </row>
    <row r="1783" customFormat="false" ht="15" hidden="false" customHeight="false" outlineLevel="0" collapsed="false">
      <c r="A1783" s="3" t="n">
        <v>1782</v>
      </c>
      <c r="B1783" s="3" t="s">
        <v>3757</v>
      </c>
      <c r="C1783" s="4" t="s">
        <v>3743</v>
      </c>
      <c r="D1783" s="4" t="s">
        <v>3751</v>
      </c>
      <c r="E1783" s="3" t="s">
        <v>28</v>
      </c>
      <c r="F1783" s="3" t="s">
        <v>1881</v>
      </c>
      <c r="G1783" s="3" t="s">
        <v>1882</v>
      </c>
      <c r="H1783" s="3" t="s">
        <v>56</v>
      </c>
      <c r="I1783" s="3" t="s">
        <v>32</v>
      </c>
      <c r="J1783" s="3" t="s">
        <v>95</v>
      </c>
      <c r="K1783" s="3" t="s">
        <v>96</v>
      </c>
      <c r="L1783" s="3" t="s">
        <v>59</v>
      </c>
      <c r="M1783" s="3" t="s">
        <v>237</v>
      </c>
      <c r="N1783" s="3" t="s">
        <v>49</v>
      </c>
      <c r="O1783" s="3" t="s">
        <v>220</v>
      </c>
      <c r="P1783" s="3" t="s">
        <v>238</v>
      </c>
      <c r="Q1783" s="5" t="n">
        <v>45.29</v>
      </c>
      <c r="R1783" s="3" t="n">
        <v>1</v>
      </c>
      <c r="S1783" s="6" t="n">
        <v>0.4</v>
      </c>
      <c r="T1783" s="5" t="n">
        <v>-14.76</v>
      </c>
      <c r="U1783" s="3" t="str">
        <f aca="false">IF(T1783&lt;0,"Loss",IF(T1783=0,"Break-even","Profit"))</f>
        <v>Loss</v>
      </c>
      <c r="V1783" s="3" t="str">
        <f aca="false">IF(Q1783&lt;100,"Low",IF(Q1783&lt;=500,"Medium","High"))</f>
        <v>Low</v>
      </c>
      <c r="W1783" s="3" t="n">
        <f aca="false">D1783-C1783</f>
        <v>4</v>
      </c>
      <c r="X1783" s="3" t="str">
        <f aca="false">TEXT(C1783,"mmmm")</f>
        <v>June</v>
      </c>
      <c r="Y1783" s="3" t="str">
        <f aca="false">LEFT(G1783,1)&amp;MID(G1783,FIND(" ",G1783)+1,1)</f>
        <v>SD</v>
      </c>
    </row>
    <row r="1784" customFormat="false" ht="15" hidden="false" customHeight="false" outlineLevel="0" collapsed="false">
      <c r="A1784" s="3" t="n">
        <v>1783</v>
      </c>
      <c r="B1784" s="3" t="s">
        <v>3758</v>
      </c>
      <c r="C1784" s="4" t="s">
        <v>3755</v>
      </c>
      <c r="D1784" s="4" t="s">
        <v>3759</v>
      </c>
      <c r="E1784" s="3" t="s">
        <v>28</v>
      </c>
      <c r="F1784" s="3" t="s">
        <v>565</v>
      </c>
      <c r="G1784" s="3" t="s">
        <v>566</v>
      </c>
      <c r="H1784" s="3" t="s">
        <v>56</v>
      </c>
      <c r="I1784" s="3" t="s">
        <v>32</v>
      </c>
      <c r="J1784" s="3" t="s">
        <v>215</v>
      </c>
      <c r="K1784" s="3" t="s">
        <v>34</v>
      </c>
      <c r="L1784" s="3" t="s">
        <v>35</v>
      </c>
      <c r="M1784" s="3" t="s">
        <v>404</v>
      </c>
      <c r="N1784" s="3" t="s">
        <v>89</v>
      </c>
      <c r="O1784" s="3" t="s">
        <v>166</v>
      </c>
      <c r="P1784" s="3" t="s">
        <v>405</v>
      </c>
      <c r="Q1784" s="5" t="n">
        <v>3419.22</v>
      </c>
      <c r="R1784" s="3" t="n">
        <v>4</v>
      </c>
      <c r="S1784" s="6" t="n">
        <v>0</v>
      </c>
      <c r="T1784" s="5" t="n">
        <v>-109.18</v>
      </c>
      <c r="U1784" s="3" t="str">
        <f aca="false">IF(T1784&lt;0,"Loss",IF(T1784=0,"Break-even","Profit"))</f>
        <v>Loss</v>
      </c>
      <c r="V1784" s="3" t="str">
        <f aca="false">IF(Q1784&lt;100,"Low",IF(Q1784&lt;=500,"Medium","High"))</f>
        <v>High</v>
      </c>
      <c r="W1784" s="3" t="n">
        <f aca="false">D1784-C1784</f>
        <v>7</v>
      </c>
      <c r="X1784" s="3" t="str">
        <f aca="false">TEXT(C1784,"mmmm")</f>
        <v>June</v>
      </c>
      <c r="Y1784" s="3" t="str">
        <f aca="false">LEFT(G1784,1)&amp;MID(G1784,FIND(" ",G1784)+1,1)</f>
        <v>CS</v>
      </c>
    </row>
    <row r="1785" customFormat="false" ht="15" hidden="false" customHeight="false" outlineLevel="0" collapsed="false">
      <c r="A1785" s="3" t="n">
        <v>1784</v>
      </c>
      <c r="B1785" s="3" t="s">
        <v>3760</v>
      </c>
      <c r="C1785" s="4" t="s">
        <v>3761</v>
      </c>
      <c r="D1785" s="4" t="s">
        <v>3762</v>
      </c>
      <c r="E1785" s="3" t="s">
        <v>42</v>
      </c>
      <c r="F1785" s="3" t="s">
        <v>1107</v>
      </c>
      <c r="G1785" s="3" t="s">
        <v>1108</v>
      </c>
      <c r="H1785" s="3" t="s">
        <v>45</v>
      </c>
      <c r="I1785" s="3" t="s">
        <v>32</v>
      </c>
      <c r="J1785" s="3" t="s">
        <v>814</v>
      </c>
      <c r="K1785" s="3" t="s">
        <v>156</v>
      </c>
      <c r="L1785" s="3" t="s">
        <v>157</v>
      </c>
      <c r="M1785" s="3" t="s">
        <v>461</v>
      </c>
      <c r="N1785" s="3" t="s">
        <v>37</v>
      </c>
      <c r="O1785" s="3" t="s">
        <v>71</v>
      </c>
      <c r="P1785" s="3" t="s">
        <v>462</v>
      </c>
      <c r="Q1785" s="5" t="n">
        <v>4821.5</v>
      </c>
      <c r="R1785" s="3" t="n">
        <v>3</v>
      </c>
      <c r="S1785" s="6" t="n">
        <v>0.1</v>
      </c>
      <c r="T1785" s="5" t="n">
        <v>-919.18</v>
      </c>
      <c r="U1785" s="3" t="str">
        <f aca="false">IF(T1785&lt;0,"Loss",IF(T1785=0,"Break-even","Profit"))</f>
        <v>Loss</v>
      </c>
      <c r="V1785" s="3" t="str">
        <f aca="false">IF(Q1785&lt;100,"Low",IF(Q1785&lt;=500,"Medium","High"))</f>
        <v>High</v>
      </c>
      <c r="W1785" s="3" t="n">
        <f aca="false">D1785-C1785</f>
        <v>1</v>
      </c>
      <c r="X1785" s="3" t="str">
        <f aca="false">TEXT(C1785,"mmmm")</f>
        <v>June</v>
      </c>
      <c r="Y1785" s="3" t="str">
        <f aca="false">LEFT(G1785,1)&amp;MID(G1785,FIND(" ",G1785)+1,1)</f>
        <v>LM</v>
      </c>
    </row>
    <row r="1786" customFormat="false" ht="15" hidden="false" customHeight="false" outlineLevel="0" collapsed="false">
      <c r="A1786" s="3" t="n">
        <v>1785</v>
      </c>
      <c r="B1786" s="3" t="s">
        <v>3763</v>
      </c>
      <c r="C1786" s="4" t="s">
        <v>3762</v>
      </c>
      <c r="D1786" s="4" t="s">
        <v>3764</v>
      </c>
      <c r="E1786" s="3" t="s">
        <v>28</v>
      </c>
      <c r="F1786" s="3" t="s">
        <v>2287</v>
      </c>
      <c r="G1786" s="3" t="s">
        <v>2288</v>
      </c>
      <c r="H1786" s="3" t="s">
        <v>45</v>
      </c>
      <c r="I1786" s="3" t="s">
        <v>32</v>
      </c>
      <c r="J1786" s="3" t="s">
        <v>243</v>
      </c>
      <c r="K1786" s="3" t="s">
        <v>244</v>
      </c>
      <c r="L1786" s="3" t="s">
        <v>157</v>
      </c>
      <c r="M1786" s="3" t="s">
        <v>420</v>
      </c>
      <c r="N1786" s="3" t="s">
        <v>49</v>
      </c>
      <c r="O1786" s="3" t="s">
        <v>80</v>
      </c>
      <c r="P1786" s="3" t="s">
        <v>421</v>
      </c>
      <c r="Q1786" s="5" t="n">
        <v>1465.42</v>
      </c>
      <c r="R1786" s="3" t="n">
        <v>14</v>
      </c>
      <c r="S1786" s="6" t="n">
        <v>0</v>
      </c>
      <c r="T1786" s="5" t="n">
        <v>-69.45</v>
      </c>
      <c r="U1786" s="3" t="str">
        <f aca="false">IF(T1786&lt;0,"Loss",IF(T1786=0,"Break-even","Profit"))</f>
        <v>Loss</v>
      </c>
      <c r="V1786" s="3" t="str">
        <f aca="false">IF(Q1786&lt;100,"Low",IF(Q1786&lt;=500,"Medium","High"))</f>
        <v>High</v>
      </c>
      <c r="W1786" s="3" t="n">
        <f aca="false">D1786-C1786</f>
        <v>6</v>
      </c>
      <c r="X1786" s="3" t="str">
        <f aca="false">TEXT(C1786,"mmmm")</f>
        <v>June</v>
      </c>
      <c r="Y1786" s="3" t="str">
        <f aca="false">LEFT(G1786,1)&amp;MID(G1786,FIND(" ",G1786)+1,1)</f>
        <v>CM</v>
      </c>
    </row>
    <row r="1787" customFormat="false" ht="15" hidden="false" customHeight="false" outlineLevel="0" collapsed="false">
      <c r="A1787" s="3" t="n">
        <v>1786</v>
      </c>
      <c r="B1787" s="3" t="s">
        <v>3765</v>
      </c>
      <c r="C1787" s="4" t="s">
        <v>3762</v>
      </c>
      <c r="D1787" s="4" t="s">
        <v>3766</v>
      </c>
      <c r="E1787" s="3" t="s">
        <v>28</v>
      </c>
      <c r="F1787" s="3" t="s">
        <v>887</v>
      </c>
      <c r="G1787" s="3" t="s">
        <v>888</v>
      </c>
      <c r="H1787" s="3" t="s">
        <v>56</v>
      </c>
      <c r="I1787" s="3" t="s">
        <v>32</v>
      </c>
      <c r="J1787" s="3" t="s">
        <v>33</v>
      </c>
      <c r="K1787" s="3" t="s">
        <v>34</v>
      </c>
      <c r="L1787" s="3" t="s">
        <v>35</v>
      </c>
      <c r="M1787" s="3" t="s">
        <v>114</v>
      </c>
      <c r="N1787" s="3" t="s">
        <v>49</v>
      </c>
      <c r="O1787" s="3" t="s">
        <v>61</v>
      </c>
      <c r="P1787" s="3" t="s">
        <v>115</v>
      </c>
      <c r="Q1787" s="5" t="n">
        <v>365.57</v>
      </c>
      <c r="R1787" s="3" t="n">
        <v>4</v>
      </c>
      <c r="S1787" s="6" t="n">
        <v>0</v>
      </c>
      <c r="T1787" s="5" t="n">
        <v>-81.52</v>
      </c>
      <c r="U1787" s="3" t="str">
        <f aca="false">IF(T1787&lt;0,"Loss",IF(T1787=0,"Break-even","Profit"))</f>
        <v>Loss</v>
      </c>
      <c r="V1787" s="3" t="str">
        <f aca="false">IF(Q1787&lt;100,"Low",IF(Q1787&lt;=500,"Medium","High"))</f>
        <v>Medium</v>
      </c>
      <c r="W1787" s="3" t="n">
        <f aca="false">D1787-C1787</f>
        <v>3</v>
      </c>
      <c r="X1787" s="3" t="str">
        <f aca="false">TEXT(C1787,"mmmm")</f>
        <v>June</v>
      </c>
      <c r="Y1787" s="3" t="str">
        <f aca="false">LEFT(G1787,1)&amp;MID(G1787,FIND(" ",G1787)+1,1)</f>
        <v>PJ</v>
      </c>
    </row>
    <row r="1788" customFormat="false" ht="15" hidden="false" customHeight="false" outlineLevel="0" collapsed="false">
      <c r="A1788" s="3" t="n">
        <v>1787</v>
      </c>
      <c r="B1788" s="3" t="s">
        <v>3444</v>
      </c>
      <c r="C1788" s="4" t="s">
        <v>3762</v>
      </c>
      <c r="D1788" s="4" t="s">
        <v>3767</v>
      </c>
      <c r="E1788" s="3" t="s">
        <v>28</v>
      </c>
      <c r="F1788" s="3" t="s">
        <v>622</v>
      </c>
      <c r="G1788" s="3" t="s">
        <v>623</v>
      </c>
      <c r="H1788" s="3" t="s">
        <v>31</v>
      </c>
      <c r="I1788" s="3" t="s">
        <v>32</v>
      </c>
      <c r="J1788" s="3" t="s">
        <v>548</v>
      </c>
      <c r="K1788" s="3" t="s">
        <v>244</v>
      </c>
      <c r="L1788" s="3" t="s">
        <v>157</v>
      </c>
      <c r="M1788" s="3" t="s">
        <v>79</v>
      </c>
      <c r="N1788" s="3" t="s">
        <v>49</v>
      </c>
      <c r="O1788" s="3" t="s">
        <v>80</v>
      </c>
      <c r="P1788" s="3" t="s">
        <v>81</v>
      </c>
      <c r="Q1788" s="5" t="n">
        <v>69.58</v>
      </c>
      <c r="R1788" s="3" t="n">
        <v>1</v>
      </c>
      <c r="S1788" s="6" t="n">
        <v>0.2</v>
      </c>
      <c r="T1788" s="5" t="n">
        <v>4.09</v>
      </c>
      <c r="U1788" s="3" t="str">
        <f aca="false">IF(T1788&lt;0,"Loss",IF(T1788=0,"Break-even","Profit"))</f>
        <v>Profit</v>
      </c>
      <c r="V1788" s="3" t="str">
        <f aca="false">IF(Q1788&lt;100,"Low",IF(Q1788&lt;=500,"Medium","High"))</f>
        <v>Low</v>
      </c>
      <c r="W1788" s="3" t="n">
        <f aca="false">D1788-C1788</f>
        <v>5</v>
      </c>
      <c r="X1788" s="3" t="str">
        <f aca="false">TEXT(C1788,"mmmm")</f>
        <v>June</v>
      </c>
      <c r="Y1788" s="3" t="str">
        <f aca="false">LEFT(G1788,1)&amp;MID(G1788,FIND(" ",G1788)+1,1)</f>
        <v>LR</v>
      </c>
    </row>
    <row r="1789" customFormat="false" ht="15" hidden="false" customHeight="false" outlineLevel="0" collapsed="false">
      <c r="A1789" s="3" t="n">
        <v>1788</v>
      </c>
      <c r="B1789" s="3" t="s">
        <v>3768</v>
      </c>
      <c r="C1789" s="4" t="s">
        <v>3769</v>
      </c>
      <c r="D1789" s="4" t="s">
        <v>3770</v>
      </c>
      <c r="E1789" s="3" t="s">
        <v>28</v>
      </c>
      <c r="F1789" s="3" t="s">
        <v>2055</v>
      </c>
      <c r="G1789" s="3" t="s">
        <v>2056</v>
      </c>
      <c r="H1789" s="3" t="s">
        <v>45</v>
      </c>
      <c r="I1789" s="3" t="s">
        <v>32</v>
      </c>
      <c r="J1789" s="3" t="s">
        <v>148</v>
      </c>
      <c r="K1789" s="3" t="s">
        <v>78</v>
      </c>
      <c r="L1789" s="3" t="s">
        <v>59</v>
      </c>
      <c r="M1789" s="3" t="s">
        <v>461</v>
      </c>
      <c r="N1789" s="3" t="s">
        <v>37</v>
      </c>
      <c r="O1789" s="3" t="s">
        <v>71</v>
      </c>
      <c r="P1789" s="3" t="s">
        <v>462</v>
      </c>
      <c r="Q1789" s="5" t="n">
        <v>5039.43</v>
      </c>
      <c r="R1789" s="3" t="n">
        <v>11</v>
      </c>
      <c r="S1789" s="6" t="n">
        <v>0.4</v>
      </c>
      <c r="T1789" s="5" t="n">
        <v>572.5</v>
      </c>
      <c r="U1789" s="3" t="str">
        <f aca="false">IF(T1789&lt;0,"Loss",IF(T1789=0,"Break-even","Profit"))</f>
        <v>Profit</v>
      </c>
      <c r="V1789" s="3" t="str">
        <f aca="false">IF(Q1789&lt;100,"Low",IF(Q1789&lt;=500,"Medium","High"))</f>
        <v>High</v>
      </c>
      <c r="W1789" s="3" t="n">
        <f aca="false">D1789-C1789</f>
        <v>3</v>
      </c>
      <c r="X1789" s="3" t="str">
        <f aca="false">TEXT(C1789,"mmmm")</f>
        <v>June</v>
      </c>
      <c r="Y1789" s="3" t="str">
        <f aca="false">LEFT(G1789,1)&amp;MID(G1789,FIND(" ",G1789)+1,1)</f>
        <v>ED</v>
      </c>
    </row>
    <row r="1790" customFormat="false" ht="15" hidden="false" customHeight="false" outlineLevel="0" collapsed="false">
      <c r="A1790" s="3" t="n">
        <v>1789</v>
      </c>
      <c r="B1790" s="3" t="s">
        <v>3771</v>
      </c>
      <c r="C1790" s="4" t="s">
        <v>3769</v>
      </c>
      <c r="D1790" s="4" t="s">
        <v>3772</v>
      </c>
      <c r="E1790" s="3" t="s">
        <v>28</v>
      </c>
      <c r="F1790" s="3" t="s">
        <v>1194</v>
      </c>
      <c r="G1790" s="3" t="s">
        <v>1195</v>
      </c>
      <c r="H1790" s="3" t="s">
        <v>56</v>
      </c>
      <c r="I1790" s="3" t="s">
        <v>32</v>
      </c>
      <c r="J1790" s="3" t="s">
        <v>201</v>
      </c>
      <c r="K1790" s="3" t="s">
        <v>202</v>
      </c>
      <c r="L1790" s="3" t="s">
        <v>35</v>
      </c>
      <c r="M1790" s="3" t="s">
        <v>149</v>
      </c>
      <c r="N1790" s="3" t="s">
        <v>49</v>
      </c>
      <c r="O1790" s="3" t="s">
        <v>150</v>
      </c>
      <c r="P1790" s="3" t="s">
        <v>151</v>
      </c>
      <c r="Q1790" s="5" t="n">
        <v>239.31</v>
      </c>
      <c r="R1790" s="3" t="n">
        <v>3</v>
      </c>
      <c r="S1790" s="6" t="n">
        <v>0</v>
      </c>
      <c r="T1790" s="5" t="n">
        <v>-43.9</v>
      </c>
      <c r="U1790" s="3" t="str">
        <f aca="false">IF(T1790&lt;0,"Loss",IF(T1790=0,"Break-even","Profit"))</f>
        <v>Loss</v>
      </c>
      <c r="V1790" s="3" t="str">
        <f aca="false">IF(Q1790&lt;100,"Low",IF(Q1790&lt;=500,"Medium","High"))</f>
        <v>Medium</v>
      </c>
      <c r="W1790" s="3" t="n">
        <f aca="false">D1790-C1790</f>
        <v>6</v>
      </c>
      <c r="X1790" s="3" t="str">
        <f aca="false">TEXT(C1790,"mmmm")</f>
        <v>June</v>
      </c>
      <c r="Y1790" s="3" t="str">
        <f aca="false">LEFT(G1790,1)&amp;MID(G1790,FIND(" ",G1790)+1,1)</f>
        <v>JK</v>
      </c>
    </row>
    <row r="1791" customFormat="false" ht="15" hidden="false" customHeight="false" outlineLevel="0" collapsed="false">
      <c r="A1791" s="3" t="n">
        <v>1790</v>
      </c>
      <c r="B1791" s="3" t="s">
        <v>3773</v>
      </c>
      <c r="C1791" s="4" t="s">
        <v>3759</v>
      </c>
      <c r="D1791" s="4" t="s">
        <v>3774</v>
      </c>
      <c r="E1791" s="3" t="s">
        <v>28</v>
      </c>
      <c r="F1791" s="3" t="s">
        <v>2528</v>
      </c>
      <c r="G1791" s="3" t="s">
        <v>2529</v>
      </c>
      <c r="H1791" s="3" t="s">
        <v>31</v>
      </c>
      <c r="I1791" s="3" t="s">
        <v>32</v>
      </c>
      <c r="J1791" s="3" t="s">
        <v>171</v>
      </c>
      <c r="K1791" s="3" t="s">
        <v>172</v>
      </c>
      <c r="L1791" s="3" t="s">
        <v>157</v>
      </c>
      <c r="M1791" s="3" t="s">
        <v>149</v>
      </c>
      <c r="N1791" s="3" t="s">
        <v>49</v>
      </c>
      <c r="O1791" s="3" t="s">
        <v>150</v>
      </c>
      <c r="P1791" s="3" t="s">
        <v>151</v>
      </c>
      <c r="Q1791" s="5" t="n">
        <v>194.85</v>
      </c>
      <c r="R1791" s="3" t="n">
        <v>12</v>
      </c>
      <c r="S1791" s="6" t="n">
        <v>0.3</v>
      </c>
      <c r="T1791" s="5" t="n">
        <v>-55.77</v>
      </c>
      <c r="U1791" s="3" t="str">
        <f aca="false">IF(T1791&lt;0,"Loss",IF(T1791=0,"Break-even","Profit"))</f>
        <v>Loss</v>
      </c>
      <c r="V1791" s="3" t="str">
        <f aca="false">IF(Q1791&lt;100,"Low",IF(Q1791&lt;=500,"Medium","High"))</f>
        <v>Medium</v>
      </c>
      <c r="W1791" s="3" t="n">
        <f aca="false">D1791-C1791</f>
        <v>6</v>
      </c>
      <c r="X1791" s="3" t="str">
        <f aca="false">TEXT(C1791,"mmmm")</f>
        <v>June</v>
      </c>
      <c r="Y1791" s="3" t="str">
        <f aca="false">LEFT(G1791,1)&amp;MID(G1791,FIND(" ",G1791)+1,1)</f>
        <v>ON</v>
      </c>
    </row>
    <row r="1792" customFormat="false" ht="15" hidden="false" customHeight="false" outlineLevel="0" collapsed="false">
      <c r="A1792" s="3" t="n">
        <v>1791</v>
      </c>
      <c r="B1792" s="3" t="s">
        <v>3775</v>
      </c>
      <c r="C1792" s="4" t="s">
        <v>3766</v>
      </c>
      <c r="D1792" s="4" t="s">
        <v>3767</v>
      </c>
      <c r="E1792" s="3" t="s">
        <v>42</v>
      </c>
      <c r="F1792" s="3" t="s">
        <v>1063</v>
      </c>
      <c r="G1792" s="3" t="s">
        <v>1064</v>
      </c>
      <c r="H1792" s="3" t="s">
        <v>31</v>
      </c>
      <c r="I1792" s="3" t="s">
        <v>32</v>
      </c>
      <c r="J1792" s="3" t="s">
        <v>112</v>
      </c>
      <c r="K1792" s="3" t="s">
        <v>113</v>
      </c>
      <c r="L1792" s="3" t="s">
        <v>69</v>
      </c>
      <c r="M1792" s="3" t="s">
        <v>219</v>
      </c>
      <c r="N1792" s="3" t="s">
        <v>49</v>
      </c>
      <c r="O1792" s="3" t="s">
        <v>220</v>
      </c>
      <c r="P1792" s="3" t="s">
        <v>221</v>
      </c>
      <c r="Q1792" s="5" t="n">
        <v>244.55</v>
      </c>
      <c r="R1792" s="3" t="n">
        <v>7</v>
      </c>
      <c r="S1792" s="6" t="n">
        <v>0</v>
      </c>
      <c r="T1792" s="5" t="n">
        <v>63</v>
      </c>
      <c r="U1792" s="3" t="str">
        <f aca="false">IF(T1792&lt;0,"Loss",IF(T1792=0,"Break-even","Profit"))</f>
        <v>Profit</v>
      </c>
      <c r="V1792" s="3" t="str">
        <f aca="false">IF(Q1792&lt;100,"Low",IF(Q1792&lt;=500,"Medium","High"))</f>
        <v>Medium</v>
      </c>
      <c r="W1792" s="3" t="n">
        <f aca="false">D1792-C1792</f>
        <v>2</v>
      </c>
      <c r="X1792" s="3" t="str">
        <f aca="false">TEXT(C1792,"mmmm")</f>
        <v>June</v>
      </c>
      <c r="Y1792" s="3" t="str">
        <f aca="false">LEFT(G1792,1)&amp;MID(G1792,FIND(" ",G1792)+1,1)</f>
        <v>AB</v>
      </c>
    </row>
    <row r="1793" customFormat="false" ht="15" hidden="false" customHeight="false" outlineLevel="0" collapsed="false">
      <c r="A1793" s="3" t="n">
        <v>1792</v>
      </c>
      <c r="B1793" s="3" t="s">
        <v>3776</v>
      </c>
      <c r="C1793" s="4" t="s">
        <v>3766</v>
      </c>
      <c r="D1793" s="4" t="s">
        <v>3772</v>
      </c>
      <c r="E1793" s="3" t="s">
        <v>84</v>
      </c>
      <c r="F1793" s="3" t="s">
        <v>125</v>
      </c>
      <c r="G1793" s="3" t="s">
        <v>126</v>
      </c>
      <c r="H1793" s="3" t="s">
        <v>45</v>
      </c>
      <c r="I1793" s="3" t="s">
        <v>32</v>
      </c>
      <c r="J1793" s="3" t="s">
        <v>104</v>
      </c>
      <c r="K1793" s="3" t="s">
        <v>96</v>
      </c>
      <c r="L1793" s="3" t="s">
        <v>59</v>
      </c>
      <c r="M1793" s="3" t="s">
        <v>322</v>
      </c>
      <c r="N1793" s="3" t="s">
        <v>89</v>
      </c>
      <c r="O1793" s="3" t="s">
        <v>323</v>
      </c>
      <c r="P1793" s="3" t="s">
        <v>324</v>
      </c>
      <c r="Q1793" s="5" t="n">
        <v>1438.94</v>
      </c>
      <c r="R1793" s="3" t="n">
        <v>10</v>
      </c>
      <c r="S1793" s="6" t="n">
        <v>0.1</v>
      </c>
      <c r="T1793" s="5" t="n">
        <v>147.51</v>
      </c>
      <c r="U1793" s="3" t="str">
        <f aca="false">IF(T1793&lt;0,"Loss",IF(T1793=0,"Break-even","Profit"))</f>
        <v>Profit</v>
      </c>
      <c r="V1793" s="3" t="str">
        <f aca="false">IF(Q1793&lt;100,"Low",IF(Q1793&lt;=500,"Medium","High"))</f>
        <v>High</v>
      </c>
      <c r="W1793" s="3" t="n">
        <f aca="false">D1793-C1793</f>
        <v>4</v>
      </c>
      <c r="X1793" s="3" t="str">
        <f aca="false">TEXT(C1793,"mmmm")</f>
        <v>June</v>
      </c>
      <c r="Y1793" s="3" t="str">
        <f aca="false">LEFT(G1793,1)&amp;MID(G1793,FIND(" ",G1793)+1,1)</f>
        <v>LM</v>
      </c>
    </row>
    <row r="1794" customFormat="false" ht="15" hidden="false" customHeight="false" outlineLevel="0" collapsed="false">
      <c r="A1794" s="3" t="n">
        <v>1793</v>
      </c>
      <c r="B1794" s="3" t="s">
        <v>3777</v>
      </c>
      <c r="C1794" s="4" t="s">
        <v>3770</v>
      </c>
      <c r="D1794" s="4" t="s">
        <v>3778</v>
      </c>
      <c r="E1794" s="3" t="s">
        <v>28</v>
      </c>
      <c r="F1794" s="3" t="s">
        <v>546</v>
      </c>
      <c r="G1794" s="3" t="s">
        <v>547</v>
      </c>
      <c r="H1794" s="3" t="s">
        <v>56</v>
      </c>
      <c r="I1794" s="3" t="s">
        <v>32</v>
      </c>
      <c r="J1794" s="3" t="s">
        <v>285</v>
      </c>
      <c r="K1794" s="3" t="s">
        <v>202</v>
      </c>
      <c r="L1794" s="3" t="s">
        <v>35</v>
      </c>
      <c r="M1794" s="3" t="s">
        <v>461</v>
      </c>
      <c r="N1794" s="3" t="s">
        <v>37</v>
      </c>
      <c r="O1794" s="3" t="s">
        <v>71</v>
      </c>
      <c r="P1794" s="3" t="s">
        <v>462</v>
      </c>
      <c r="Q1794" s="5" t="n">
        <v>3993.64</v>
      </c>
      <c r="R1794" s="3" t="n">
        <v>12</v>
      </c>
      <c r="S1794" s="6" t="n">
        <v>0.5</v>
      </c>
      <c r="T1794" s="5" t="n">
        <v>-1343.4</v>
      </c>
      <c r="U1794" s="3" t="str">
        <f aca="false">IF(T1794&lt;0,"Loss",IF(T1794=0,"Break-even","Profit"))</f>
        <v>Loss</v>
      </c>
      <c r="V1794" s="3" t="str">
        <f aca="false">IF(Q1794&lt;100,"Low",IF(Q1794&lt;=500,"Medium","High"))</f>
        <v>High</v>
      </c>
      <c r="W1794" s="3" t="n">
        <f aca="false">D1794-C1794</f>
        <v>6</v>
      </c>
      <c r="X1794" s="3" t="str">
        <f aca="false">TEXT(C1794,"mmmm")</f>
        <v>June</v>
      </c>
      <c r="Y1794" s="3" t="str">
        <f aca="false">LEFT(G1794,1)&amp;MID(G1794,FIND(" ",G1794)+1,1)</f>
        <v>DB</v>
      </c>
    </row>
    <row r="1795" customFormat="false" ht="15" hidden="false" customHeight="false" outlineLevel="0" collapsed="false">
      <c r="A1795" s="3" t="n">
        <v>1794</v>
      </c>
      <c r="B1795" s="3" t="s">
        <v>3779</v>
      </c>
      <c r="C1795" s="4" t="s">
        <v>3770</v>
      </c>
      <c r="D1795" s="4" t="s">
        <v>3772</v>
      </c>
      <c r="E1795" s="3" t="s">
        <v>28</v>
      </c>
      <c r="F1795" s="3" t="s">
        <v>2026</v>
      </c>
      <c r="G1795" s="3" t="s">
        <v>2027</v>
      </c>
      <c r="H1795" s="3" t="s">
        <v>31</v>
      </c>
      <c r="I1795" s="3" t="s">
        <v>32</v>
      </c>
      <c r="J1795" s="3" t="s">
        <v>95</v>
      </c>
      <c r="K1795" s="3" t="s">
        <v>96</v>
      </c>
      <c r="L1795" s="3" t="s">
        <v>59</v>
      </c>
      <c r="M1795" s="3" t="s">
        <v>195</v>
      </c>
      <c r="N1795" s="3" t="s">
        <v>37</v>
      </c>
      <c r="O1795" s="3" t="s">
        <v>196</v>
      </c>
      <c r="P1795" s="3" t="s">
        <v>197</v>
      </c>
      <c r="Q1795" s="5" t="n">
        <v>18174.84</v>
      </c>
      <c r="R1795" s="3" t="n">
        <v>14</v>
      </c>
      <c r="S1795" s="6" t="n">
        <v>0.1</v>
      </c>
      <c r="T1795" s="5" t="n">
        <v>-1628.77</v>
      </c>
      <c r="U1795" s="3" t="str">
        <f aca="false">IF(T1795&lt;0,"Loss",IF(T1795=0,"Break-even","Profit"))</f>
        <v>Loss</v>
      </c>
      <c r="V1795" s="3" t="str">
        <f aca="false">IF(Q1795&lt;100,"Low",IF(Q1795&lt;=500,"Medium","High"))</f>
        <v>High</v>
      </c>
      <c r="W1795" s="3" t="n">
        <f aca="false">D1795-C1795</f>
        <v>3</v>
      </c>
      <c r="X1795" s="3" t="str">
        <f aca="false">TEXT(C1795,"mmmm")</f>
        <v>June</v>
      </c>
      <c r="Y1795" s="3" t="str">
        <f aca="false">LEFT(G1795,1)&amp;MID(G1795,FIND(" ",G1795)+1,1)</f>
        <v>MM</v>
      </c>
    </row>
    <row r="1796" customFormat="false" ht="15" hidden="false" customHeight="false" outlineLevel="0" collapsed="false">
      <c r="A1796" s="3" t="n">
        <v>1795</v>
      </c>
      <c r="B1796" s="3" t="s">
        <v>3780</v>
      </c>
      <c r="C1796" s="4" t="s">
        <v>3764</v>
      </c>
      <c r="D1796" s="4" t="s">
        <v>3781</v>
      </c>
      <c r="E1796" s="3" t="s">
        <v>28</v>
      </c>
      <c r="F1796" s="3" t="s">
        <v>565</v>
      </c>
      <c r="G1796" s="3" t="s">
        <v>566</v>
      </c>
      <c r="H1796" s="3" t="s">
        <v>45</v>
      </c>
      <c r="I1796" s="3" t="s">
        <v>32</v>
      </c>
      <c r="J1796" s="3" t="s">
        <v>365</v>
      </c>
      <c r="K1796" s="3" t="s">
        <v>366</v>
      </c>
      <c r="L1796" s="3" t="s">
        <v>157</v>
      </c>
      <c r="M1796" s="3" t="s">
        <v>149</v>
      </c>
      <c r="N1796" s="3" t="s">
        <v>49</v>
      </c>
      <c r="O1796" s="3" t="s">
        <v>150</v>
      </c>
      <c r="P1796" s="3" t="s">
        <v>151</v>
      </c>
      <c r="Q1796" s="5" t="n">
        <v>242.3</v>
      </c>
      <c r="R1796" s="3" t="n">
        <v>11</v>
      </c>
      <c r="S1796" s="6" t="n">
        <v>0.3</v>
      </c>
      <c r="T1796" s="5" t="n">
        <v>-61.6</v>
      </c>
      <c r="U1796" s="3" t="str">
        <f aca="false">IF(T1796&lt;0,"Loss",IF(T1796=0,"Break-even","Profit"))</f>
        <v>Loss</v>
      </c>
      <c r="V1796" s="3" t="str">
        <f aca="false">IF(Q1796&lt;100,"Low",IF(Q1796&lt;=500,"Medium","High"))</f>
        <v>Medium</v>
      </c>
      <c r="W1796" s="3" t="n">
        <f aca="false">D1796-C1796</f>
        <v>5</v>
      </c>
      <c r="X1796" s="3" t="str">
        <f aca="false">TEXT(C1796,"mmmm")</f>
        <v>June</v>
      </c>
      <c r="Y1796" s="3" t="str">
        <f aca="false">LEFT(G1796,1)&amp;MID(G1796,FIND(" ",G1796)+1,1)</f>
        <v>CS</v>
      </c>
    </row>
    <row r="1797" customFormat="false" ht="15" hidden="false" customHeight="false" outlineLevel="0" collapsed="false">
      <c r="A1797" s="3" t="n">
        <v>1796</v>
      </c>
      <c r="B1797" s="3" t="s">
        <v>3782</v>
      </c>
      <c r="C1797" s="4" t="s">
        <v>3764</v>
      </c>
      <c r="D1797" s="4" t="s">
        <v>3781</v>
      </c>
      <c r="E1797" s="3" t="s">
        <v>28</v>
      </c>
      <c r="F1797" s="3" t="s">
        <v>1216</v>
      </c>
      <c r="G1797" s="3" t="s">
        <v>1217</v>
      </c>
      <c r="H1797" s="3" t="s">
        <v>56</v>
      </c>
      <c r="I1797" s="3" t="s">
        <v>32</v>
      </c>
      <c r="J1797" s="3" t="s">
        <v>299</v>
      </c>
      <c r="K1797" s="3" t="s">
        <v>189</v>
      </c>
      <c r="L1797" s="3" t="s">
        <v>59</v>
      </c>
      <c r="M1797" s="3" t="s">
        <v>127</v>
      </c>
      <c r="N1797" s="3" t="s">
        <v>49</v>
      </c>
      <c r="O1797" s="3" t="s">
        <v>61</v>
      </c>
      <c r="P1797" s="3" t="s">
        <v>128</v>
      </c>
      <c r="Q1797" s="5" t="n">
        <v>88.63</v>
      </c>
      <c r="R1797" s="3" t="n">
        <v>2</v>
      </c>
      <c r="S1797" s="6" t="n">
        <v>0.4</v>
      </c>
      <c r="T1797" s="5" t="n">
        <v>11</v>
      </c>
      <c r="U1797" s="3" t="str">
        <f aca="false">IF(T1797&lt;0,"Loss",IF(T1797=0,"Break-even","Profit"))</f>
        <v>Profit</v>
      </c>
      <c r="V1797" s="3" t="str">
        <f aca="false">IF(Q1797&lt;100,"Low",IF(Q1797&lt;=500,"Medium","High"))</f>
        <v>Low</v>
      </c>
      <c r="W1797" s="3" t="n">
        <f aca="false">D1797-C1797</f>
        <v>5</v>
      </c>
      <c r="X1797" s="3" t="str">
        <f aca="false">TEXT(C1797,"mmmm")</f>
        <v>June</v>
      </c>
      <c r="Y1797" s="3" t="str">
        <f aca="false">LEFT(G1797,1)&amp;MID(G1797,FIND(" ",G1797)+1,1)</f>
        <v>FT</v>
      </c>
    </row>
    <row r="1798" customFormat="false" ht="15" hidden="false" customHeight="false" outlineLevel="0" collapsed="false">
      <c r="A1798" s="3" t="n">
        <v>1797</v>
      </c>
      <c r="B1798" s="3" t="s">
        <v>3783</v>
      </c>
      <c r="C1798" s="4" t="s">
        <v>3772</v>
      </c>
      <c r="D1798" s="4" t="s">
        <v>3784</v>
      </c>
      <c r="E1798" s="3" t="s">
        <v>84</v>
      </c>
      <c r="F1798" s="3" t="s">
        <v>943</v>
      </c>
      <c r="G1798" s="3" t="s">
        <v>944</v>
      </c>
      <c r="H1798" s="3" t="s">
        <v>45</v>
      </c>
      <c r="I1798" s="3" t="s">
        <v>32</v>
      </c>
      <c r="J1798" s="3" t="s">
        <v>133</v>
      </c>
      <c r="K1798" s="3" t="s">
        <v>134</v>
      </c>
      <c r="L1798" s="3" t="s">
        <v>69</v>
      </c>
      <c r="M1798" s="3" t="s">
        <v>461</v>
      </c>
      <c r="N1798" s="3" t="s">
        <v>37</v>
      </c>
      <c r="O1798" s="3" t="s">
        <v>71</v>
      </c>
      <c r="P1798" s="3" t="s">
        <v>462</v>
      </c>
      <c r="Q1798" s="5" t="n">
        <v>193.05</v>
      </c>
      <c r="R1798" s="3" t="n">
        <v>2</v>
      </c>
      <c r="S1798" s="6" t="n">
        <v>0</v>
      </c>
      <c r="T1798" s="5" t="n">
        <v>4.79</v>
      </c>
      <c r="U1798" s="3" t="str">
        <f aca="false">IF(T1798&lt;0,"Loss",IF(T1798=0,"Break-even","Profit"))</f>
        <v>Profit</v>
      </c>
      <c r="V1798" s="3" t="str">
        <f aca="false">IF(Q1798&lt;100,"Low",IF(Q1798&lt;=500,"Medium","High"))</f>
        <v>Medium</v>
      </c>
      <c r="W1798" s="3" t="n">
        <f aca="false">D1798-C1798</f>
        <v>2</v>
      </c>
      <c r="X1798" s="3" t="str">
        <f aca="false">TEXT(C1798,"mmmm")</f>
        <v>June</v>
      </c>
      <c r="Y1798" s="3" t="str">
        <f aca="false">LEFT(G1798,1)&amp;MID(G1798,FIND(" ",G1798)+1,1)</f>
        <v>AW</v>
      </c>
    </row>
    <row r="1799" customFormat="false" ht="15" hidden="false" customHeight="false" outlineLevel="0" collapsed="false">
      <c r="A1799" s="3" t="n">
        <v>1798</v>
      </c>
      <c r="B1799" s="3" t="s">
        <v>3785</v>
      </c>
      <c r="C1799" s="4" t="s">
        <v>3774</v>
      </c>
      <c r="D1799" s="4" t="s">
        <v>3786</v>
      </c>
      <c r="E1799" s="3" t="s">
        <v>28</v>
      </c>
      <c r="F1799" s="3" t="s">
        <v>1826</v>
      </c>
      <c r="G1799" s="3" t="s">
        <v>1827</v>
      </c>
      <c r="H1799" s="3" t="s">
        <v>56</v>
      </c>
      <c r="I1799" s="3" t="s">
        <v>32</v>
      </c>
      <c r="J1799" s="3" t="s">
        <v>386</v>
      </c>
      <c r="K1799" s="3" t="s">
        <v>387</v>
      </c>
      <c r="L1799" s="3" t="s">
        <v>35</v>
      </c>
      <c r="M1799" s="3" t="s">
        <v>70</v>
      </c>
      <c r="N1799" s="3" t="s">
        <v>37</v>
      </c>
      <c r="O1799" s="3" t="s">
        <v>71</v>
      </c>
      <c r="P1799" s="3" t="s">
        <v>72</v>
      </c>
      <c r="Q1799" s="5" t="n">
        <v>17649.49</v>
      </c>
      <c r="R1799" s="3" t="n">
        <v>11</v>
      </c>
      <c r="S1799" s="6" t="n">
        <v>0</v>
      </c>
      <c r="T1799" s="5" t="n">
        <v>3144.78</v>
      </c>
      <c r="U1799" s="3" t="str">
        <f aca="false">IF(T1799&lt;0,"Loss",IF(T1799=0,"Break-even","Profit"))</f>
        <v>Profit</v>
      </c>
      <c r="V1799" s="3" t="str">
        <f aca="false">IF(Q1799&lt;100,"Low",IF(Q1799&lt;=500,"Medium","High"))</f>
        <v>High</v>
      </c>
      <c r="W1799" s="3" t="n">
        <f aca="false">D1799-C1799</f>
        <v>6</v>
      </c>
      <c r="X1799" s="3" t="str">
        <f aca="false">TEXT(C1799,"mmmm")</f>
        <v>June</v>
      </c>
      <c r="Y1799" s="3" t="str">
        <f aca="false">LEFT(G1799,1)&amp;MID(G1799,FIND(" ",G1799)+1,1)</f>
        <v>EG</v>
      </c>
    </row>
    <row r="1800" customFormat="false" ht="15" hidden="false" customHeight="false" outlineLevel="0" collapsed="false">
      <c r="A1800" s="3" t="n">
        <v>1799</v>
      </c>
      <c r="B1800" s="3" t="s">
        <v>3787</v>
      </c>
      <c r="C1800" s="4" t="s">
        <v>3784</v>
      </c>
      <c r="D1800" s="4" t="s">
        <v>3788</v>
      </c>
      <c r="E1800" s="3" t="s">
        <v>28</v>
      </c>
      <c r="F1800" s="3" t="s">
        <v>1174</v>
      </c>
      <c r="G1800" s="3" t="s">
        <v>1175</v>
      </c>
      <c r="H1800" s="3" t="s">
        <v>56</v>
      </c>
      <c r="I1800" s="3" t="s">
        <v>32</v>
      </c>
      <c r="J1800" s="3" t="s">
        <v>120</v>
      </c>
      <c r="K1800" s="3" t="s">
        <v>113</v>
      </c>
      <c r="L1800" s="3" t="s">
        <v>69</v>
      </c>
      <c r="M1800" s="3" t="s">
        <v>79</v>
      </c>
      <c r="N1800" s="3" t="s">
        <v>49</v>
      </c>
      <c r="O1800" s="3" t="s">
        <v>80</v>
      </c>
      <c r="P1800" s="3" t="s">
        <v>81</v>
      </c>
      <c r="Q1800" s="5" t="n">
        <v>426.29</v>
      </c>
      <c r="R1800" s="3" t="n">
        <v>6</v>
      </c>
      <c r="S1800" s="6" t="n">
        <v>0</v>
      </c>
      <c r="T1800" s="5" t="n">
        <v>-18.41</v>
      </c>
      <c r="U1800" s="3" t="str">
        <f aca="false">IF(T1800&lt;0,"Loss",IF(T1800=0,"Break-even","Profit"))</f>
        <v>Loss</v>
      </c>
      <c r="V1800" s="3" t="str">
        <f aca="false">IF(Q1800&lt;100,"Low",IF(Q1800&lt;=500,"Medium","High"))</f>
        <v>Medium</v>
      </c>
      <c r="W1800" s="3" t="n">
        <f aca="false">D1800-C1800</f>
        <v>3</v>
      </c>
      <c r="X1800" s="3" t="str">
        <f aca="false">TEXT(C1800,"mmmm")</f>
        <v>June</v>
      </c>
      <c r="Y1800" s="3" t="str">
        <f aca="false">LEFT(G1800,1)&amp;MID(G1800,FIND(" ",G1800)+1,1)</f>
        <v>AB</v>
      </c>
    </row>
    <row r="1801" customFormat="false" ht="15" hidden="false" customHeight="false" outlineLevel="0" collapsed="false">
      <c r="A1801" s="3" t="n">
        <v>1800</v>
      </c>
      <c r="B1801" s="3" t="s">
        <v>3789</v>
      </c>
      <c r="C1801" s="4" t="s">
        <v>3784</v>
      </c>
      <c r="D1801" s="4" t="s">
        <v>3781</v>
      </c>
      <c r="E1801" s="3" t="s">
        <v>84</v>
      </c>
      <c r="F1801" s="3" t="s">
        <v>241</v>
      </c>
      <c r="G1801" s="3" t="s">
        <v>242</v>
      </c>
      <c r="H1801" s="3" t="s">
        <v>56</v>
      </c>
      <c r="I1801" s="3" t="s">
        <v>32</v>
      </c>
      <c r="J1801" s="3" t="s">
        <v>95</v>
      </c>
      <c r="K1801" s="3" t="s">
        <v>96</v>
      </c>
      <c r="L1801" s="3" t="s">
        <v>59</v>
      </c>
      <c r="M1801" s="3" t="s">
        <v>158</v>
      </c>
      <c r="N1801" s="3" t="s">
        <v>49</v>
      </c>
      <c r="O1801" s="3" t="s">
        <v>159</v>
      </c>
      <c r="P1801" s="3" t="s">
        <v>160</v>
      </c>
      <c r="Q1801" s="5" t="n">
        <v>53.99</v>
      </c>
      <c r="R1801" s="3" t="n">
        <v>9</v>
      </c>
      <c r="S1801" s="6" t="n">
        <v>0.3</v>
      </c>
      <c r="T1801" s="5" t="n">
        <v>0.09</v>
      </c>
      <c r="U1801" s="3" t="str">
        <f aca="false">IF(T1801&lt;0,"Loss",IF(T1801=0,"Break-even","Profit"))</f>
        <v>Profit</v>
      </c>
      <c r="V1801" s="3" t="str">
        <f aca="false">IF(Q1801&lt;100,"Low",IF(Q1801&lt;=500,"Medium","High"))</f>
        <v>Low</v>
      </c>
      <c r="W1801" s="3" t="n">
        <f aca="false">D1801-C1801</f>
        <v>2</v>
      </c>
      <c r="X1801" s="3" t="str">
        <f aca="false">TEXT(C1801,"mmmm")</f>
        <v>June</v>
      </c>
      <c r="Y1801" s="3" t="str">
        <f aca="false">LEFT(G1801,1)&amp;MID(G1801,FIND(" ",G1801)+1,1)</f>
        <v>AC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7" t="s">
        <v>3790</v>
      </c>
    </row>
    <row r="2" customFormat="false" ht="15" hidden="false" customHeight="false" outlineLevel="0" collapsed="false">
      <c r="A2" s="2" t="s">
        <v>3791</v>
      </c>
      <c r="B2" s="2" t="s">
        <v>3792</v>
      </c>
      <c r="C2" s="2" t="s">
        <v>3793</v>
      </c>
    </row>
    <row r="3" customFormat="false" ht="27.75" hidden="false" customHeight="true" outlineLevel="0" collapsed="false">
      <c r="A3" s="8" t="s">
        <v>3794</v>
      </c>
      <c r="B3" s="9" t="n">
        <f aca="false">SUM(Orders!Q2:Q1801)</f>
        <v>4428092.92</v>
      </c>
      <c r="C3" s="10" t="n">
        <f aca="false">SUM(Orders!Q2:Q1801)</f>
        <v>4428092.92</v>
      </c>
    </row>
    <row r="4" customFormat="false" ht="27.75" hidden="false" customHeight="true" outlineLevel="0" collapsed="false">
      <c r="A4" s="8" t="s">
        <v>3795</v>
      </c>
      <c r="B4" s="9" t="n">
        <f aca="false">SUM(Orders!T2:T1801)</f>
        <v>48744.74</v>
      </c>
      <c r="C4" s="10" t="n">
        <f aca="false">SUM(Orders!T2:T1801)</f>
        <v>48744.74</v>
      </c>
    </row>
    <row r="5" customFormat="false" ht="27.75" hidden="false" customHeight="true" outlineLevel="0" collapsed="false">
      <c r="A5" s="8" t="s">
        <v>3796</v>
      </c>
      <c r="B5" s="11" t="n">
        <f aca="false">AVERAGE(Orders!S2:S1801)</f>
        <v>0.151333333333333</v>
      </c>
      <c r="C5" s="12" t="n">
        <f aca="false">AVERAGE(Orders!S2:S1801)</f>
        <v>0.151333333333333</v>
      </c>
    </row>
    <row r="6" customFormat="false" ht="27.75" hidden="false" customHeight="true" outlineLevel="0" collapsed="false">
      <c r="A6" s="8" t="s">
        <v>3797</v>
      </c>
      <c r="B6" s="13" t="n">
        <f aca="false">COUNTA(Orders!B2:B1801)</f>
        <v>1800</v>
      </c>
      <c r="C6" s="14" t="n">
        <f aca="false">COUNTA(Orders!B2:B1801)</f>
        <v>1800</v>
      </c>
    </row>
    <row r="7" customFormat="false" ht="27.75" hidden="false" customHeight="true" outlineLevel="0" collapsed="false">
      <c r="A7" s="8" t="s">
        <v>3798</v>
      </c>
      <c r="B7" s="13" t="n">
        <f aca="false">COUNTIF(Orders!T2:T1801,"&lt;0")</f>
        <v>849</v>
      </c>
      <c r="C7" s="14" t="n">
        <f aca="false">COUNTIF(Orders!T2:T1801,"&lt;0")</f>
        <v>849</v>
      </c>
    </row>
    <row r="8" customFormat="false" ht="27.75" hidden="false" customHeight="true" outlineLevel="0" collapsed="false">
      <c r="A8" s="8" t="s">
        <v>3799</v>
      </c>
      <c r="B8" s="13" t="s">
        <v>3800</v>
      </c>
      <c r="C8" s="14" t="s">
        <v>3801</v>
      </c>
    </row>
    <row r="9" customFormat="false" ht="27.75" hidden="false" customHeight="true" outlineLevel="0" collapsed="false">
      <c r="A9" s="8" t="s">
        <v>3802</v>
      </c>
      <c r="B9" s="13" t="s">
        <v>3800</v>
      </c>
      <c r="C9" s="14" t="s">
        <v>3803</v>
      </c>
    </row>
    <row r="10" customFormat="false" ht="27.75" hidden="false" customHeight="true" outlineLevel="0" collapsed="false">
      <c r="A10" s="8" t="s">
        <v>3804</v>
      </c>
      <c r="B10" s="13" t="n">
        <f aca="false">SUMIFS(Orders!Q2:Q1801,Orders!N2:N1801,"Technology",Orders!L2:L1801,"West")</f>
        <v>650465.88</v>
      </c>
      <c r="C10" s="14" t="n">
        <f aca="false">SUMIFS(Orders!Q2:Q1801,Orders!N2:N1801,"Technology",Orders!L2:L1801,"West")</f>
        <v>650465.88</v>
      </c>
    </row>
    <row r="11" customFormat="false" ht="27.75" hidden="false" customHeight="true" outlineLevel="0" collapsed="false">
      <c r="A11" s="8" t="s">
        <v>3805</v>
      </c>
      <c r="B11" s="13" t="n">
        <f aca="false">SUMIFS(Orders!T2:T1801,Orders!E2:E1801,"Same Day",Orders!S2:S1801,"&gt;0")</f>
        <v>-914.96</v>
      </c>
      <c r="C11" s="14" t="n">
        <f aca="false">SUMIFS(Orders!T2:T1801,Orders!E2:E1801,"Same Day",Orders!S2:S1801,"&gt;0")</f>
        <v>-914.96</v>
      </c>
    </row>
    <row r="12" customFormat="false" ht="27.75" hidden="false" customHeight="true" outlineLevel="0" collapsed="false">
      <c r="A12" s="8" t="s">
        <v>3806</v>
      </c>
      <c r="B12" s="13" t="n">
        <f aca="false">COUNTIFS(Orders!L2:L1801,"Central",Orders!H2:H1801,"Consumer")</f>
        <v>214</v>
      </c>
      <c r="C12" s="14" t="n">
        <f aca="false">COUNTIFS(Orders!L2:L1801,"Central",Orders!H2:H1801,"Consumer")</f>
        <v>214</v>
      </c>
    </row>
    <row r="13" customFormat="false" ht="27.75" hidden="false" customHeight="true" outlineLevel="0" collapsed="false">
      <c r="A13" s="8" t="s">
        <v>3807</v>
      </c>
      <c r="B13" s="13" t="n">
        <f aca="false">COUNTIFS(Orders!L2:L1801,"Central",Orders!H2:H1801,"Corporate")</f>
        <v>141</v>
      </c>
      <c r="C13" s="14" t="n">
        <f aca="false">COUNTIFS(Orders!L2:L1801,"Central",Orders!H2:H1801,"Corporate")</f>
        <v>141</v>
      </c>
    </row>
    <row r="14" customFormat="false" ht="27.75" hidden="false" customHeight="true" outlineLevel="0" collapsed="false">
      <c r="A14" s="8" t="s">
        <v>3808</v>
      </c>
      <c r="B14" s="13" t="n">
        <f aca="false">COUNTIFS(Orders!L2:L1801,"Central",Orders!H2:H1801,"Home Office")</f>
        <v>93</v>
      </c>
      <c r="C14" s="14" t="n">
        <f aca="false">COUNTIFS(Orders!L2:L1801,"Central",Orders!H2:H1801,"Home Office")</f>
        <v>93</v>
      </c>
    </row>
    <row r="15" customFormat="false" ht="27.75" hidden="false" customHeight="true" outlineLevel="0" collapsed="false">
      <c r="A15" s="8" t="s">
        <v>3809</v>
      </c>
      <c r="B15" s="13" t="n">
        <f aca="false">AVERAGEIFS(Orders!S2:S1801,Orders!N2:N1801,"Furniture",Orders!R2:R1801,"&gt;=5")</f>
        <v>0.150936329588015</v>
      </c>
      <c r="C15" s="14" t="n">
        <f aca="false">AVERAGEIFS(Orders!S2:S1801,Orders!N2:N1801,"Furniture",Orders!R2:R1801,"&gt;=5")</f>
        <v>0.150936329588015</v>
      </c>
    </row>
    <row r="16" customFormat="false" ht="27.75" hidden="false" customHeight="true" outlineLevel="0" collapsed="false">
      <c r="A16" s="8" t="s">
        <v>3810</v>
      </c>
      <c r="B16" s="0" t="str">
        <f aca="false">VLOOKUP("TEC-PH-24197",Orders!M2:P1801,4,FALSE())</f>
        <v>Cisco IP Phone</v>
      </c>
      <c r="C16" s="14" t="str">
        <f aca="false">VLOOKUP("TEC-PH-24197",Orders!M2:P1801,4,FALSE())</f>
        <v>Cisco IP Phone</v>
      </c>
    </row>
    <row r="17" customFormat="false" ht="27.75" hidden="false" customHeight="true" outlineLevel="0" collapsed="false">
      <c r="A17" s="8" t="s">
        <v>3811</v>
      </c>
      <c r="B17" s="0" t="str">
        <f aca="false">INDEX(Orders!P2:P1801,MATCH("TEC-PH-24197",Orders!M2:M1801,0))</f>
        <v>Cisco IP Phone</v>
      </c>
      <c r="C17" s="14" t="str">
        <f aca="false">INDEX(Orders!P2:P1801,MATCH("TEC-PH-24197",Orders!M2:M1801,0))</f>
        <v>Cisco IP Phone</v>
      </c>
    </row>
    <row r="18" customFormat="false" ht="27.75" hidden="false" customHeight="true" outlineLevel="0" collapsed="false">
      <c r="A18" s="8" t="s">
        <v>3812</v>
      </c>
      <c r="B18" s="13" t="s">
        <v>3800</v>
      </c>
      <c r="C18" s="14" t="s">
        <v>3813</v>
      </c>
    </row>
    <row r="19" customFormat="false" ht="27.75" hidden="false" customHeight="true" outlineLevel="0" collapsed="false">
      <c r="A19" s="8" t="s">
        <v>3814</v>
      </c>
      <c r="B19" s="13" t="s">
        <v>3800</v>
      </c>
      <c r="C19" s="14" t="s">
        <v>3815</v>
      </c>
    </row>
    <row r="20" customFormat="false" ht="27.75" hidden="false" customHeight="true" outlineLevel="0" collapsed="false">
      <c r="A20" s="8" t="s">
        <v>3816</v>
      </c>
      <c r="B20" s="13" t="s">
        <v>3800</v>
      </c>
      <c r="C20" s="14" t="s">
        <v>3817</v>
      </c>
    </row>
    <row r="21" customFormat="false" ht="27.75" hidden="false" customHeight="true" outlineLevel="0" collapsed="false">
      <c r="A21" s="8" t="s">
        <v>3818</v>
      </c>
      <c r="B21" s="13" t="s">
        <v>3800</v>
      </c>
      <c r="C21" s="14" t="s">
        <v>3819</v>
      </c>
    </row>
    <row r="22" customFormat="false" ht="27.75" hidden="false" customHeight="true" outlineLevel="0" collapsed="false">
      <c r="A22" s="8" t="s">
        <v>3820</v>
      </c>
      <c r="B22" s="0" t="str">
        <f aca="false">INDEX(Orders!B2:B1801,MATCH(MAX(Orders!W2:W1801),Orders!W2:W1801,0))</f>
        <v>US-2023-100587</v>
      </c>
      <c r="C22" s="14" t="str">
        <f aca="false">INDEX(Orders!B2:B1801,MATCH(MAX(Orders!W2:W1801),Orders!W2:W1801,0))</f>
        <v>US-2023-100587</v>
      </c>
    </row>
    <row r="23" customFormat="false" ht="27.75" hidden="false" customHeight="true" outlineLevel="0" collapsed="false">
      <c r="A23" s="8" t="s">
        <v>3821</v>
      </c>
      <c r="B23" s="13" t="s">
        <v>3800</v>
      </c>
      <c r="C23" s="14" t="s">
        <v>3822</v>
      </c>
    </row>
    <row r="24" customFormat="false" ht="27.75" hidden="false" customHeight="true" outlineLevel="0" collapsed="false">
      <c r="A24" s="8" t="s">
        <v>3823</v>
      </c>
      <c r="B24" s="13" t="s">
        <v>3800</v>
      </c>
      <c r="C24" s="14" t="s">
        <v>3824</v>
      </c>
    </row>
    <row r="25" customFormat="false" ht="27.75" hidden="false" customHeight="true" outlineLevel="0" collapsed="false">
      <c r="A25" s="8" t="s">
        <v>3825</v>
      </c>
      <c r="B25" s="13" t="s">
        <v>3800</v>
      </c>
      <c r="C25" s="14" t="s">
        <v>3826</v>
      </c>
    </row>
    <row r="27" customFormat="false" ht="15" hidden="false" customHeight="false" outlineLevel="0" collapsed="false">
      <c r="A27" s="15" t="s">
        <v>3827</v>
      </c>
    </row>
    <row r="28" customFormat="false" ht="15" hidden="false" customHeight="false" outlineLevel="0" collapsed="false">
      <c r="A28" s="0" t="s">
        <v>3828</v>
      </c>
      <c r="B28" s="2" t="s">
        <v>157</v>
      </c>
      <c r="C28" s="2" t="s">
        <v>69</v>
      </c>
      <c r="D28" s="2" t="s">
        <v>59</v>
      </c>
      <c r="E28" s="2" t="s">
        <v>35</v>
      </c>
    </row>
    <row r="29" customFormat="false" ht="15" hidden="false" customHeight="false" outlineLevel="0" collapsed="false">
      <c r="A29" s="2" t="s">
        <v>89</v>
      </c>
      <c r="B29" s="13" t="n">
        <f aca="false">SUMPRODUCT((Orders!N2:N1801=$A29)*(Orders!L2:L1801=B$28)*Orders!Q2:Q1801)</f>
        <v>326541.2</v>
      </c>
      <c r="C29" s="13" t="n">
        <f aca="false">SUMPRODUCT((Orders!N2:N1801=$A29)*(Orders!L2:L1801=C$28)*Orders!Q2:Q1801)</f>
        <v>285476.3</v>
      </c>
      <c r="D29" s="13" t="n">
        <f aca="false">SUMPRODUCT((Orders!N2:N1801=$A29)*(Orders!L2:L1801=D$28)*Orders!Q2:Q1801)</f>
        <v>315171.51</v>
      </c>
      <c r="E29" s="13" t="n">
        <f aca="false">SUMPRODUCT((Orders!N2:N1801=$A29)*(Orders!L2:L1801=E$28)*Orders!Q2:Q1801)</f>
        <v>254684.68</v>
      </c>
    </row>
    <row r="30" customFormat="false" ht="15" hidden="false" customHeight="false" outlineLevel="0" collapsed="false">
      <c r="A30" s="2" t="s">
        <v>49</v>
      </c>
      <c r="B30" s="13" t="n">
        <f aca="false">SUMPRODUCT((Orders!N2:N1801=$A30)*(Orders!L2:L1801=B$28)*Orders!Q2:Q1801)</f>
        <v>111371.97</v>
      </c>
      <c r="C30" s="13" t="n">
        <f aca="false">SUMPRODUCT((Orders!N2:N1801=$A30)*(Orders!L2:L1801=C$28)*Orders!Q2:Q1801)</f>
        <v>113072.69</v>
      </c>
      <c r="D30" s="13" t="n">
        <f aca="false">SUMPRODUCT((Orders!N2:N1801=$A30)*(Orders!L2:L1801=D$28)*Orders!Q2:Q1801)</f>
        <v>107600.49</v>
      </c>
      <c r="E30" s="13" t="n">
        <f aca="false">SUMPRODUCT((Orders!N2:N1801=$A30)*(Orders!L2:L1801=E$28)*Orders!Q2:Q1801)</f>
        <v>101656.25</v>
      </c>
    </row>
    <row r="31" customFormat="false" ht="15" hidden="false" customHeight="false" outlineLevel="0" collapsed="false">
      <c r="A31" s="2" t="s">
        <v>37</v>
      </c>
      <c r="B31" s="13" t="n">
        <f aca="false">SUMPRODUCT((Orders!N2:N1801=$A31)*(Orders!L2:L1801=B$28)*Orders!Q2:Q1801)</f>
        <v>648863.86</v>
      </c>
      <c r="C31" s="13" t="n">
        <f aca="false">SUMPRODUCT((Orders!N2:N1801=$A31)*(Orders!L2:L1801=C$28)*Orders!Q2:Q1801)</f>
        <v>735719.25</v>
      </c>
      <c r="D31" s="13" t="n">
        <f aca="false">SUMPRODUCT((Orders!N2:N1801=$A31)*(Orders!L2:L1801=D$28)*Orders!Q2:Q1801)</f>
        <v>777468.84</v>
      </c>
      <c r="E31" s="13" t="n">
        <f aca="false">SUMPRODUCT((Orders!N2:N1801=$A31)*(Orders!L2:L1801=E$28)*Orders!Q2:Q1801)</f>
        <v>650465.88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2026-08-24T06:01:19Z</dcterms:created>
  <dc:creator>openpyxl</dc:creator>
  <dc:description/>
  <dc:language>en-US</dc:language>
  <cp:lastModifiedBy/>
  <dcterms:modified xsi:type="dcterms:W3CDTF">2026-08-24T06:01:19Z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